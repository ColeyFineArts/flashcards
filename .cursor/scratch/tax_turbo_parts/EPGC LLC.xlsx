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GC L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n">
        <v>2025</v>
      </c>
    </row>
    <row r="2">
      <c r="A2" t="inlineStr">
        <is>
          <t>INCOME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SEPT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YR TOTAL</t>
        </is>
      </c>
    </row>
    <row r="3">
      <c r="A3" t="inlineStr">
        <is>
          <t>Business Income (Mercury rollup — includes art deals)</t>
        </is>
      </c>
      <c r="B3" t="n">
        <v>15000</v>
      </c>
      <c r="C3" t="n">
        <v>30000</v>
      </c>
      <c r="D3" t="n">
        <v>14000</v>
      </c>
      <c r="E3" t="n">
        <v>0</v>
      </c>
      <c r="F3" t="n">
        <v>37200</v>
      </c>
      <c r="G3" t="n">
        <v>41895</v>
      </c>
      <c r="H3" t="n">
        <v>37034.79</v>
      </c>
      <c r="I3" t="n">
        <v>10000</v>
      </c>
      <c r="J3" t="n">
        <v>22261.27</v>
      </c>
      <c r="K3" t="n">
        <v>50670</v>
      </c>
      <c r="L3" t="n">
        <v>6000</v>
      </c>
      <c r="M3" t="n">
        <v>0</v>
      </c>
      <c r="N3">
        <f>SUM(B3:M3)</f>
        <v/>
      </c>
    </row>
    <row r="4">
      <c r="A4" t="inlineStr">
        <is>
          <t>Consultant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>
        <f>SUM(B4:M4)</f>
        <v/>
      </c>
    </row>
    <row r="5">
      <c r="A5" t="inlineStr">
        <is>
          <t>Total</t>
        </is>
      </c>
      <c r="B5">
        <f>SUM(B3:B4)</f>
        <v/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SUM(B5:M5)</f>
        <v/>
      </c>
    </row>
    <row r="6"/>
    <row r="7">
      <c r="A7" t="inlineStr">
        <is>
          <t>EXPENSES</t>
        </is>
      </c>
      <c r="B7" t="inlineStr">
        <is>
          <t>JAN</t>
        </is>
      </c>
      <c r="C7" t="inlineStr">
        <is>
          <t>FEB</t>
        </is>
      </c>
      <c r="D7" t="inlineStr">
        <is>
          <t>MAR</t>
        </is>
      </c>
      <c r="E7" t="inlineStr">
        <is>
          <t>APR</t>
        </is>
      </c>
      <c r="F7" t="inlineStr">
        <is>
          <t>MAY</t>
        </is>
      </c>
      <c r="G7" t="inlineStr">
        <is>
          <t>JUN</t>
        </is>
      </c>
      <c r="H7" t="inlineStr">
        <is>
          <t>JUL</t>
        </is>
      </c>
      <c r="I7" t="inlineStr">
        <is>
          <t>AUG</t>
        </is>
      </c>
      <c r="J7" t="inlineStr">
        <is>
          <t>SEPT</t>
        </is>
      </c>
      <c r="K7" t="inlineStr">
        <is>
          <t>OCT</t>
        </is>
      </c>
      <c r="L7" t="inlineStr">
        <is>
          <t>NOV</t>
        </is>
      </c>
      <c r="M7" t="inlineStr">
        <is>
          <t>DEC</t>
        </is>
      </c>
      <c r="N7" t="inlineStr">
        <is>
          <t>YR TOTAL</t>
        </is>
      </c>
    </row>
    <row r="8">
      <c r="A8" t="inlineStr">
        <is>
          <t>Supplies (office and operating)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s="1">
        <f>SUM(B8:M8)</f>
        <v/>
      </c>
    </row>
    <row r="9">
      <c r="A9" t="inlineStr">
        <is>
          <t>Office Construction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1">
        <f>SUM(B9:M9)</f>
        <v/>
      </c>
    </row>
    <row r="10">
      <c r="A10" t="inlineStr">
        <is>
          <t>Office Interior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s="1">
        <f>SUM(B10:M10)</f>
        <v/>
      </c>
    </row>
    <row r="11">
      <c r="A11" t="inlineStr">
        <is>
          <t>Office Furniture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s="1">
        <f>SUM(B11:M11)</f>
        <v/>
      </c>
    </row>
    <row r="12">
      <c r="A12" t="inlineStr">
        <is>
          <t>Repairs and maintenance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s="1">
        <f>SUM(B12:M12)</f>
        <v/>
      </c>
    </row>
    <row r="13">
      <c r="A13" t="inlineStr">
        <is>
          <t>Advertising</t>
        </is>
      </c>
      <c r="B13" s="1" t="n">
        <v>0</v>
      </c>
      <c r="C13" s="1" t="n">
        <v>0</v>
      </c>
      <c r="D13" s="1" t="n">
        <v>755.98</v>
      </c>
      <c r="E13" s="1" t="n">
        <v>0</v>
      </c>
      <c r="F13" s="1" t="n">
        <v>199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>
        <f>SUM(B13:M13)</f>
        <v/>
      </c>
    </row>
    <row r="14">
      <c r="A14" t="inlineStr">
        <is>
          <t>Travel, Meals, and Entertainment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s="1">
        <f>SUM(B14:M14)</f>
        <v/>
      </c>
    </row>
    <row r="15">
      <c r="A15" t="inlineStr">
        <is>
          <t>Accounting and legal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s="1">
        <f>SUM(B15:M15)</f>
        <v/>
      </c>
    </row>
    <row r="16">
      <c r="A16" t="inlineStr">
        <is>
          <t>Cellphone and Internet</t>
        </is>
      </c>
      <c r="B16" s="1" t="n">
        <v>51.12</v>
      </c>
      <c r="C16" s="1" t="n">
        <v>93.26000000000001</v>
      </c>
      <c r="D16" s="1" t="n">
        <v>98.26000000000001</v>
      </c>
      <c r="E16" s="1" t="n">
        <v>98.26000000000001</v>
      </c>
      <c r="F16" s="1" t="n">
        <v>98.26000000000001</v>
      </c>
      <c r="G16" s="1" t="n">
        <v>98.26000000000001</v>
      </c>
      <c r="H16" s="1" t="n">
        <v>98.23</v>
      </c>
      <c r="I16" s="1" t="n">
        <v>98.34</v>
      </c>
      <c r="J16" s="1" t="n">
        <v>98.34</v>
      </c>
      <c r="K16" s="1" t="n">
        <v>98.39</v>
      </c>
      <c r="L16" s="1" t="n">
        <v>98.39</v>
      </c>
      <c r="M16" s="1" t="n">
        <v>97.91</v>
      </c>
      <c r="N16" s="1">
        <f>SUM(B16:M16)</f>
        <v/>
      </c>
    </row>
    <row r="17">
      <c r="A17" t="inlineStr">
        <is>
          <t>Software Fees</t>
        </is>
      </c>
      <c r="B17" s="1" t="n">
        <v>22.17</v>
      </c>
      <c r="C17" s="1" t="n">
        <v>22.17</v>
      </c>
      <c r="D17" s="1" t="n">
        <v>22.17</v>
      </c>
      <c r="E17" s="1" t="n">
        <v>22.17</v>
      </c>
      <c r="F17" s="1" t="n">
        <v>22.17</v>
      </c>
      <c r="G17" s="1" t="n">
        <v>22.17</v>
      </c>
      <c r="H17" s="1" t="n">
        <v>22.17</v>
      </c>
      <c r="I17" s="1" t="n">
        <v>2.17</v>
      </c>
      <c r="J17" s="1" t="n">
        <v>57.17</v>
      </c>
      <c r="K17" s="1" t="n">
        <v>37.17</v>
      </c>
      <c r="L17" s="1" t="n">
        <v>17.17</v>
      </c>
      <c r="M17" s="1" t="n">
        <v>57.17</v>
      </c>
      <c r="N17" s="1">
        <f>SUM(B17:M17)</f>
        <v/>
      </c>
    </row>
    <row r="18">
      <c r="A18" t="inlineStr">
        <is>
          <t>Tech</t>
        </is>
      </c>
      <c r="B18" s="1" t="n">
        <v>0</v>
      </c>
      <c r="C18" s="1" t="n">
        <v>0</v>
      </c>
      <c r="D18" s="1" t="n">
        <v>0</v>
      </c>
      <c r="E18" s="1" t="n">
        <v>20</v>
      </c>
      <c r="F18" s="1" t="n">
        <v>192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>
        <f>SUM(B18:M18)</f>
        <v/>
      </c>
    </row>
    <row r="19">
      <c r="A19" t="inlineStr">
        <is>
          <t>Consultant Fees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s="1">
        <f>SUM(B19:M19)</f>
        <v/>
      </c>
    </row>
    <row r="20">
      <c r="A20" t="inlineStr">
        <is>
          <t>Art Library</t>
        </is>
      </c>
      <c r="B20" s="1" t="n">
        <v>153.44</v>
      </c>
      <c r="C20" s="1" t="n">
        <v>78.47</v>
      </c>
      <c r="D20" s="1" t="n">
        <v>0</v>
      </c>
      <c r="E20" s="1" t="n">
        <v>63.69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>
        <f>SUM(B20:M20)</f>
        <v/>
      </c>
    </row>
    <row r="21">
      <c r="A21" t="inlineStr">
        <is>
          <t>Inventory / Art purchases (prefer Art Sales COGS — avoid double count)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s="1">
        <f>SUM(B21:M21)</f>
        <v/>
      </c>
    </row>
    <row r="22">
      <c r="A22" t="inlineStr">
        <is>
          <t>Business Expense (Mercury category rollup)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334.17</v>
      </c>
      <c r="I22" t="n">
        <v>0</v>
      </c>
      <c r="J22" t="n">
        <v>0</v>
      </c>
      <c r="K22" t="n">
        <v>8658.629999999999</v>
      </c>
      <c r="L22" t="n">
        <v>8000</v>
      </c>
      <c r="M22" t="n">
        <v>8146.75</v>
      </c>
      <c r="N22" s="1">
        <f>SUM(B22:M22)</f>
        <v/>
      </c>
    </row>
    <row r="23">
      <c r="A23" t="inlineStr">
        <is>
          <t>Utilities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s="1">
        <f>SUM(B23:M23)</f>
        <v/>
      </c>
    </row>
    <row r="24">
      <c r="A24" t="inlineStr">
        <is>
          <t>Insurance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s="1">
        <f>SUM(B24:M24)</f>
        <v/>
      </c>
    </row>
    <row r="25">
      <c r="A25" t="inlineStr">
        <is>
          <t>TOTAL EXPENSES</t>
        </is>
      </c>
      <c r="B25" s="1">
        <f>SUM(B8:B24)</f>
        <v/>
      </c>
      <c r="C25" s="1">
        <f>SUM(C8:C24)</f>
        <v/>
      </c>
      <c r="D25" s="1">
        <f>SUM(D8:D24)</f>
        <v/>
      </c>
      <c r="E25" s="1">
        <f>SUM(E8:E24)</f>
        <v/>
      </c>
      <c r="F25" s="1">
        <f>SUM(F8:F24)</f>
        <v/>
      </c>
      <c r="G25" s="1">
        <f>SUM(G8:G24)</f>
        <v/>
      </c>
      <c r="H25" s="1">
        <f>SUM(H8:H24)</f>
        <v/>
      </c>
      <c r="I25" s="1">
        <f>SUM(I8:I24)</f>
        <v/>
      </c>
      <c r="J25" s="1">
        <f>SUM(J8:J24)</f>
        <v/>
      </c>
      <c r="K25" s="1">
        <f>SUM(K8:K24)</f>
        <v/>
      </c>
      <c r="L25" s="1">
        <f>SUM(L8:L24)</f>
        <v/>
      </c>
      <c r="M25" s="1">
        <f>SUM(M8:M24)</f>
        <v/>
      </c>
      <c r="N25" s="1">
        <f>SUM(N8:N24)</f>
        <v/>
      </c>
    </row>
    <row r="26"/>
    <row r="27">
      <c r="A27" t="inlineStr">
        <is>
          <t>YEAR TO DATE LESS EXPENSES</t>
        </is>
      </c>
      <c r="B27" s="1">
        <f>B5-B25</f>
        <v/>
      </c>
      <c r="C27" s="1">
        <f>C5-C25</f>
        <v/>
      </c>
      <c r="D27" s="1">
        <f>D5-D25</f>
        <v/>
      </c>
      <c r="E27" s="1">
        <f>E5-E25</f>
        <v/>
      </c>
      <c r="F27" s="1">
        <f>F5-F25</f>
        <v/>
      </c>
      <c r="G27" s="1">
        <f>G5-G25</f>
        <v/>
      </c>
      <c r="H27" s="1">
        <f>H5-H25</f>
        <v/>
      </c>
      <c r="I27" s="1">
        <f>I5-I25</f>
        <v/>
      </c>
      <c r="J27" s="1">
        <f>J5-J25</f>
        <v/>
      </c>
      <c r="K27" s="1">
        <f>K5-K25</f>
        <v/>
      </c>
      <c r="L27" s="1">
        <f>L5-L25</f>
        <v/>
      </c>
      <c r="M27" s="1">
        <f>M5-M25</f>
        <v/>
      </c>
      <c r="N27" s="1">
        <f>N5-N25</f>
        <v/>
      </c>
    </row>
    <row r="28"/>
    <row r="29">
      <c r="A29" t="inlineStr">
        <is>
          <t>COGS for art objects = Cost column on Art Sales and Purchases tab (not this rollup).</t>
        </is>
      </c>
    </row>
    <row r="30"/>
    <row r="31"/>
    <row r="32"/>
    <row r="33"/>
    <row r="34"/>
    <row r="35"/>
    <row r="36"/>
    <row r="37"/>
    <row r="38"/>
    <row r="39"/>
    <row r="40"/>
    <row r="41">
      <c r="A41" t="inlineStr">
        <is>
          <t>CC starting point 2025-09-18: BoA 4469 ChatGPT/Google One/Tailor Brands/Abebooks/Blurb; Sapphire AT&amp;T cellphone (user) + Squarespace Tech + WW Norton; Prime Abebooks + Canva. Coinbase 6108: no EPGC operating charges (golf/museum/voids). TruGreen on BoA went to 524 Unit 2 yard, not EPGC. Yellow ASK on CC_LEDGER tab. Not tax advice.</t>
        </is>
      </c>
    </row>
    <row r="4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2026-09-18T15:45:16Z</dcterms:created>
  <dcterms:modified xsi:type="dcterms:W3CDTF">2026-09-18T15:45:16Z</dcterms:modified>
</cp:coreProperties>
</file>