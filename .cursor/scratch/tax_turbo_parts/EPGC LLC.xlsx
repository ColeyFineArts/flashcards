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PGC LLC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_(&quot;$&quot;* #,##0.00_);_(&quot;$&quot;* \(#,##0.00\);_(&quot;$&quot;* &quot;-&quot;??_);_(@_)"/>
  </numFmts>
  <fonts count="9">
    <font>
      <name val="Calibri"/>
      <family val="2"/>
      <color theme="1"/>
      <sz val="11"/>
      <scheme val="minor"/>
    </font>
    <font>
      <name val="Calibri"/>
      <b val="1"/>
      <color theme="1"/>
      <sz val="16"/>
    </font>
    <font>
      <name val="Calibri"/>
      <b val="1"/>
      <color theme="1"/>
      <sz val="11"/>
    </font>
    <font>
      <name val="Calibri"/>
      <b val="1"/>
      <color theme="1"/>
      <sz val="10"/>
    </font>
    <font>
      <name val="Calibri"/>
      <color theme="1"/>
      <sz val="11"/>
    </font>
    <font>
      <name val="Calibri"/>
      <color theme="1"/>
      <scheme val="minor"/>
    </font>
    <font>
      <name val="Calibri"/>
      <b val="1"/>
      <color theme="1"/>
      <sz val="12"/>
    </font>
    <font>
      <name val="Century Gothic"/>
      <b val="1"/>
      <color rgb="00FFFFFF"/>
      <sz val="14"/>
    </font>
    <font>
      <name val="Century Gothic"/>
      <sz val="10"/>
    </font>
  </fonts>
  <fills count="4">
    <fill>
      <patternFill/>
    </fill>
    <fill>
      <patternFill patternType="gray125"/>
    </fill>
    <fill>
      <patternFill patternType="solid">
        <fgColor rgb="00F7CAAC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/>
    <border>
      <top style="thin">
        <color rgb="FF000000"/>
      </top>
      <bottom style="thin">
        <color rgb="FF00000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1" applyAlignment="1" pivotButton="0" quotePrefix="0" xfId="0">
      <alignment horizontal="center" vertical="center"/>
    </xf>
    <xf numFmtId="0" fontId="2" fillId="0" borderId="2" pivotButton="0" quotePrefix="0" xfId="0"/>
    <xf numFmtId="0" fontId="3" fillId="0" borderId="2" applyAlignment="1" pivotButton="0" quotePrefix="0" xfId="0">
      <alignment horizontal="center" vertical="center"/>
    </xf>
    <xf numFmtId="0" fontId="4" fillId="0" borderId="2" pivotButton="0" quotePrefix="0" xfId="0"/>
    <xf numFmtId="0" fontId="5" fillId="0" borderId="1" pivotButton="0" quotePrefix="0" xfId="0"/>
    <xf numFmtId="164" fontId="4" fillId="0" borderId="1" pivotButton="0" quotePrefix="0" xfId="0"/>
    <xf numFmtId="0" fontId="6" fillId="0" borderId="2" applyAlignment="1" pivotButton="0" quotePrefix="0" xfId="0">
      <alignment horizontal="left" vertical="center"/>
    </xf>
    <xf numFmtId="0" fontId="2" fillId="0" borderId="1" pivotButton="0" quotePrefix="0" xfId="0"/>
    <xf numFmtId="164" fontId="2" fillId="0" borderId="1" pivotButton="0" quotePrefix="0" xfId="0"/>
    <xf numFmtId="164" fontId="2" fillId="0" borderId="2" pivotButton="0" quotePrefix="0" xfId="0"/>
    <xf numFmtId="0" fontId="7" fillId="0" borderId="1" applyAlignment="1" pivotButton="0" quotePrefix="0" xfId="0">
      <alignment horizontal="center" vertical="center"/>
    </xf>
    <xf numFmtId="164" fontId="8" fillId="2" borderId="1" pivotButton="0" quotePrefix="0" xfId="0"/>
    <xf numFmtId="164" fontId="8" fillId="3" borderId="1" pivotButton="0" quotePrefix="0" xfId="0"/>
    <xf numFmtId="164" fontId="5" fillId="0" borderId="1" pivotButton="0" quotePrefix="0" xfId="0"/>
    <xf numFmtId="164" fontId="4" fillId="3" borderId="1" pivotButton="0" quotePrefix="0" xfId="0"/>
    <xf numFmtId="164" fontId="4" fillId="2" borderId="1" pivotButton="0" quotePrefix="0" xfId="0"/>
    <xf numFmtId="0" fontId="8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"/>
  <sheetViews>
    <sheetView workbookViewId="0">
      <selection activeCell="A1" sqref="A1"/>
    </sheetView>
  </sheetViews>
  <sheetFormatPr baseColWidth="8" defaultRowHeight="15"/>
  <cols>
    <col width="28.71" customWidth="1" min="1" max="1"/>
    <col width="10.86" customWidth="1" min="2" max="2"/>
    <col width="9.289999999999999" customWidth="1" min="4" max="4"/>
    <col width="10.86" customWidth="1" min="5" max="5"/>
    <col width="10.14" customWidth="1" min="6" max="6"/>
    <col width="11.14" customWidth="1" min="7" max="7"/>
    <col width="10.86" customWidth="1" min="9" max="9"/>
    <col width="11.86" customWidth="1" min="10" max="10"/>
    <col width="10.86" customWidth="1" min="11" max="11"/>
    <col width="11.14" customWidth="1" min="12" max="12"/>
    <col width="10.14" customWidth="1" min="13" max="13"/>
    <col width="11.14" customWidth="1" min="14" max="14"/>
    <col width="8.710000000000001" customWidth="1" min="15" max="15"/>
  </cols>
  <sheetData>
    <row r="1">
      <c r="A1" s="1" t="n">
        <v>2023</v>
      </c>
    </row>
    <row r="2">
      <c r="A2" s="2" t="inlineStr">
        <is>
          <t>INCOME</t>
        </is>
      </c>
      <c r="B2" s="3" t="inlineStr">
        <is>
          <t>JAN</t>
        </is>
      </c>
      <c r="C2" s="3" t="inlineStr">
        <is>
          <t>FEB</t>
        </is>
      </c>
      <c r="D2" s="3" t="inlineStr">
        <is>
          <t>MAR</t>
        </is>
      </c>
      <c r="E2" s="3" t="inlineStr">
        <is>
          <t>APR</t>
        </is>
      </c>
      <c r="F2" s="3" t="inlineStr">
        <is>
          <t>MAY</t>
        </is>
      </c>
      <c r="G2" s="3" t="inlineStr">
        <is>
          <t>JUN</t>
        </is>
      </c>
      <c r="H2" s="3" t="inlineStr">
        <is>
          <t>JUL</t>
        </is>
      </c>
      <c r="I2" s="3" t="inlineStr">
        <is>
          <t>AUG</t>
        </is>
      </c>
      <c r="J2" s="3" t="inlineStr">
        <is>
          <t>SEP</t>
        </is>
      </c>
      <c r="K2" s="3" t="inlineStr">
        <is>
          <t>OCT</t>
        </is>
      </c>
      <c r="L2" s="3" t="inlineStr">
        <is>
          <t>NOV</t>
        </is>
      </c>
      <c r="M2" s="3" t="inlineStr">
        <is>
          <t>DEC</t>
        </is>
      </c>
      <c r="N2" s="3" t="inlineStr">
        <is>
          <t>YEARLY</t>
        </is>
      </c>
      <c r="O2" s="4" t="n"/>
      <c r="P2" s="4" t="n"/>
      <c r="Q2" s="4" t="n"/>
      <c r="R2" s="4" t="n"/>
      <c r="S2" s="4" t="n"/>
      <c r="T2" s="4" t="n"/>
      <c r="U2" s="4" t="n"/>
      <c r="V2" s="4" t="n"/>
      <c r="W2" s="4" t="n"/>
      <c r="X2" s="4" t="n"/>
      <c r="Y2" s="4" t="n"/>
      <c r="Z2" s="4" t="n"/>
    </row>
    <row r="3">
      <c r="A3" s="5" t="inlineStr">
        <is>
          <t>Art Sales</t>
        </is>
      </c>
      <c r="B3" s="6" t="n"/>
      <c r="C3" s="6" t="n"/>
      <c r="D3" s="6" t="n"/>
      <c r="E3" s="6" t="n"/>
      <c r="F3" s="6" t="n">
        <v>8135.65</v>
      </c>
      <c r="G3" s="6" t="n">
        <v>11661.5</v>
      </c>
      <c r="H3" s="6" t="n">
        <v>50000</v>
      </c>
      <c r="I3" s="6" t="n"/>
      <c r="J3" s="6" t="n">
        <v>400</v>
      </c>
      <c r="K3" s="6" t="n"/>
      <c r="L3" s="6" t="n">
        <v>10700</v>
      </c>
      <c r="M3" s="6" t="n">
        <v>3040</v>
      </c>
      <c r="N3" s="6">
        <f>SUM(B3:M3)</f>
        <v/>
      </c>
    </row>
    <row r="4">
      <c r="A4" s="5" t="inlineStr">
        <is>
          <t>Consultant</t>
        </is>
      </c>
      <c r="N4" s="5">
        <f>SUM(B4:M4)</f>
        <v/>
      </c>
    </row>
    <row r="5">
      <c r="A5" s="5" t="inlineStr">
        <is>
          <t>Total</t>
        </is>
      </c>
      <c r="B5" s="6">
        <f>SUM(B3:B4)</f>
        <v/>
      </c>
      <c r="C5" s="6">
        <f>SUM(C3:C4)</f>
        <v/>
      </c>
      <c r="D5" s="6">
        <f>SUM(D3:D4)</f>
        <v/>
      </c>
      <c r="E5" s="6">
        <f>SUM(E3:E4)</f>
        <v/>
      </c>
      <c r="F5" s="6">
        <f>SUM(F3:F4)</f>
        <v/>
      </c>
      <c r="G5" s="6">
        <f>SUM(G3:G4)</f>
        <v/>
      </c>
      <c r="H5" s="6">
        <f>SUM(H3:H4)</f>
        <v/>
      </c>
      <c r="I5" s="6">
        <f>SUM(I3:I4)</f>
        <v/>
      </c>
      <c r="J5" s="6">
        <f>SUM(J3:J4)</f>
        <v/>
      </c>
      <c r="K5" s="6">
        <f>SUM(K3:K4)</f>
        <v/>
      </c>
      <c r="L5" s="6">
        <f>SUM(L3:L4)</f>
        <v/>
      </c>
      <c r="M5" s="6">
        <f>SUM(M3:M4)</f>
        <v/>
      </c>
      <c r="N5" s="6">
        <f>SUM(N3:N4)</f>
        <v/>
      </c>
    </row>
    <row r="6">
      <c r="B6" s="6" t="n"/>
      <c r="C6" s="6" t="n"/>
      <c r="D6" s="6" t="n"/>
      <c r="E6" s="6" t="n"/>
      <c r="F6" s="6" t="n"/>
      <c r="G6" s="6" t="n"/>
      <c r="H6" s="6" t="n"/>
      <c r="I6" s="6" t="n"/>
      <c r="J6" s="6" t="n"/>
      <c r="K6" s="6" t="n"/>
      <c r="L6" s="6" t="n"/>
      <c r="M6" s="6" t="n"/>
      <c r="N6" s="6" t="n"/>
    </row>
    <row r="7">
      <c r="A7" s="7" t="inlineStr">
        <is>
          <t>EXPENSES</t>
        </is>
      </c>
      <c r="B7" s="3" t="inlineStr">
        <is>
          <t>JAN</t>
        </is>
      </c>
      <c r="C7" s="3" t="inlineStr">
        <is>
          <t>FEB</t>
        </is>
      </c>
      <c r="D7" s="3" t="inlineStr">
        <is>
          <t>MAR</t>
        </is>
      </c>
      <c r="E7" s="3" t="inlineStr">
        <is>
          <t>APR</t>
        </is>
      </c>
      <c r="F7" s="3" t="inlineStr">
        <is>
          <t>MAY</t>
        </is>
      </c>
      <c r="G7" s="3" t="inlineStr">
        <is>
          <t>JUN</t>
        </is>
      </c>
      <c r="H7" s="3" t="inlineStr">
        <is>
          <t>JUL</t>
        </is>
      </c>
      <c r="I7" s="3" t="inlineStr">
        <is>
          <t>AUG</t>
        </is>
      </c>
      <c r="J7" s="3" t="inlineStr">
        <is>
          <t>SEP</t>
        </is>
      </c>
      <c r="K7" s="3" t="inlineStr">
        <is>
          <t>OCT</t>
        </is>
      </c>
      <c r="L7" s="3" t="inlineStr">
        <is>
          <t>NOV</t>
        </is>
      </c>
      <c r="M7" s="3" t="inlineStr">
        <is>
          <t>DEC</t>
        </is>
      </c>
      <c r="N7" s="3" t="inlineStr">
        <is>
          <t>YEARLY</t>
        </is>
      </c>
    </row>
    <row r="8">
      <c r="A8" s="5" t="inlineStr">
        <is>
          <t>Supplies (office and operating)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6" t="n"/>
      <c r="K8" s="6" t="n"/>
      <c r="L8" s="6" t="n"/>
      <c r="M8" s="6" t="n"/>
      <c r="N8" s="6">
        <f>SUM(B8:M8)</f>
        <v/>
      </c>
    </row>
    <row r="9">
      <c r="A9" s="5" t="inlineStr">
        <is>
          <t>Office Construction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6" t="n">
        <v>13750</v>
      </c>
      <c r="K9" s="6" t="n"/>
      <c r="L9" s="6" t="n"/>
      <c r="M9" s="6" t="n"/>
      <c r="N9" s="6">
        <f>SUM(B9:M9)</f>
        <v/>
      </c>
    </row>
    <row r="10">
      <c r="A10" s="5" t="inlineStr">
        <is>
          <t xml:space="preserve">Office Interior </t>
        </is>
      </c>
      <c r="B10" s="6" t="n"/>
      <c r="C10" s="6" t="n"/>
      <c r="D10" s="6" t="n"/>
      <c r="E10" s="6" t="n"/>
      <c r="F10" s="6" t="n"/>
      <c r="G10" s="6" t="n"/>
      <c r="H10" s="6" t="n"/>
      <c r="I10" s="6" t="n">
        <v>426.52</v>
      </c>
      <c r="J10" s="6" t="n">
        <v>87.98999999999999</v>
      </c>
      <c r="K10" s="6" t="n">
        <v>87.78</v>
      </c>
      <c r="L10" s="6" t="n"/>
      <c r="M10" s="6" t="n"/>
      <c r="N10" s="6">
        <f>SUM(B10:M10)</f>
        <v/>
      </c>
    </row>
    <row r="11">
      <c r="A11" s="5" t="inlineStr">
        <is>
          <t>Office Furniture</t>
        </is>
      </c>
      <c r="B11" s="6" t="n"/>
      <c r="C11" s="6" t="n"/>
      <c r="D11" s="6" t="n"/>
      <c r="E11" s="6" t="n"/>
      <c r="F11" s="6" t="n"/>
      <c r="G11" s="6" t="n"/>
      <c r="H11" s="6" t="n"/>
      <c r="I11" s="6" t="n">
        <v>461</v>
      </c>
      <c r="J11" s="6" t="n"/>
      <c r="K11" s="6" t="n">
        <v>1799.5</v>
      </c>
      <c r="L11" s="6" t="n">
        <v>82.68000000000001</v>
      </c>
      <c r="M11" s="6" t="n"/>
      <c r="N11" s="6">
        <f>SUM(B11:M11)</f>
        <v/>
      </c>
    </row>
    <row r="12">
      <c r="A12" s="5" t="inlineStr">
        <is>
          <t>Repairs and maintenance</t>
        </is>
      </c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6" t="n"/>
      <c r="M12" s="6" t="n"/>
      <c r="N12" s="6">
        <f>SUM(B12:M12)</f>
        <v/>
      </c>
    </row>
    <row r="13">
      <c r="A13" s="5" t="inlineStr">
        <is>
          <t>Advertising</t>
        </is>
      </c>
      <c r="B13" s="6" t="n">
        <v>15</v>
      </c>
      <c r="C13" s="6" t="n">
        <v>15</v>
      </c>
      <c r="D13" s="6" t="n">
        <v>15</v>
      </c>
      <c r="E13" s="6" t="n">
        <v>15</v>
      </c>
      <c r="F13" s="6" t="n">
        <v>15</v>
      </c>
      <c r="G13" s="6" t="n">
        <v>15</v>
      </c>
      <c r="H13" s="6" t="n">
        <v>15</v>
      </c>
      <c r="I13" s="6" t="n">
        <v>15</v>
      </c>
      <c r="J13" s="6" t="n">
        <v>15</v>
      </c>
      <c r="K13" s="6" t="n">
        <v>15</v>
      </c>
      <c r="L13" s="6" t="n">
        <v>15</v>
      </c>
      <c r="M13" s="6" t="n">
        <v>15</v>
      </c>
      <c r="N13" s="6">
        <f>SUM(B13:M13)</f>
        <v/>
      </c>
    </row>
    <row r="14">
      <c r="A14" s="5" t="inlineStr">
        <is>
          <t>Travel, Meals, and Entertainment</t>
        </is>
      </c>
      <c r="B14" s="6" t="n"/>
      <c r="C14" s="6" t="n">
        <v>1185.36</v>
      </c>
      <c r="D14" s="6" t="n"/>
      <c r="E14" s="6" t="n">
        <v>1113.09</v>
      </c>
      <c r="F14" s="6" t="n"/>
      <c r="G14" s="6" t="n"/>
      <c r="H14" s="6" t="n">
        <v>50</v>
      </c>
      <c r="I14" s="6" t="n"/>
      <c r="J14" s="6" t="n">
        <v>1351.31</v>
      </c>
      <c r="K14" s="6" t="n"/>
      <c r="L14" s="6" t="n">
        <v>1283.75</v>
      </c>
      <c r="M14" s="6" t="n"/>
      <c r="N14" s="6">
        <f>SUM(B14:M14)</f>
        <v/>
      </c>
    </row>
    <row r="15">
      <c r="A15" s="5" t="inlineStr">
        <is>
          <t>Accounting and legal</t>
        </is>
      </c>
      <c r="B15" s="6" t="n">
        <v>228</v>
      </c>
      <c r="C15" s="6" t="n">
        <v>20</v>
      </c>
      <c r="D15" s="6" t="n"/>
      <c r="E15" s="6" t="n"/>
      <c r="F15" s="6" t="n"/>
      <c r="G15" s="6" t="n"/>
      <c r="H15" s="6" t="n"/>
      <c r="I15" s="6" t="n"/>
      <c r="J15" s="6" t="n"/>
      <c r="K15" s="6" t="n"/>
      <c r="L15" s="6" t="n"/>
      <c r="M15" s="6" t="n"/>
      <c r="N15" s="6">
        <f>SUM(B15:M15)</f>
        <v/>
      </c>
    </row>
    <row r="16">
      <c r="A16" s="5" t="inlineStr">
        <is>
          <t>Cellphone and Internet</t>
        </is>
      </c>
      <c r="B16" s="6" t="n">
        <v>77.45</v>
      </c>
      <c r="C16" s="6" t="n">
        <v>77.45</v>
      </c>
      <c r="D16" s="6" t="n">
        <v>77.45</v>
      </c>
      <c r="E16" s="6" t="n">
        <v>77.45</v>
      </c>
      <c r="F16" s="6" t="n">
        <v>77.45</v>
      </c>
      <c r="G16" s="6" t="n">
        <v>77.45</v>
      </c>
      <c r="H16" s="6" t="n">
        <v>77.45</v>
      </c>
      <c r="I16" s="6" t="n">
        <v>77.45</v>
      </c>
      <c r="J16" s="6" t="n">
        <v>77.45</v>
      </c>
      <c r="K16" s="6" t="n">
        <v>77.45</v>
      </c>
      <c r="L16" s="6" t="n">
        <v>77.45</v>
      </c>
      <c r="M16" s="6" t="n">
        <v>77.45</v>
      </c>
      <c r="N16" s="6">
        <f>SUM(B16:M16)</f>
        <v/>
      </c>
    </row>
    <row r="17">
      <c r="A17" s="5" t="inlineStr">
        <is>
          <t>Software Fees</t>
        </is>
      </c>
      <c r="B17" s="6" t="n">
        <v>53</v>
      </c>
      <c r="C17" s="6" t="n">
        <v>53</v>
      </c>
      <c r="D17" s="6" t="n">
        <v>53</v>
      </c>
      <c r="E17" s="6" t="n">
        <v>53</v>
      </c>
      <c r="F17" s="6" t="n">
        <v>53</v>
      </c>
      <c r="G17" s="6" t="n">
        <v>53</v>
      </c>
      <c r="H17" s="6" t="n">
        <v>53</v>
      </c>
      <c r="I17" s="6" t="n">
        <v>53</v>
      </c>
      <c r="J17" s="6" t="n">
        <v>53</v>
      </c>
      <c r="K17" s="6" t="n">
        <v>53</v>
      </c>
      <c r="L17" s="6" t="n">
        <v>53</v>
      </c>
      <c r="M17" s="6" t="n">
        <v>53</v>
      </c>
      <c r="N17" s="6">
        <f>SUM(B17:M17)</f>
        <v/>
      </c>
    </row>
    <row r="18">
      <c r="A18" s="5" t="inlineStr">
        <is>
          <t>Tech</t>
        </is>
      </c>
      <c r="B18" s="6" t="n"/>
      <c r="C18" s="6" t="n"/>
      <c r="D18" s="6" t="n"/>
      <c r="E18" s="6" t="n"/>
      <c r="F18" s="6" t="n"/>
      <c r="G18" s="6" t="n"/>
      <c r="H18" s="6" t="n"/>
      <c r="I18" s="6" t="n"/>
      <c r="J18" s="6" t="n">
        <v>77.16</v>
      </c>
      <c r="K18" s="6" t="n">
        <v>384.99</v>
      </c>
      <c r="L18" s="6" t="n"/>
      <c r="M18" s="6" t="n"/>
      <c r="N18" s="6">
        <f>SUM(B18:M18)</f>
        <v/>
      </c>
    </row>
    <row r="19">
      <c r="A19" s="5" t="inlineStr">
        <is>
          <t>Art Library</t>
        </is>
      </c>
      <c r="B19" s="6" t="n">
        <v>5025.37</v>
      </c>
      <c r="C19" s="6" t="n"/>
      <c r="D19" s="6" t="n"/>
      <c r="E19" s="6" t="n"/>
      <c r="F19" s="6" t="n"/>
      <c r="G19" s="6" t="n"/>
      <c r="H19" s="6" t="n"/>
      <c r="I19" s="6" t="n"/>
      <c r="J19" s="6" t="n"/>
      <c r="K19" s="6" t="n"/>
      <c r="L19" s="6" t="n"/>
      <c r="M19" s="6" t="n"/>
      <c r="N19" s="6">
        <f>SUM(B19:M19)</f>
        <v/>
      </c>
    </row>
    <row r="20">
      <c r="A20" s="5" t="inlineStr">
        <is>
          <t>Utilities</t>
        </is>
      </c>
      <c r="B20" s="6" t="n"/>
      <c r="C20" s="6" t="n"/>
      <c r="D20" s="6" t="n"/>
      <c r="E20" s="6" t="n"/>
      <c r="F20" s="6" t="n"/>
      <c r="G20" s="6" t="n"/>
      <c r="H20" s="6" t="n"/>
      <c r="I20" s="6" t="n"/>
      <c r="J20" s="6" t="n"/>
      <c r="K20" s="6" t="n"/>
      <c r="L20" s="6" t="n"/>
      <c r="M20" s="6" t="n"/>
      <c r="N20" s="6">
        <f>SUM(B20:M20)</f>
        <v/>
      </c>
    </row>
    <row r="21">
      <c r="A21" s="5" t="inlineStr">
        <is>
          <t>Insurance</t>
        </is>
      </c>
      <c r="B21" s="6" t="n"/>
      <c r="C21" s="6" t="n"/>
      <c r="D21" s="6" t="n"/>
      <c r="E21" s="6" t="n"/>
      <c r="F21" s="6" t="n"/>
      <c r="G21" s="6" t="n"/>
      <c r="H21" s="6" t="n"/>
      <c r="I21" s="6" t="n"/>
      <c r="J21" s="6" t="n"/>
      <c r="K21" s="6" t="n"/>
      <c r="L21" s="6" t="n"/>
      <c r="M21" s="6" t="n"/>
      <c r="N21" s="6">
        <f>SUM(B21:M21)</f>
        <v/>
      </c>
    </row>
    <row r="22">
      <c r="A22" s="8" t="inlineStr">
        <is>
          <t>TOTAL EXPENSES</t>
        </is>
      </c>
      <c r="B22" s="9">
        <f>SUM(B8:B21)</f>
        <v/>
      </c>
      <c r="C22" s="9">
        <f>SUM(C8:C21)</f>
        <v/>
      </c>
      <c r="D22" s="9">
        <f>SUM(D8:D21)</f>
        <v/>
      </c>
      <c r="E22" s="9">
        <f>SUM(E8:E21)</f>
        <v/>
      </c>
      <c r="F22" s="9">
        <f>SUM(F8:F21)</f>
        <v/>
      </c>
      <c r="G22" s="9">
        <f>SUM(G8:G21)</f>
        <v/>
      </c>
      <c r="H22" s="9">
        <f>SUM(H8:H21)</f>
        <v/>
      </c>
      <c r="I22" s="9">
        <f>SUM(I8:I21)</f>
        <v/>
      </c>
      <c r="J22" s="9">
        <f>SUM(J8:J21)</f>
        <v/>
      </c>
      <c r="K22" s="9">
        <f>SUM(K8:K21)</f>
        <v/>
      </c>
      <c r="L22" s="9">
        <f>SUM(L8:L21)</f>
        <v/>
      </c>
      <c r="M22" s="9">
        <f>SUM(M8:M21)</f>
        <v/>
      </c>
      <c r="N22" s="9">
        <f>SUM(N8:N21)</f>
        <v/>
      </c>
    </row>
    <row r="23"/>
    <row r="24">
      <c r="A24" s="2" t="inlineStr">
        <is>
          <t>YEAR TO DATE LESS EXPENSES</t>
        </is>
      </c>
      <c r="B24" s="10">
        <f>SUM(B5-B22)</f>
        <v/>
      </c>
      <c r="C24" s="10">
        <f>SUM(C5-C22)</f>
        <v/>
      </c>
      <c r="D24" s="10">
        <f>SUM(D5-D22)</f>
        <v/>
      </c>
      <c r="E24" s="10">
        <f>SUM(E5-E22)</f>
        <v/>
      </c>
      <c r="F24" s="10">
        <f>SUM(F5-F22)</f>
        <v/>
      </c>
      <c r="G24" s="10">
        <f>SUM(G5-G22)</f>
        <v/>
      </c>
      <c r="H24" s="10">
        <f>SUM(H5-H22)</f>
        <v/>
      </c>
      <c r="I24" s="10">
        <f>SUM(I5-I22)</f>
        <v/>
      </c>
      <c r="J24" s="10">
        <f>SUM(J5-J22)</f>
        <v/>
      </c>
      <c r="K24" s="10">
        <f>SUM(K5-K22)</f>
        <v/>
      </c>
      <c r="L24" s="10">
        <f>SUM(L5-L22)</f>
        <v/>
      </c>
      <c r="M24" s="10">
        <f>SUM(M5-M22)</f>
        <v/>
      </c>
      <c r="N24" s="10">
        <f>SUM(N5-N22)</f>
        <v/>
      </c>
      <c r="O24" s="4" t="n"/>
      <c r="P24" s="4" t="n"/>
      <c r="Q24" s="4" t="n"/>
      <c r="R24" s="4" t="n"/>
      <c r="S24" s="4" t="n"/>
      <c r="T24" s="4" t="n"/>
      <c r="U24" s="4" t="n"/>
      <c r="V24" s="4" t="n"/>
      <c r="W24" s="4" t="n"/>
      <c r="X24" s="4" t="n"/>
      <c r="Y24" s="4" t="n"/>
      <c r="Z24" s="4" t="n"/>
    </row>
    <row r="25"/>
    <row r="26">
      <c r="A26" s="1" t="n">
        <v>2024</v>
      </c>
    </row>
    <row r="27">
      <c r="A27" s="2" t="inlineStr">
        <is>
          <t>INCOME</t>
        </is>
      </c>
      <c r="B27" s="3" t="inlineStr">
        <is>
          <t>JAN</t>
        </is>
      </c>
      <c r="C27" s="3" t="inlineStr">
        <is>
          <t>FEB</t>
        </is>
      </c>
      <c r="D27" s="3" t="inlineStr">
        <is>
          <t>MAR</t>
        </is>
      </c>
      <c r="E27" s="3" t="inlineStr">
        <is>
          <t>APR</t>
        </is>
      </c>
      <c r="F27" s="3" t="inlineStr">
        <is>
          <t>MAY</t>
        </is>
      </c>
      <c r="G27" s="3" t="inlineStr">
        <is>
          <t>JUN</t>
        </is>
      </c>
      <c r="H27" s="3" t="inlineStr">
        <is>
          <t>JUL</t>
        </is>
      </c>
      <c r="I27" s="3" t="inlineStr">
        <is>
          <t>AUG</t>
        </is>
      </c>
      <c r="J27" s="3" t="inlineStr">
        <is>
          <t>SEP</t>
        </is>
      </c>
      <c r="K27" s="3" t="inlineStr">
        <is>
          <t>OCT</t>
        </is>
      </c>
      <c r="L27" s="3" t="inlineStr">
        <is>
          <t>NOV</t>
        </is>
      </c>
      <c r="M27" s="3" t="inlineStr">
        <is>
          <t>DEC</t>
        </is>
      </c>
      <c r="N27" s="3" t="inlineStr">
        <is>
          <t>YEARLY</t>
        </is>
      </c>
    </row>
    <row r="28">
      <c r="A28" s="5" t="inlineStr">
        <is>
          <t>Art Sales</t>
        </is>
      </c>
      <c r="B28" s="6" t="n"/>
      <c r="C28" s="6" t="n"/>
      <c r="D28" s="6" t="n"/>
      <c r="E28" s="6" t="n"/>
      <c r="F28" s="6" t="n"/>
      <c r="G28" s="6" t="n"/>
      <c r="H28" s="6" t="n"/>
      <c r="I28" s="6" t="n"/>
      <c r="J28" s="6" t="n"/>
      <c r="K28" s="6" t="n"/>
      <c r="L28" s="6" t="n"/>
      <c r="M28" s="6" t="n"/>
      <c r="N28" s="6" t="n">
        <v>26294.06</v>
      </c>
    </row>
    <row r="29">
      <c r="A29" s="5" t="inlineStr">
        <is>
          <t>Consultant</t>
        </is>
      </c>
      <c r="N29" s="5">
        <f>SUM(B29:M29)</f>
        <v/>
      </c>
    </row>
    <row r="30">
      <c r="A30" s="5" t="inlineStr">
        <is>
          <t>Total</t>
        </is>
      </c>
      <c r="B30" s="6">
        <f>SUM(B28:B29)</f>
        <v/>
      </c>
      <c r="C30" s="6">
        <f>SUM(C28:C29)</f>
        <v/>
      </c>
      <c r="D30" s="6">
        <f>SUM(D28:D29)</f>
        <v/>
      </c>
      <c r="E30" s="6">
        <f>SUM(E28:E29)</f>
        <v/>
      </c>
      <c r="F30" s="6">
        <f>SUM(F28:F29)</f>
        <v/>
      </c>
      <c r="G30" s="6">
        <f>SUM(G28:G29)</f>
        <v/>
      </c>
      <c r="H30" s="6">
        <f>SUM(H28:H29)</f>
        <v/>
      </c>
      <c r="I30" s="6">
        <f>SUM(I28:I29)</f>
        <v/>
      </c>
      <c r="J30" s="6">
        <f>SUM(J28:J29)</f>
        <v/>
      </c>
      <c r="K30" s="6">
        <f>SUM(K28:K29)</f>
        <v/>
      </c>
      <c r="L30" s="6">
        <f>SUM(L28:L29)</f>
        <v/>
      </c>
      <c r="M30" s="6">
        <f>SUM(M28:M29)</f>
        <v/>
      </c>
      <c r="N30" s="6">
        <f>SUM(N28:N29)</f>
        <v/>
      </c>
    </row>
    <row r="31">
      <c r="B31" s="6" t="n"/>
      <c r="C31" s="6" t="n"/>
      <c r="D31" s="6" t="n"/>
      <c r="E31" s="6" t="n"/>
      <c r="F31" s="6" t="n"/>
      <c r="G31" s="6" t="n"/>
      <c r="H31" s="6" t="n"/>
      <c r="I31" s="6" t="n"/>
      <c r="J31" s="6" t="n"/>
      <c r="K31" s="6" t="n"/>
      <c r="L31" s="6" t="n"/>
      <c r="M31" s="6" t="n"/>
      <c r="N31" s="6" t="n"/>
    </row>
    <row r="32">
      <c r="A32" s="7" t="inlineStr">
        <is>
          <t>EXPENSES</t>
        </is>
      </c>
      <c r="B32" s="3" t="inlineStr">
        <is>
          <t>JAN</t>
        </is>
      </c>
      <c r="C32" s="3" t="inlineStr">
        <is>
          <t>FEB</t>
        </is>
      </c>
      <c r="D32" s="3" t="inlineStr">
        <is>
          <t>MAR</t>
        </is>
      </c>
      <c r="E32" s="3" t="inlineStr">
        <is>
          <t>APR</t>
        </is>
      </c>
      <c r="F32" s="3" t="inlineStr">
        <is>
          <t>MAY</t>
        </is>
      </c>
      <c r="G32" s="3" t="inlineStr">
        <is>
          <t>JUN</t>
        </is>
      </c>
      <c r="H32" s="3" t="inlineStr">
        <is>
          <t>JUL</t>
        </is>
      </c>
      <c r="I32" s="3" t="inlineStr">
        <is>
          <t>AUG</t>
        </is>
      </c>
      <c r="J32" s="3" t="inlineStr">
        <is>
          <t>SEP</t>
        </is>
      </c>
      <c r="K32" s="3" t="inlineStr">
        <is>
          <t>OCT</t>
        </is>
      </c>
      <c r="L32" s="3" t="inlineStr">
        <is>
          <t>NOV</t>
        </is>
      </c>
      <c r="M32" s="3" t="inlineStr">
        <is>
          <t>DEC</t>
        </is>
      </c>
      <c r="N32" s="3" t="inlineStr">
        <is>
          <t>YEARLY</t>
        </is>
      </c>
    </row>
    <row r="33">
      <c r="A33" s="5" t="inlineStr">
        <is>
          <t>Supplies (office and operating)</t>
        </is>
      </c>
      <c r="B33" s="6" t="n">
        <v>13.59</v>
      </c>
      <c r="C33" s="6" t="n">
        <v>5.94</v>
      </c>
      <c r="D33" s="6" t="n">
        <v>31.89</v>
      </c>
      <c r="E33" s="6" t="n"/>
      <c r="F33" s="6" t="n"/>
      <c r="G33" s="6" t="n"/>
      <c r="H33" s="6" t="n"/>
      <c r="I33" s="6" t="n"/>
      <c r="J33" s="6" t="n"/>
      <c r="K33" s="6" t="n"/>
      <c r="L33" s="6" t="n"/>
      <c r="M33" s="6" t="n"/>
      <c r="N33" s="6">
        <f>SUM(B33:M33)</f>
        <v/>
      </c>
    </row>
    <row r="34">
      <c r="A34" s="5" t="inlineStr">
        <is>
          <t>Office Construction</t>
        </is>
      </c>
      <c r="B34" s="6" t="n"/>
      <c r="C34" s="6" t="n"/>
      <c r="D34" s="6" t="n"/>
      <c r="E34" s="6" t="n"/>
      <c r="F34" s="6" t="n"/>
      <c r="G34" s="6" t="n"/>
      <c r="H34" s="6" t="n"/>
      <c r="I34" s="6" t="n"/>
      <c r="J34" s="6" t="n"/>
      <c r="K34" s="6" t="n"/>
      <c r="L34" s="6" t="n"/>
      <c r="M34" s="6" t="n"/>
      <c r="N34" s="6">
        <f>SUM(B34:M34)</f>
        <v/>
      </c>
    </row>
    <row r="35">
      <c r="A35" s="5" t="inlineStr">
        <is>
          <t xml:space="preserve">Office Interior </t>
        </is>
      </c>
      <c r="B35" s="6" t="n"/>
      <c r="C35" s="6" t="n"/>
      <c r="D35" s="6" t="n"/>
      <c r="E35" s="6" t="n"/>
      <c r="F35" s="6" t="n"/>
      <c r="G35" s="6" t="n"/>
      <c r="H35" s="6" t="n"/>
      <c r="I35" s="6" t="n"/>
      <c r="J35" s="6" t="n"/>
      <c r="K35" s="6" t="n"/>
      <c r="L35" s="6" t="n"/>
      <c r="M35" s="6" t="n"/>
      <c r="N35" s="6">
        <f>SUM(B35:M35)</f>
        <v/>
      </c>
    </row>
    <row r="36">
      <c r="A36" s="5" t="inlineStr">
        <is>
          <t>Office Furniture</t>
        </is>
      </c>
      <c r="B36" s="6" t="n"/>
      <c r="C36" s="6" t="n"/>
      <c r="D36" s="6" t="n"/>
      <c r="E36" s="6" t="n"/>
      <c r="F36" s="6" t="n"/>
      <c r="G36" s="6" t="n">
        <v>263.98</v>
      </c>
      <c r="H36" s="6" t="n">
        <v>165</v>
      </c>
      <c r="I36" s="6" t="n"/>
      <c r="J36" s="6" t="n"/>
      <c r="K36" s="6" t="n"/>
      <c r="L36" s="6" t="n"/>
      <c r="M36" s="6" t="n"/>
      <c r="N36" s="6">
        <f>SUM(B36:M36)</f>
        <v/>
      </c>
    </row>
    <row r="37">
      <c r="A37" s="5" t="inlineStr">
        <is>
          <t>Repairs and maintenance</t>
        </is>
      </c>
      <c r="B37" s="6" t="n"/>
      <c r="C37" s="6" t="n"/>
      <c r="D37" s="6" t="n"/>
      <c r="E37" s="6" t="n"/>
      <c r="F37" s="6" t="n"/>
      <c r="G37" s="6" t="n"/>
      <c r="H37" s="6" t="n"/>
      <c r="I37" s="6" t="n"/>
      <c r="J37" s="6" t="n"/>
      <c r="K37" s="6" t="n"/>
      <c r="L37" s="6" t="n"/>
      <c r="M37" s="6" t="n"/>
      <c r="N37" s="6">
        <f>SUM(B37:M37)</f>
        <v/>
      </c>
    </row>
    <row r="38">
      <c r="A38" s="5" t="inlineStr">
        <is>
          <t>Advertising</t>
        </is>
      </c>
      <c r="B38" s="6" t="n"/>
      <c r="C38" s="6" t="n"/>
      <c r="D38" s="6" t="n">
        <v>60</v>
      </c>
      <c r="E38" s="6" t="n">
        <v>164.86</v>
      </c>
      <c r="F38" s="6" t="n">
        <v>34.91</v>
      </c>
      <c r="G38" s="6" t="n"/>
      <c r="H38" s="6" t="n"/>
      <c r="I38" s="6" t="n"/>
      <c r="J38" s="6" t="n"/>
      <c r="K38" s="6" t="n"/>
      <c r="L38" s="6" t="n"/>
      <c r="M38" s="6" t="n"/>
      <c r="N38" s="6">
        <f>SUM(B38:M38)</f>
        <v/>
      </c>
    </row>
    <row r="39">
      <c r="A39" s="5" t="inlineStr">
        <is>
          <t>Travel, Meals, and Entertainment</t>
        </is>
      </c>
      <c r="B39" s="6" t="n"/>
      <c r="C39" s="6" t="n">
        <v>1169.05</v>
      </c>
      <c r="D39" s="6" t="n"/>
      <c r="E39" s="6" t="n">
        <v>1613.5</v>
      </c>
      <c r="F39" s="6" t="n"/>
      <c r="G39" s="6" t="n"/>
      <c r="H39" s="6" t="n"/>
      <c r="I39" s="6" t="n"/>
      <c r="J39" s="6" t="n">
        <v>923.42</v>
      </c>
      <c r="K39" s="6" t="n"/>
      <c r="L39" s="6" t="n">
        <v>1059.45</v>
      </c>
      <c r="M39" s="6" t="n"/>
      <c r="N39" s="6">
        <f>SUM(B39:M39)</f>
        <v/>
      </c>
    </row>
    <row r="40">
      <c r="A40" s="5" t="inlineStr">
        <is>
          <t>Accounting and legal</t>
        </is>
      </c>
      <c r="B40" s="6" t="n"/>
      <c r="C40" s="6" t="n"/>
      <c r="D40" s="6" t="n"/>
      <c r="E40" s="6" t="n"/>
      <c r="F40" s="6" t="n"/>
      <c r="G40" s="6" t="n"/>
      <c r="H40" s="6" t="n"/>
      <c r="I40" s="6" t="n"/>
      <c r="J40" s="6" t="n"/>
      <c r="K40" s="6" t="n"/>
      <c r="L40" s="6" t="n"/>
      <c r="M40" s="6" t="n"/>
      <c r="N40" s="6">
        <f>SUM(B40:M40)</f>
        <v/>
      </c>
    </row>
    <row r="41">
      <c r="A41" s="5" t="inlineStr">
        <is>
          <t>Cellphone and Internet</t>
        </is>
      </c>
      <c r="B41" s="6" t="n">
        <v>77.66</v>
      </c>
      <c r="C41" s="6" t="n">
        <v>77.45</v>
      </c>
      <c r="D41" s="6" t="n">
        <v>77.45</v>
      </c>
      <c r="E41" s="6" t="n">
        <v>77.43000000000001</v>
      </c>
      <c r="F41" s="6" t="n">
        <v>77.43000000000001</v>
      </c>
      <c r="G41" s="6" t="n">
        <v>162.86</v>
      </c>
      <c r="H41" s="6" t="n">
        <v>267.46</v>
      </c>
      <c r="I41" s="6" t="n">
        <v>88.54000000000001</v>
      </c>
      <c r="J41" s="6" t="n">
        <v>88.72</v>
      </c>
      <c r="K41" s="6" t="n">
        <v>93.61</v>
      </c>
      <c r="L41" s="6" t="n">
        <v>111.83</v>
      </c>
      <c r="M41" s="6" t="n">
        <v>106.67</v>
      </c>
      <c r="N41" s="6">
        <f>SUM(B41:M41)</f>
        <v/>
      </c>
    </row>
    <row r="42">
      <c r="A42" s="5" t="inlineStr">
        <is>
          <t>Software Fees</t>
        </is>
      </c>
      <c r="B42" s="6" t="n">
        <v>30</v>
      </c>
      <c r="C42" s="6" t="n">
        <v>30</v>
      </c>
      <c r="D42" s="6" t="n">
        <v>30</v>
      </c>
      <c r="E42" s="6" t="n">
        <v>30</v>
      </c>
      <c r="F42" s="6" t="n">
        <v>30</v>
      </c>
      <c r="G42" s="6" t="n">
        <v>30</v>
      </c>
      <c r="H42" s="6" t="n">
        <v>30</v>
      </c>
      <c r="I42" s="6" t="n">
        <v>30</v>
      </c>
      <c r="J42" s="6" t="n">
        <v>30</v>
      </c>
      <c r="K42" s="6" t="n">
        <v>50</v>
      </c>
      <c r="L42" s="6" t="n">
        <v>50</v>
      </c>
      <c r="M42" s="6" t="n">
        <v>50</v>
      </c>
      <c r="N42" s="6">
        <f>SUM(B42:M42)</f>
        <v/>
      </c>
    </row>
    <row r="43">
      <c r="A43" s="5" t="inlineStr">
        <is>
          <t>Tech</t>
        </is>
      </c>
      <c r="B43" s="6" t="n"/>
      <c r="C43" s="6" t="n"/>
      <c r="D43" s="6" t="n"/>
      <c r="E43" s="6" t="n">
        <v>20</v>
      </c>
      <c r="F43" s="6" t="n">
        <v>192</v>
      </c>
      <c r="G43" s="6" t="n"/>
      <c r="H43" s="6" t="n"/>
      <c r="I43" s="6" t="n"/>
      <c r="J43" s="6" t="n"/>
      <c r="K43" s="6" t="n"/>
      <c r="L43" s="6" t="n">
        <v>628.59</v>
      </c>
      <c r="M43" s="6" t="n"/>
      <c r="N43" s="6">
        <f>SUM(B43:M43)</f>
        <v/>
      </c>
    </row>
    <row r="44">
      <c r="A44" s="5" t="inlineStr">
        <is>
          <t>Consultant Fees</t>
        </is>
      </c>
      <c r="B44" s="6" t="n"/>
      <c r="C44" s="6" t="n"/>
      <c r="D44" s="6" t="n"/>
      <c r="E44" s="6" t="n"/>
      <c r="F44" s="6" t="n"/>
      <c r="G44" s="6" t="n"/>
      <c r="H44" s="6" t="n"/>
      <c r="I44" s="6" t="n"/>
      <c r="J44" s="6" t="n">
        <v>316.5</v>
      </c>
      <c r="K44" s="6" t="n"/>
      <c r="L44" s="6" t="n"/>
      <c r="M44" s="6" t="n"/>
      <c r="N44" s="6">
        <f>SUM(B44:M44)</f>
        <v/>
      </c>
    </row>
    <row r="45">
      <c r="A45" s="5" t="inlineStr">
        <is>
          <t>Art Library</t>
        </is>
      </c>
      <c r="B45" s="6" t="n"/>
      <c r="C45" s="6" t="n"/>
      <c r="D45" s="6" t="n"/>
      <c r="E45" s="6" t="n"/>
      <c r="F45" s="6" t="n"/>
      <c r="G45" s="6" t="n"/>
      <c r="H45" s="6" t="n"/>
      <c r="I45" s="6" t="n"/>
      <c r="J45" s="6" t="n"/>
      <c r="K45" s="6" t="n"/>
      <c r="L45" s="6" t="n"/>
      <c r="M45" s="6" t="n">
        <v>197.44</v>
      </c>
      <c r="N45" s="6">
        <f>SUM(B45:M45)</f>
        <v/>
      </c>
    </row>
    <row r="46">
      <c r="A46" s="5" t="inlineStr">
        <is>
          <t>Utilities</t>
        </is>
      </c>
      <c r="B46" s="6" t="n"/>
      <c r="C46" s="6" t="n"/>
      <c r="D46" s="6" t="n"/>
      <c r="E46" s="6" t="n"/>
      <c r="F46" s="6" t="n"/>
      <c r="G46" s="6" t="n"/>
      <c r="H46" s="6" t="n"/>
      <c r="I46" s="6" t="n"/>
      <c r="J46" s="6" t="n"/>
      <c r="K46" s="6" t="n"/>
      <c r="L46" s="6" t="n"/>
      <c r="M46" s="6" t="n"/>
      <c r="N46" s="6">
        <f>SUM(B46:M46)</f>
        <v/>
      </c>
    </row>
    <row r="47">
      <c r="A47" s="5" t="inlineStr">
        <is>
          <t>Insurance</t>
        </is>
      </c>
      <c r="B47" s="6" t="n"/>
      <c r="C47" s="6" t="n"/>
      <c r="D47" s="6" t="n"/>
      <c r="E47" s="6" t="n"/>
      <c r="F47" s="6" t="n"/>
      <c r="G47" s="6" t="n"/>
      <c r="H47" s="6" t="n"/>
      <c r="I47" s="6" t="n"/>
      <c r="J47" s="6" t="n"/>
      <c r="K47" s="6" t="n"/>
      <c r="L47" s="6" t="n"/>
      <c r="M47" s="6" t="n"/>
      <c r="N47" s="6">
        <f>SUM(B47:M47)</f>
        <v/>
      </c>
    </row>
    <row r="48">
      <c r="A48" s="8" t="inlineStr">
        <is>
          <t>TOTAL EXPENSES</t>
        </is>
      </c>
      <c r="B48" s="9">
        <f>SUM(B33:B47)</f>
        <v/>
      </c>
      <c r="C48" s="9">
        <f>SUM(C33:C47)</f>
        <v/>
      </c>
      <c r="D48" s="9">
        <f>SUM(D33:D47)</f>
        <v/>
      </c>
      <c r="E48" s="9">
        <f>SUM(E33:E47)</f>
        <v/>
      </c>
      <c r="F48" s="9">
        <f>SUM(F33:F47)</f>
        <v/>
      </c>
      <c r="G48" s="9">
        <f>SUM(G33:G47)</f>
        <v/>
      </c>
      <c r="H48" s="9">
        <f>SUM(H33:H47)</f>
        <v/>
      </c>
      <c r="I48" s="9">
        <f>SUM(I33:I47)</f>
        <v/>
      </c>
      <c r="J48" s="9">
        <f>SUM(J33:J47)</f>
        <v/>
      </c>
      <c r="K48" s="9">
        <f>SUM(K33:K47)</f>
        <v/>
      </c>
      <c r="L48" s="9">
        <f>SUM(L33:L47)</f>
        <v/>
      </c>
      <c r="M48" s="9">
        <f>SUM(M33:M47)</f>
        <v/>
      </c>
      <c r="N48" s="9">
        <f>SUM(N33:N47)</f>
        <v/>
      </c>
    </row>
    <row r="49"/>
    <row r="50">
      <c r="A50" s="2" t="inlineStr">
        <is>
          <t>YEAR TO DATE LESS EXPENSES</t>
        </is>
      </c>
      <c r="B50" s="10">
        <f>SUM(B30-B48)</f>
        <v/>
      </c>
      <c r="C50" s="10">
        <f>SUM(C30-C48)</f>
        <v/>
      </c>
      <c r="D50" s="10">
        <f>SUM(D30-D48)</f>
        <v/>
      </c>
      <c r="E50" s="10">
        <f>SUM(E30-E48)</f>
        <v/>
      </c>
      <c r="F50" s="10">
        <f>SUM(F30-F48)</f>
        <v/>
      </c>
      <c r="G50" s="10">
        <f>SUM(G30-G48)</f>
        <v/>
      </c>
      <c r="H50" s="10">
        <f>SUM(H30-H48)</f>
        <v/>
      </c>
      <c r="I50" s="10">
        <f>SUM(I30-I48)</f>
        <v/>
      </c>
      <c r="J50" s="10">
        <f>SUM(J30-J48)</f>
        <v/>
      </c>
      <c r="K50" s="10">
        <f>SUM(K30-K48)</f>
        <v/>
      </c>
      <c r="L50" s="10">
        <f>SUM(L30-L48)</f>
        <v/>
      </c>
      <c r="M50" s="10">
        <f>SUM(M30-M48)</f>
        <v/>
      </c>
      <c r="N50" s="10">
        <f>SUM(N30-N48)</f>
        <v/>
      </c>
    </row>
    <row r="51">
      <c r="A51" s="11" t="n">
        <v>2025</v>
      </c>
    </row>
    <row r="52">
      <c r="A52" s="2" t="inlineStr">
        <is>
          <t>INCOME</t>
        </is>
      </c>
      <c r="B52" s="3" t="inlineStr">
        <is>
          <t>JAN</t>
        </is>
      </c>
      <c r="C52" s="3" t="inlineStr">
        <is>
          <t>FEB</t>
        </is>
      </c>
      <c r="D52" s="3" t="inlineStr">
        <is>
          <t>MAR</t>
        </is>
      </c>
      <c r="E52" s="3" t="inlineStr">
        <is>
          <t>APR</t>
        </is>
      </c>
      <c r="F52" s="3" t="inlineStr">
        <is>
          <t>MAY</t>
        </is>
      </c>
      <c r="G52" s="3" t="inlineStr">
        <is>
          <t>JUN</t>
        </is>
      </c>
      <c r="H52" s="3" t="inlineStr">
        <is>
          <t>JUL</t>
        </is>
      </c>
      <c r="I52" s="3" t="inlineStr">
        <is>
          <t>AUG</t>
        </is>
      </c>
      <c r="J52" s="3" t="inlineStr">
        <is>
          <t>SEP</t>
        </is>
      </c>
      <c r="K52" s="3" t="inlineStr">
        <is>
          <t>OCT</t>
        </is>
      </c>
      <c r="L52" s="3" t="inlineStr">
        <is>
          <t>NOV</t>
        </is>
      </c>
      <c r="M52" s="3" t="inlineStr">
        <is>
          <t>DEC</t>
        </is>
      </c>
      <c r="N52" s="3" t="inlineStr">
        <is>
          <t>YEARLY</t>
        </is>
      </c>
    </row>
    <row r="53">
      <c r="A53" s="5" t="inlineStr">
        <is>
          <t>Art Sales</t>
        </is>
      </c>
      <c r="B53" s="12" t="n">
        <v>14000</v>
      </c>
      <c r="C53" s="12" t="n">
        <v>136000</v>
      </c>
      <c r="D53" s="13" t="n">
        <v>0</v>
      </c>
      <c r="E53" s="13" t="n">
        <v>0</v>
      </c>
      <c r="F53" s="13" t="n">
        <v>0</v>
      </c>
      <c r="G53" s="13" t="n">
        <v>0</v>
      </c>
      <c r="H53" s="13" t="n">
        <v>0</v>
      </c>
      <c r="I53" s="13" t="n">
        <v>0</v>
      </c>
      <c r="J53" s="13" t="n">
        <v>0</v>
      </c>
      <c r="K53" s="13" t="n">
        <v>0</v>
      </c>
      <c r="L53" s="13" t="n">
        <v>0</v>
      </c>
      <c r="M53" s="13" t="n">
        <v>0</v>
      </c>
      <c r="N53" s="6">
        <f>SUM(B53:M53)</f>
        <v/>
      </c>
    </row>
    <row r="54">
      <c r="A54" s="5" t="inlineStr">
        <is>
          <t>Consultant</t>
        </is>
      </c>
      <c r="B54" s="13" t="n">
        <v>0</v>
      </c>
      <c r="C54" s="13" t="n">
        <v>0</v>
      </c>
      <c r="D54" s="13" t="n">
        <v>0</v>
      </c>
      <c r="E54" s="13" t="n">
        <v>0</v>
      </c>
      <c r="F54" s="13" t="n">
        <v>0</v>
      </c>
      <c r="G54" s="12" t="n">
        <v>13595</v>
      </c>
      <c r="H54" s="13" t="n">
        <v>0</v>
      </c>
      <c r="I54" s="13" t="n">
        <v>0</v>
      </c>
      <c r="J54" s="13" t="n">
        <v>0</v>
      </c>
      <c r="K54" s="13" t="n">
        <v>0</v>
      </c>
      <c r="L54" s="13" t="n">
        <v>0</v>
      </c>
      <c r="M54" s="13" t="n">
        <v>0</v>
      </c>
      <c r="N54" s="14">
        <f>SUM(B54:M54)</f>
        <v/>
      </c>
    </row>
    <row r="55">
      <c r="A55" s="5" t="inlineStr">
        <is>
          <t>Total</t>
        </is>
      </c>
      <c r="B55" s="6">
        <f>SUM(B53:B54)</f>
        <v/>
      </c>
      <c r="C55" s="6">
        <f>SUM(C53:C54)</f>
        <v/>
      </c>
      <c r="D55" s="6">
        <f>SUM(D53:D54)</f>
        <v/>
      </c>
      <c r="E55" s="6">
        <f>SUM(E53:E54)</f>
        <v/>
      </c>
      <c r="F55" s="6">
        <f>SUM(F53:F54)</f>
        <v/>
      </c>
      <c r="G55" s="6">
        <f>SUM(G53:G54)</f>
        <v/>
      </c>
      <c r="H55" s="6">
        <f>SUM(H53:H54)</f>
        <v/>
      </c>
      <c r="I55" s="6">
        <f>SUM(I53:I54)</f>
        <v/>
      </c>
      <c r="J55" s="6">
        <f>SUM(J53:J54)</f>
        <v/>
      </c>
      <c r="K55" s="6">
        <f>SUM(K53:K54)</f>
        <v/>
      </c>
      <c r="L55" s="6">
        <f>SUM(L53:L54)</f>
        <v/>
      </c>
      <c r="M55" s="6">
        <f>SUM(M53:M54)</f>
        <v/>
      </c>
      <c r="N55" s="6">
        <f>SUM(N53:N54)</f>
        <v/>
      </c>
    </row>
    <row r="56">
      <c r="B56" s="6" t="n"/>
      <c r="C56" s="6" t="n"/>
      <c r="D56" s="6" t="n"/>
      <c r="E56" s="6" t="n"/>
      <c r="F56" s="6" t="n"/>
      <c r="G56" s="6" t="n"/>
      <c r="H56" s="6" t="n"/>
      <c r="I56" s="6" t="n"/>
      <c r="J56" s="6" t="n"/>
      <c r="K56" s="6" t="n"/>
      <c r="L56" s="6" t="n"/>
      <c r="M56" s="6" t="n"/>
      <c r="N56" s="6" t="n"/>
    </row>
    <row r="57">
      <c r="A57" s="7" t="inlineStr">
        <is>
          <t>EXPENSES</t>
        </is>
      </c>
      <c r="B57" s="3" t="inlineStr">
        <is>
          <t>JAN</t>
        </is>
      </c>
      <c r="C57" s="3" t="inlineStr">
        <is>
          <t>FEB</t>
        </is>
      </c>
      <c r="D57" s="3" t="inlineStr">
        <is>
          <t>MAR</t>
        </is>
      </c>
      <c r="E57" s="3" t="inlineStr">
        <is>
          <t>APR</t>
        </is>
      </c>
      <c r="F57" s="3" t="inlineStr">
        <is>
          <t>MAY</t>
        </is>
      </c>
      <c r="G57" s="3" t="inlineStr">
        <is>
          <t>JUN</t>
        </is>
      </c>
      <c r="H57" s="3" t="inlineStr">
        <is>
          <t>JUL</t>
        </is>
      </c>
      <c r="I57" s="3" t="inlineStr">
        <is>
          <t>AUG</t>
        </is>
      </c>
      <c r="J57" s="3" t="inlineStr">
        <is>
          <t>SEP</t>
        </is>
      </c>
      <c r="K57" s="3" t="inlineStr">
        <is>
          <t>OCT</t>
        </is>
      </c>
      <c r="L57" s="3" t="inlineStr">
        <is>
          <t>NOV</t>
        </is>
      </c>
      <c r="M57" s="3" t="inlineStr">
        <is>
          <t>DEC</t>
        </is>
      </c>
      <c r="N57" s="3" t="inlineStr">
        <is>
          <t>YEARLY</t>
        </is>
      </c>
    </row>
    <row r="58">
      <c r="A58" s="5" t="inlineStr">
        <is>
          <t>Supplies (office and operating)</t>
        </is>
      </c>
      <c r="B58" s="15" t="n">
        <v>0</v>
      </c>
      <c r="C58" s="15" t="n">
        <v>0</v>
      </c>
      <c r="D58" s="15" t="n">
        <v>0</v>
      </c>
      <c r="E58" s="6" t="n"/>
      <c r="F58" s="6" t="n"/>
      <c r="G58" s="6" t="n"/>
      <c r="H58" s="6" t="n"/>
      <c r="I58" s="6" t="n"/>
      <c r="J58" s="6" t="n"/>
      <c r="K58" s="6" t="n"/>
      <c r="L58" s="6" t="n"/>
      <c r="M58" s="6" t="n"/>
      <c r="N58" s="6">
        <f>SUM(B58:M58)</f>
        <v/>
      </c>
    </row>
    <row r="59">
      <c r="A59" s="5" t="inlineStr">
        <is>
          <t>Office Construction</t>
        </is>
      </c>
      <c r="B59" s="6" t="n"/>
      <c r="C59" s="6" t="n"/>
      <c r="D59" s="6" t="n"/>
      <c r="E59" s="6" t="n"/>
      <c r="F59" s="6" t="n"/>
      <c r="G59" s="6" t="n"/>
      <c r="H59" s="6" t="n"/>
      <c r="I59" s="6" t="n"/>
      <c r="J59" s="6" t="n"/>
      <c r="K59" s="6" t="n"/>
      <c r="L59" s="6" t="n"/>
      <c r="M59" s="6" t="n"/>
      <c r="N59" s="6">
        <f>SUM(B59:M59)</f>
        <v/>
      </c>
    </row>
    <row r="60">
      <c r="A60" s="5" t="inlineStr">
        <is>
          <t xml:space="preserve">Office Interior </t>
        </is>
      </c>
      <c r="B60" s="6" t="n"/>
      <c r="C60" s="6" t="n"/>
      <c r="D60" s="6" t="n"/>
      <c r="E60" s="6" t="n"/>
      <c r="F60" s="6" t="n"/>
      <c r="G60" s="6" t="n"/>
      <c r="H60" s="6" t="n"/>
      <c r="I60" s="6" t="n"/>
      <c r="J60" s="6" t="n"/>
      <c r="K60" s="6" t="n"/>
      <c r="L60" s="6" t="n"/>
      <c r="M60" s="6" t="n"/>
      <c r="N60" s="6">
        <f>SUM(B60:M60)</f>
        <v/>
      </c>
    </row>
    <row r="61">
      <c r="A61" s="5" t="inlineStr">
        <is>
          <t>Office Furniture</t>
        </is>
      </c>
      <c r="B61" s="6" t="n"/>
      <c r="C61" s="6" t="n"/>
      <c r="D61" s="6" t="n"/>
      <c r="E61" s="6" t="n"/>
      <c r="F61" s="6" t="n"/>
      <c r="G61" s="15" t="n">
        <v>0</v>
      </c>
      <c r="H61" s="15" t="n">
        <v>0</v>
      </c>
      <c r="I61" s="6" t="n"/>
      <c r="J61" s="6" t="n"/>
      <c r="K61" s="6" t="n"/>
      <c r="L61" s="6" t="n"/>
      <c r="M61" s="6" t="n"/>
      <c r="N61" s="6">
        <f>SUM(B61:M61)</f>
        <v/>
      </c>
    </row>
    <row r="62">
      <c r="A62" s="5" t="inlineStr">
        <is>
          <t>Repairs and maintenance</t>
        </is>
      </c>
      <c r="B62" s="6" t="n"/>
      <c r="C62" s="6" t="n"/>
      <c r="D62" s="6" t="n"/>
      <c r="E62" s="6" t="n"/>
      <c r="F62" s="6" t="n"/>
      <c r="G62" s="6" t="n"/>
      <c r="H62" s="6" t="n"/>
      <c r="I62" s="6" t="n"/>
      <c r="J62" s="6" t="n"/>
      <c r="K62" s="6" t="n"/>
      <c r="L62" s="6" t="n"/>
      <c r="M62" s="6" t="n"/>
      <c r="N62" s="6">
        <f>SUM(B62:M62)</f>
        <v/>
      </c>
    </row>
    <row r="63">
      <c r="A63" s="5" t="inlineStr">
        <is>
          <t>Advertising</t>
        </is>
      </c>
      <c r="B63" s="6" t="n">
        <v>0</v>
      </c>
      <c r="C63" s="6" t="n">
        <v>0</v>
      </c>
      <c r="D63" s="16" t="n">
        <v>755.98</v>
      </c>
      <c r="E63" s="6" t="n">
        <v>0</v>
      </c>
      <c r="F63" s="16" t="n">
        <v>199</v>
      </c>
      <c r="G63" s="6" t="n">
        <v>0</v>
      </c>
      <c r="H63" s="6" t="n">
        <v>0</v>
      </c>
      <c r="I63" s="6" t="n">
        <v>0</v>
      </c>
      <c r="J63" s="6" t="n">
        <v>0</v>
      </c>
      <c r="K63" s="6" t="n">
        <v>0</v>
      </c>
      <c r="L63" s="6" t="n">
        <v>0</v>
      </c>
      <c r="M63" s="6" t="n">
        <v>0</v>
      </c>
      <c r="N63" s="6">
        <f>SUM(B63:M63)</f>
        <v/>
      </c>
    </row>
    <row r="64">
      <c r="A64" s="5" t="inlineStr">
        <is>
          <t>Travel, Meals, and Entertainment</t>
        </is>
      </c>
      <c r="B64" s="6" t="n">
        <v>0</v>
      </c>
      <c r="C64" s="16" t="n">
        <v>20</v>
      </c>
      <c r="D64" s="6" t="n">
        <v>0</v>
      </c>
      <c r="E64" s="6" t="n">
        <v>0</v>
      </c>
      <c r="F64" s="16" t="n">
        <v>20</v>
      </c>
      <c r="G64" s="6" t="n">
        <v>0</v>
      </c>
      <c r="H64" s="16" t="n">
        <v>20</v>
      </c>
      <c r="I64" s="16" t="n">
        <v>20</v>
      </c>
      <c r="J64" s="6" t="n">
        <v>0</v>
      </c>
      <c r="K64" s="16" t="n">
        <v>20</v>
      </c>
      <c r="L64" s="16" t="n">
        <v>53</v>
      </c>
      <c r="M64" s="6" t="n">
        <v>0</v>
      </c>
      <c r="N64" s="6">
        <f>SUM(B64:M64)</f>
        <v/>
      </c>
    </row>
    <row r="65">
      <c r="A65" s="5" t="inlineStr">
        <is>
          <t>Accounting and legal</t>
        </is>
      </c>
      <c r="B65" s="6" t="n"/>
      <c r="C65" s="6" t="n"/>
      <c r="D65" s="6" t="n"/>
      <c r="E65" s="6" t="n"/>
      <c r="F65" s="6" t="n"/>
      <c r="G65" s="6" t="n"/>
      <c r="H65" s="6" t="n"/>
      <c r="I65" s="6" t="n"/>
      <c r="J65" s="6" t="n"/>
      <c r="K65" s="6" t="n"/>
      <c r="L65" s="6" t="n"/>
      <c r="M65" s="6" t="n"/>
      <c r="N65" s="6">
        <f>SUM(B65:M65)</f>
        <v/>
      </c>
    </row>
    <row r="66">
      <c r="A66" s="5" t="inlineStr">
        <is>
          <t>Cellphone and Internet</t>
        </is>
      </c>
      <c r="B66" s="16" t="n">
        <v>51.12</v>
      </c>
      <c r="C66" s="16" t="n">
        <v>93.26000000000001</v>
      </c>
      <c r="D66" s="16" t="n">
        <v>98.26000000000001</v>
      </c>
      <c r="E66" s="16" t="n">
        <v>98.26000000000001</v>
      </c>
      <c r="F66" s="16" t="n">
        <v>98.26000000000001</v>
      </c>
      <c r="G66" s="16" t="n">
        <v>98.26000000000001</v>
      </c>
      <c r="H66" s="16" t="n">
        <v>98.23</v>
      </c>
      <c r="I66" s="16" t="n">
        <v>98.34</v>
      </c>
      <c r="J66" s="16" t="n">
        <v>98.34</v>
      </c>
      <c r="K66" s="16" t="n">
        <v>98.39</v>
      </c>
      <c r="L66" s="16" t="n">
        <v>98.39</v>
      </c>
      <c r="M66" s="16" t="n">
        <v>97.91</v>
      </c>
      <c r="N66" s="6">
        <f>SUM(B66:M66)</f>
        <v/>
      </c>
    </row>
    <row r="67">
      <c r="A67" s="5" t="inlineStr">
        <is>
          <t>Software Fees</t>
        </is>
      </c>
      <c r="B67" s="16" t="n">
        <v>22.17</v>
      </c>
      <c r="C67" s="16" t="n">
        <v>22.17</v>
      </c>
      <c r="D67" s="16" t="n">
        <v>22.17</v>
      </c>
      <c r="E67" s="16" t="n">
        <v>22.17</v>
      </c>
      <c r="F67" s="16" t="n">
        <v>22.17</v>
      </c>
      <c r="G67" s="16" t="n">
        <v>22.17</v>
      </c>
      <c r="H67" s="16" t="n">
        <v>22.17</v>
      </c>
      <c r="I67" s="16" t="n">
        <v>2.17</v>
      </c>
      <c r="J67" s="16" t="n">
        <v>57.17</v>
      </c>
      <c r="K67" s="16" t="n">
        <v>37.17</v>
      </c>
      <c r="L67" s="16" t="n">
        <v>17.17</v>
      </c>
      <c r="M67" s="16" t="n">
        <v>57.17</v>
      </c>
      <c r="N67" s="6">
        <f>SUM(B67:M67)</f>
        <v/>
      </c>
    </row>
    <row r="68">
      <c r="A68" s="5" t="inlineStr">
        <is>
          <t>Tech</t>
        </is>
      </c>
      <c r="B68" s="6" t="n">
        <v>0</v>
      </c>
      <c r="C68" s="6" t="n">
        <v>0</v>
      </c>
      <c r="D68" s="6" t="n">
        <v>0</v>
      </c>
      <c r="E68" s="16" t="n">
        <v>20</v>
      </c>
      <c r="F68" s="16" t="n">
        <v>192</v>
      </c>
      <c r="G68" s="6" t="n">
        <v>0</v>
      </c>
      <c r="H68" s="6" t="n">
        <v>0</v>
      </c>
      <c r="I68" s="6" t="n">
        <v>0</v>
      </c>
      <c r="J68" s="6" t="n">
        <v>0</v>
      </c>
      <c r="K68" s="6" t="n">
        <v>0</v>
      </c>
      <c r="L68" s="6" t="n">
        <v>0</v>
      </c>
      <c r="M68" s="6" t="n">
        <v>0</v>
      </c>
      <c r="N68" s="6">
        <f>SUM(B68:M68)</f>
        <v/>
      </c>
    </row>
    <row r="69">
      <c r="A69" s="5" t="inlineStr">
        <is>
          <t>Consultant Fees</t>
        </is>
      </c>
      <c r="B69" s="13" t="n">
        <v>0</v>
      </c>
      <c r="C69" s="13" t="n">
        <v>0</v>
      </c>
      <c r="D69" s="13" t="n">
        <v>0</v>
      </c>
      <c r="E69" s="13" t="n">
        <v>0</v>
      </c>
      <c r="F69" s="13" t="n">
        <v>0</v>
      </c>
      <c r="G69" s="13" t="n">
        <v>0</v>
      </c>
      <c r="H69" s="12" t="n">
        <v>334.17</v>
      </c>
      <c r="I69" s="13" t="n">
        <v>0</v>
      </c>
      <c r="J69" s="13" t="n">
        <v>0</v>
      </c>
      <c r="K69" s="12" t="n">
        <v>658.63</v>
      </c>
      <c r="L69" s="13" t="n">
        <v>0</v>
      </c>
      <c r="M69" s="13" t="n">
        <v>0</v>
      </c>
      <c r="N69" s="6">
        <f>SUM(B69:M69)</f>
        <v/>
      </c>
    </row>
    <row r="70">
      <c r="A70" s="5" t="inlineStr">
        <is>
          <t>Art Library</t>
        </is>
      </c>
      <c r="B70" s="16" t="n">
        <v>153.44</v>
      </c>
      <c r="C70" s="16" t="n">
        <v>78.47</v>
      </c>
      <c r="D70" s="6" t="n">
        <v>0</v>
      </c>
      <c r="E70" s="16" t="n">
        <v>63.69</v>
      </c>
      <c r="F70" s="6" t="n">
        <v>0</v>
      </c>
      <c r="G70" s="6" t="n">
        <v>0</v>
      </c>
      <c r="H70" s="6" t="n">
        <v>0</v>
      </c>
      <c r="I70" s="6" t="n">
        <v>0</v>
      </c>
      <c r="J70" s="6" t="n">
        <v>0</v>
      </c>
      <c r="K70" s="6" t="n">
        <v>0</v>
      </c>
      <c r="L70" s="6" t="n">
        <v>0</v>
      </c>
      <c r="M70" s="6" t="n">
        <v>0</v>
      </c>
      <c r="N70" s="6">
        <f>SUM(B70:M70)</f>
        <v/>
      </c>
    </row>
    <row r="71">
      <c r="A71" s="5" t="inlineStr">
        <is>
          <t>Utilities</t>
        </is>
      </c>
      <c r="B71" s="6" t="n"/>
      <c r="C71" s="6" t="n"/>
      <c r="D71" s="6" t="n"/>
      <c r="E71" s="6" t="n"/>
      <c r="F71" s="6" t="n"/>
      <c r="G71" s="6" t="n"/>
      <c r="H71" s="6" t="n"/>
      <c r="I71" s="6" t="n"/>
      <c r="J71" s="6" t="n"/>
      <c r="K71" s="6" t="n"/>
      <c r="L71" s="6" t="n"/>
      <c r="M71" s="6" t="n"/>
      <c r="N71" s="6">
        <f>SUM(B71:M71)</f>
        <v/>
      </c>
    </row>
    <row r="72">
      <c r="A72" s="5" t="inlineStr">
        <is>
          <t>Insurance</t>
        </is>
      </c>
      <c r="B72" s="6" t="n"/>
      <c r="C72" s="6" t="n"/>
      <c r="D72" s="6" t="n"/>
      <c r="E72" s="6" t="n"/>
      <c r="F72" s="6" t="n"/>
      <c r="G72" s="6" t="n"/>
      <c r="H72" s="6" t="n"/>
      <c r="I72" s="6" t="n"/>
      <c r="J72" s="6" t="n"/>
      <c r="K72" s="6" t="n"/>
      <c r="L72" s="6" t="n"/>
      <c r="M72" s="6" t="n"/>
      <c r="N72" s="6">
        <f>SUM(B72:M72)</f>
        <v/>
      </c>
    </row>
    <row r="73">
      <c r="A73" s="8" t="inlineStr">
        <is>
          <t>TOTAL EXPENSES</t>
        </is>
      </c>
      <c r="B73" s="9">
        <f>SUM(B58:B72)</f>
        <v/>
      </c>
      <c r="C73" s="9">
        <f>SUM(C58:C72)</f>
        <v/>
      </c>
      <c r="D73" s="9">
        <f>SUM(D58:D72)</f>
        <v/>
      </c>
      <c r="E73" s="9">
        <f>SUM(E58:E72)</f>
        <v/>
      </c>
      <c r="F73" s="9">
        <f>SUM(F58:F72)</f>
        <v/>
      </c>
      <c r="G73" s="9">
        <f>SUM(G58:G72)</f>
        <v/>
      </c>
      <c r="H73" s="9">
        <f>SUM(H58:H72)</f>
        <v/>
      </c>
      <c r="I73" s="9">
        <f>SUM(I58:I72)</f>
        <v/>
      </c>
      <c r="J73" s="9">
        <f>SUM(J58:J72)</f>
        <v/>
      </c>
      <c r="K73" s="9">
        <f>SUM(K58:K72)</f>
        <v/>
      </c>
      <c r="L73" s="9">
        <f>SUM(L58:L72)</f>
        <v/>
      </c>
      <c r="M73" s="9">
        <f>SUM(M58:M72)</f>
        <v/>
      </c>
      <c r="N73" s="9">
        <f>SUM(N58:N72)</f>
        <v/>
      </c>
    </row>
    <row r="74"/>
    <row r="75">
      <c r="A75" s="17" t="inlineStr">
        <is>
          <t>2025 Mercury 2026-09-20: Art Sales = MATCHED/LOCKED cash (Berk $14,000 Jan + Berk $30,000 / mosaics $105,000 / Aquinas books $1,000 Feb = $150,000). Consultant June $13,595 = David Aaron Limited LOCKED (user: consultant fee, not a sale). Consultant Fees July $334.17 + October $658.63 = Wise expertise write-ups LOCKED ($992.80). EOEB remainder $130,270.00 and L5 $87,396.32 MIXED PATTERN CONFIRMED (art sales + advisory/consultant) — invoice-level split still ASK; not dumped onto Consultant or Art Sales. Koziol/Ariadne $150,000 LOCKED pass-through — not P&amp;L. Coinbase is Investments, not this tab. Newstar $23,581 is Art Sales COGS, not operating expense. Dec Wise $565.75 reimbursed — not on Consultant Fees. Aquinas books Cost TBD — cash on Art Sales, not in I8. GCM 1099 is personal. Not tax advice.</t>
        </is>
      </c>
    </row>
    <row r="76"/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2026-09-20T13:37:21Z</dcterms:created>
  <dcterms:modified xsi:type="dcterms:W3CDTF">2026-09-20T13:37:21Z</dcterms:modified>
</cp:coreProperties>
</file>