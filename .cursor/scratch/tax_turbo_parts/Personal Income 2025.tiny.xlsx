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come" sheetId="1" r:id="rId1"/>
    <sheet name="524 Ferdinand Ave, Unit 2" sheetId="2" r:id="rId2"/>
    <sheet name="216 N. Oak Park Ave" sheetId="3" r:id="rId3"/>
    <sheet name="EPGC LLC" sheetId="4" r:id="rId4"/>
    <sheet name="Refrence Library" sheetId="5" r:id="rId5"/>
    <sheet name="Art Sales and Purchases" sheetId="6" r:id="rId6"/>
    <sheet name="GCM" sheetId="7" r:id="rId7"/>
    <sheet name="Hindman W2" sheetId="8" r:id="rId8"/>
    <sheet name="Megan T4" sheetId="9" r:id="rId9"/>
    <sheet name="Investments" sheetId="10" r:id="rId10"/>
    <sheet name="524 Ferdinand Ave, Unit 1" sheetId="11" r:id="rId11"/>
    <sheet name="2025 Data sources" sheetId="12" r:id="rId12"/>
  </sheets>
</workbook>
</file>

<file path=xl/sharedStrings.xml><?xml version="1.0" encoding="utf-8"?>
<sst xmlns="http://schemas.openxmlformats.org/spreadsheetml/2006/main" count="344" uniqueCount="344">
  <si>
    <t xml:space="preserve">2022</t>
  </si>
  <si>
    <t xml:space="preserve">2023</t>
  </si>
  <si>
    <t xml:space="preserve">2024</t>
  </si>
  <si>
    <t xml:space="preserve">2025</t>
  </si>
  <si>
    <t xml:space="preserve">Projected </t>
  </si>
  <si>
    <t xml:space="preserve">Actual</t>
  </si>
  <si>
    <t xml:space="preserve">Projected</t>
  </si>
  <si>
    <t xml:space="preserve">Income</t>
  </si>
  <si>
    <t xml:space="preserve">Hindman </t>
  </si>
  <si>
    <t xml:space="preserve">216 N. Oak Park Ave</t>
  </si>
  <si>
    <t xml:space="preserve">524 Ferdinand Ave #2</t>
  </si>
  <si>
    <t xml:space="preserve">GCM Boards</t>
  </si>
  <si>
    <t xml:space="preserve">Art Sales</t>
  </si>
  <si>
    <t xml:space="preserve">Megan's Income</t>
  </si>
  <si>
    <t xml:space="preserve">EBITDA</t>
  </si>
  <si>
    <t xml:space="preserve">PROPERTY ADDRESS</t>
  </si>
  <si>
    <t xml:space="preserve">524 Ferdinand Avenue, Unit 2</t>
  </si>
  <si>
    <t xml:space="preserve">INCOME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</si>
  <si>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</si>
  <si>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</si>
  <si>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</si>
  <si>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</si>
  <si>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</si>
  <si>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</si>
  <si>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</si>
  <si>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</si>
  <si>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SEPT</t>
  </si>
  <si>
    <t xml:space="preserve">OCT</t>
  </si>
  <si>
    <t xml:space="preserve">NOV</t>
  </si>
  <si>
    <t xml:space="preserve">DEC</t>
  </si>
  <si>
    <t xml:space="preserve">2023 YR TOTAL</t>
  </si>
  <si>
    <t xml:space="preserve">2024 YR TOTAL</t>
  </si>
  <si>
    <t xml:space="preserve">2025 YR TOTAL</t>
  </si>
  <si>
    <t xml:space="preserve">MULTI-PROPERTY INCOME OVERVIEW</t>
  </si>
  <si>
    <t xml:space="preserve">RENTAL INCOME</t>
  </si>
  <si>
    <t xml:space="preserve">GROSS RENTAL INCOME</t>
  </si>
  <si>
    <t xml:space="preserve">EXPENSES</t>
  </si>
  <si>
    <t xml:space="preserve">YR TOTAL</t>
  </si>
  <si>
    <t xml:space="preserve">MULTI-PROPERTY EXPENSES OVERVIEW</t>
  </si>
  <si>
    <t xml:space="preserve">MARKETING / ADVERTISING</t>
  </si>
  <si>
    <t xml:space="preserve">SERVICE FEES</t>
  </si>
  <si>
    <t xml:space="preserve">REMITTED TAX</t>
  </si>
  <si>
    <t xml:space="preserve">INSURANCE</t>
  </si>
  <si>
    <t xml:space="preserve">INTERIOR MAINTENANCE</t>
  </si>
  <si>
    <t xml:space="preserve">EXTERIOR REPAIRS</t>
  </si>
  <si>
    <t xml:space="preserve">VILLAGE WATER AND REFUSE</t>
  </si>
  <si>
    <t xml:space="preserve">GAS</t>
  </si>
  <si>
    <t xml:space="preserve">ELECTRIC</t>
  </si>
  <si>
    <t xml:space="preserve">INTERNET</t>
  </si>
  <si>
    <t xml:space="preserve">CORRESPONDENCE</t>
  </si>
  <si>
    <t xml:space="preserve">INTERIOR DESIGNER/ ORGANIZER FEES</t>
  </si>
  <si>
    <t xml:space="preserve">TRAVEL EXPENSES</t>
  </si>
  <si>
    <t xml:space="preserve">EQUIPMENT/APPLIANCE PURCHASES</t>
  </si>
  <si>
    <t xml:space="preserve">EQUIPMENT/APPLIANCE RENTAL FEES</t>
  </si>
  <si>
    <t xml:space="preserve">LAND TAX</t>
  </si>
  <si>
    <t xml:space="preserve">BORROWING EXPENSES</t>
  </si>
  <si>
    <t xml:space="preserve">LOANS INTEREST</t>
  </si>
  <si>
    <t xml:space="preserve">YARD STARTUP CONSTRUCTION</t>
  </si>
  <si>
    <t xml:space="preserve">YARD EQUIPMENT</t>
  </si>
  <si>
    <t xml:space="preserve">YARD FURNITURE</t>
  </si>
  <si>
    <t xml:space="preserve">YARD SERVICE</t>
  </si>
  <si>
    <t xml:space="preserve">SUPPLIES (Grove Collaborative)</t>
  </si>
  <si>
    <t xml:space="preserve">TOTAL EXPENSES</t>
  </si>
  <si>
    <t xml:space="preserve">YEAR-TO-DATE INCOME LESS EXPENSES</t>
  </si>
  <si>
    <t xml:space="preserve">216 N. Oak Park Avenue #1Z</t>
  </si>
  <si>
    <t xml:space="preserve">OTHER INCOME</t>
  </si>
  <si>
    <t xml:space="preserve">='[1]Property Management Overview...</t>
  </si>
  <si>
    <t xml:space="preserve">RENTER'S INSURANCE</t>
  </si>
  <si>
    <t xml:space="preserve">INTERIOR REPAIR</t>
  </si>
  <si>
    <t xml:space="preserve">MORTGAGE</t>
  </si>
  <si>
    <t xml:space="preserve">HOA</t>
  </si>
  <si>
    <t xml:space="preserve">ELECTRICAL WORK (GROUNDING, ESTIM...</t>
  </si>
  <si>
    <t xml:space="preserve">MOVE OUT FEE</t>
  </si>
  <si>
    <t xml:space="preserve">SEP</t>
  </si>
  <si>
    <t xml:space="preserve">YEARLY</t>
  </si>
  <si>
    <t xml:space="preserve">Consultant</t>
  </si>
  <si>
    <t xml:space="preserve">Total</t>
  </si>
  <si>
    <t xml:space="preserve">Supplies (office and operating)</t>
  </si>
  <si>
    <t xml:space="preserve">Office Construction</t>
  </si>
  <si>
    <t xml:space="preserve">Office Interior </t>
  </si>
  <si>
    <t xml:space="preserve">Office Furniture</t>
  </si>
  <si>
    <t xml:space="preserve">Repairs and maintenance</t>
  </si>
  <si>
    <t xml:space="preserve">Advertising</t>
  </si>
  <si>
    <t xml:space="preserve">Travel, Meals, and Entertainment</t>
  </si>
  <si>
    <t xml:space="preserve">Accounting and legal</t>
  </si>
  <si>
    <t xml:space="preserve">Cellphone and Internet</t>
  </si>
  <si>
    <t xml:space="preserve">Software Fees</t>
  </si>
  <si>
    <t xml:space="preserve">Tech</t>
  </si>
  <si>
    <t xml:space="preserve">Art Library</t>
  </si>
  <si>
    <t xml:space="preserve">Utilities</t>
  </si>
  <si>
    <t xml:space="preserve">Insurance</t>
  </si>
  <si>
    <t xml:space="preserve">YEAR TO DATE LESS EXPENSES</t>
  </si>
  <si>
    <t xml:space="preserve">Consultant Fees</t>
  </si>
  <si>
    <t xml:space="preserve">Book</t>
  </si>
  <si>
    <t xml:space="preserve">From</t>
  </si>
  <si>
    <t xml:space="preserve">Purchase Price</t>
  </si>
  <si>
    <t xml:space="preserve">Purchase Date </t>
  </si>
  <si>
    <t xml:space="preserve">Method</t>
  </si>
  <si>
    <t xml:space="preserve">Jewelry Books</t>
  </si>
  <si>
    <t xml:space="preserve">Fred Schultz Library</t>
  </si>
  <si>
    <t xml:space="preserve">2025-01-07 00:00:00</t>
  </si>
  <si>
    <t xml:space="preserve">Wire</t>
  </si>
  <si>
    <t xml:space="preserve">Art Sales and Purchases</t>
  </si>
  <si>
    <t xml:space="preserve">Sales 2022</t>
  </si>
  <si>
    <t xml:space="preserve">Object</t>
  </si>
  <si>
    <t xml:space="preserve">Cost</t>
  </si>
  <si>
    <t xml:space="preserve">To</t>
  </si>
  <si>
    <t xml:space="preserve">Sale Price</t>
  </si>
  <si>
    <t xml:space="preserve">Sale Date</t>
  </si>
  <si>
    <t xml:space="preserve">Net Income</t>
  </si>
  <si>
    <t xml:space="preserve">ROI (%)</t>
  </si>
  <si>
    <t xml:space="preserve">Days in Inventory </t>
  </si>
  <si>
    <t xml:space="preserve">Classifier</t>
  </si>
  <si>
    <t xml:space="preserve">An Ashanti Wood Fertility Figure</t>
  </si>
  <si>
    <t xml:space="preserve">Live Auctioneers</t>
  </si>
  <si>
    <t xml:space="preserve">2021-05-28 00:00:00</t>
  </si>
  <si>
    <t xml:space="preserve">Hindman</t>
  </si>
  <si>
    <t xml:space="preserve">2022-07-13 00:00:00</t>
  </si>
  <si>
    <t xml:space="preserve">A Large Maya Hardstone Celt</t>
  </si>
  <si>
    <t xml:space="preserve">2021-12-05 00:00:00</t>
  </si>
  <si>
    <t xml:space="preserve">A Mezcala Stone Figure</t>
  </si>
  <si>
    <t xml:space="preserve">2021-12-18 00:00:00</t>
  </si>
  <si>
    <t xml:space="preserve">A Veracruz Sonriente Figure</t>
  </si>
  <si>
    <t xml:space="preserve">2022-01-08 00:00:00</t>
  </si>
  <si>
    <t xml:space="preserve">A Tairona Metal Tumbaga</t>
  </si>
  <si>
    <t xml:space="preserve">Four Thracian Gilt-Silver Double ...</t>
  </si>
  <si>
    <t xml:space="preserve">2021-05-27 00:00:00</t>
  </si>
  <si>
    <t xml:space="preserve">2022-11-12 00:00:00</t>
  </si>
  <si>
    <t xml:space="preserve">A Thracian Gilt-Silver Tondo of a...</t>
  </si>
  <si>
    <t xml:space="preserve">A Pair of Canosan Painted Pottery...</t>
  </si>
  <si>
    <t xml:space="preserve">Thirteen Saharan Stone Bracelets ...</t>
  </si>
  <si>
    <t xml:space="preserve">Amyas Naegele</t>
  </si>
  <si>
    <t xml:space="preserve">2022-05-11 00:00:00</t>
  </si>
  <si>
    <t xml:space="preserve">Aquinas Hobor</t>
  </si>
  <si>
    <t xml:space="preserve">2022-12-13 00:00:00</t>
  </si>
  <si>
    <t xml:space="preserve">A Greek Style Bronze Corinthian H...</t>
  </si>
  <si>
    <t xml:space="preserve">EBay</t>
  </si>
  <si>
    <t xml:space="preserve">2022-11-30 00:00:00</t>
  </si>
  <si>
    <t xml:space="preserve">Marco Mercanti</t>
  </si>
  <si>
    <t xml:space="preserve">Sales 2023</t>
  </si>
  <si>
    <t xml:space="preserve">Greek Bronze Cheek Pieces</t>
  </si>
  <si>
    <t xml:space="preserve">eBay</t>
  </si>
  <si>
    <t xml:space="preserve">2022-12-23 00:00:00</t>
  </si>
  <si>
    <t xml:space="preserve">2023-05-25 00:00:00</t>
  </si>
  <si>
    <t xml:space="preserve">Egyptian Neolithic Flint Tools (2)</t>
  </si>
  <si>
    <t xml:space="preserve">Arte Primitivo</t>
  </si>
  <si>
    <t xml:space="preserve">Apulian Red Figure Fragment</t>
  </si>
  <si>
    <t xml:space="preserve">Aaron Berk</t>
  </si>
  <si>
    <t xml:space="preserve">2022-06-06 00:00:00</t>
  </si>
  <si>
    <t xml:space="preserve">A Roman-Style Rock Crystal Amphor...</t>
  </si>
  <si>
    <t xml:space="preserve">2022-07-28 00:00:00</t>
  </si>
  <si>
    <t xml:space="preserve">A Roman Mosaic</t>
  </si>
  <si>
    <t xml:space="preserve">ebay</t>
  </si>
  <si>
    <t xml:space="preserve">2023-06-10 00:00:00</t>
  </si>
  <si>
    <t xml:space="preserve">2023-06-22 00:00:00</t>
  </si>
  <si>
    <t xml:space="preserve">Pre-Columbian Jade Earspools</t>
  </si>
  <si>
    <t xml:space="preserve">2023-06-09 00:00:00</t>
  </si>
  <si>
    <t xml:space="preserve">Teo Alabaster Mask</t>
  </si>
  <si>
    <t xml:space="preserve">Mezcala Stone Temple</t>
  </si>
  <si>
    <t xml:space="preserve">Mezcala Stone Figure</t>
  </si>
  <si>
    <t xml:space="preserve">GREEK BRONZE HELMET OF PHRYGIAN TYPE</t>
  </si>
  <si>
    <t xml:space="preserve">Bactrian Style Stone Votive</t>
  </si>
  <si>
    <t xml:space="preserve">A Roman Bronze Knife</t>
  </si>
  <si>
    <t xml:space="preserve">Ebay</t>
  </si>
  <si>
    <t xml:space="preserve">2023-03-03 00:00:00</t>
  </si>
  <si>
    <t xml:space="preserve">Gift</t>
  </si>
  <si>
    <t xml:space="preserve">2023-06-20 00:00:00</t>
  </si>
  <si>
    <t xml:space="preserve">Collection of Cylinder Seals</t>
  </si>
  <si>
    <t xml:space="preserve">Erdal Dere</t>
  </si>
  <si>
    <t xml:space="preserve">2023-07-28 00:00:00</t>
  </si>
  <si>
    <t xml:space="preserve">An Egyptian Cylinder Seal</t>
  </si>
  <si>
    <t xml:space="preserve">2023-09-22 00:00:00</t>
  </si>
  <si>
    <t xml:space="preserve">2023-09-23 00:00:00</t>
  </si>
  <si>
    <t xml:space="preserve">A Collection of Tablets</t>
  </si>
  <si>
    <t xml:space="preserve">Danny Anavian</t>
  </si>
  <si>
    <t xml:space="preserve">2023-11-07 00:00:00</t>
  </si>
  <si>
    <t xml:space="preserve">2023-11-14 00:00:00</t>
  </si>
  <si>
    <t xml:space="preserve">A Gold Coin</t>
  </si>
  <si>
    <t xml:space="preserve">2023-11-16 00:00:00</t>
  </si>
  <si>
    <t xml:space="preserve">Felix Brejente</t>
  </si>
  <si>
    <t xml:space="preserve">Bactrian Chlorite Vessel</t>
  </si>
  <si>
    <t xml:space="preserve">2023-12-05 00:00:00</t>
  </si>
  <si>
    <t xml:space="preserve">An Egyptian Limestone Head of Hathor</t>
  </si>
  <si>
    <t xml:space="preserve">2022-12-16 00:00:00</t>
  </si>
  <si>
    <t xml:space="preserve">Harlan J. Berk</t>
  </si>
  <si>
    <t xml:space="preserve">2023-12-01 00:00:00</t>
  </si>
  <si>
    <t xml:space="preserve">Native America Banner Stone (Butt...</t>
  </si>
  <si>
    <t xml:space="preserve">Native America Banner Stone (Anthro)</t>
  </si>
  <si>
    <t xml:space="preserve">Sales 2024</t>
  </si>
  <si>
    <t xml:space="preserve">A Valdivian Stone Votive Axe</t>
  </si>
  <si>
    <t xml:space="preserve">2023-09-27 00:00:00</t>
  </si>
  <si>
    <t xml:space="preserve">2023-03-15 00:00:00</t>
  </si>
  <si>
    <t xml:space="preserve">A Roman Marble Leg</t>
  </si>
  <si>
    <t xml:space="preserve">2024-03-28 00:00:00</t>
  </si>
  <si>
    <t xml:space="preserve">WhiteCube</t>
  </si>
  <si>
    <t xml:space="preserve">Sword 10th Century Viking</t>
  </si>
  <si>
    <t xml:space="preserve">Zevantiques</t>
  </si>
  <si>
    <t xml:space="preserve">2024-01-20 00:00:00</t>
  </si>
  <si>
    <t xml:space="preserve">2024-06-05 00:00:00</t>
  </si>
  <si>
    <t xml:space="preserve">A Collection of Cylinder Seal</t>
  </si>
  <si>
    <t xml:space="preserve">2024-06-25 00:00:00</t>
  </si>
  <si>
    <t xml:space="preserve">A Roman Glass Beaker</t>
  </si>
  <si>
    <t xml:space="preserve">2024-04-26 00:00:00</t>
  </si>
  <si>
    <t xml:space="preserve">2024-12-30 00:00:00</t>
  </si>
  <si>
    <t xml:space="preserve">An Egyptian Limestone Head of a P...</t>
  </si>
  <si>
    <t xml:space="preserve">2024-05-02 00:00:00</t>
  </si>
  <si>
    <t xml:space="preserve">2024-11-25 00:00:00</t>
  </si>
  <si>
    <t xml:space="preserve">Indus Valley Vessels</t>
  </si>
  <si>
    <t xml:space="preserve">2024-02-23 00:00:00</t>
  </si>
  <si>
    <t xml:space="preserve">2024-05-23 00:00:00</t>
  </si>
  <si>
    <t xml:space="preserve">Sales 2025</t>
  </si>
  <si>
    <t xml:space="preserve">A Group of 10 Engraved Gems</t>
  </si>
  <si>
    <t xml:space="preserve">2025-02-07 00:00:00</t>
  </si>
  <si>
    <t xml:space="preserve">A Greek Amber(?) Ram's Head Protome</t>
  </si>
  <si>
    <t xml:space="preserve">A Stone Cylinder Seal</t>
  </si>
  <si>
    <t xml:space="preserve">Estate Sale</t>
  </si>
  <si>
    <t xml:space="preserve">Commission on Cypriot Head</t>
  </si>
  <si>
    <t xml:space="preserve">Asher Edelman</t>
  </si>
  <si>
    <t xml:space="preserve">Commission on Seal Collection</t>
  </si>
  <si>
    <t xml:space="preserve">Scythian Faience Horse Plaque</t>
  </si>
  <si>
    <t xml:space="preserve">Syro-Hittite Terracotta Figure</t>
  </si>
  <si>
    <t xml:space="preserve">A Group of 6 Roman Oil Lamps</t>
  </si>
  <si>
    <t xml:space="preserve">A Cypriot Limestine Head</t>
  </si>
  <si>
    <t xml:space="preserve">A Roman Marble Torso</t>
  </si>
  <si>
    <t xml:space="preserve">William Pearlstein</t>
  </si>
  <si>
    <t xml:space="preserve">Cypriot Bichrome Juglet</t>
  </si>
  <si>
    <t xml:space="preserve">An Attic Black-Figured Fragment</t>
  </si>
  <si>
    <t xml:space="preserve">A Luristan Bronze Ibex</t>
  </si>
  <si>
    <t xml:space="preserve">An Egyptian Swivel Ring with Scarab</t>
  </si>
  <si>
    <t xml:space="preserve">A Canosan Terracotta Horse</t>
  </si>
  <si>
    <t xml:space="preserve">An Attic Black-Figured Column-Krater</t>
  </si>
  <si>
    <t xml:space="preserve">Antiquarium/Benningson</t>
  </si>
  <si>
    <t xml:space="preserve">2023-12-15 00:00:00</t>
  </si>
  <si>
    <t xml:space="preserve">Roman Marble Base with Foot</t>
  </si>
  <si>
    <t xml:space="preserve">Neolithic Flint Celt</t>
  </si>
  <si>
    <t xml:space="preserve">Neolithic Danish Chert Adze</t>
  </si>
  <si>
    <t xml:space="preserve">2021-03-29 00:00:00</t>
  </si>
  <si>
    <t xml:space="preserve">Three Lots from Lithics Sale</t>
  </si>
  <si>
    <t xml:space="preserve">2024-03-05 00:00:00</t>
  </si>
  <si>
    <t xml:space="preserve">A Collection of Seals</t>
  </si>
  <si>
    <t xml:space="preserve">2025-01-08 00:00:00</t>
  </si>
  <si>
    <t xml:space="preserve">2025-01-10 00:00:00</t>
  </si>
  <si>
    <t xml:space="preserve">Two mosaic deals (EOEB 2/21 pooled)</t>
  </si>
  <si>
    <t xml:space="preserve">Jamal Rifai (Deal A) + Plutus/Ant...</t>
  </si>
  <si>
    <t xml:space="preserve">2025-02-21 00:00:00</t>
  </si>
  <si>
    <t xml:space="preserve">Jonathan Yantis</t>
  </si>
  <si>
    <t xml:space="preserve">UNLOCKED 2026-09-21 40/50 mix. TW...</t>
  </si>
  <si>
    <t xml:space="preserve">Canosan Terracotta Horse</t>
  </si>
  <si>
    <t xml:space="preserve">Sale 6428 Contract 303468 (object...</t>
  </si>
  <si>
    <t xml:space="preserve">Cost TBD</t>
  </si>
  <si>
    <t xml:space="preserve">Freeman's LLC — check to Megan (j...</t>
  </si>
  <si>
    <t xml:space="preserve">2025-12-24</t>
  </si>
  <si>
    <t xml:space="preserve">Books (titles TBD)</t>
  </si>
  <si>
    <t xml:space="preserve">2025-02-04 00:00:00</t>
  </si>
  <si>
    <t xml:space="preserve">LOCKED 2026-09-20: book SALE $1,0...</t>
  </si>
  <si>
    <t xml:space="preserve">Roman Gold Belt</t>
  </si>
  <si>
    <t xml:space="preserve">Fortuna / Erdal Dere</t>
  </si>
  <si>
    <t xml:space="preserve">2025-07-21 00:00:00</t>
  </si>
  <si>
    <t xml:space="preserve">L5</t>
  </si>
  <si>
    <t xml:space="preserve">2025-07-15 00:00:00</t>
  </si>
  <si>
    <t xml:space="preserve">LOCKED 2026-09-21 SALE. Bought Fo...</t>
  </si>
  <si>
    <t xml:space="preserve">SALE</t>
  </si>
  <si>
    <t xml:space="preserve">Bronze head of a goddess, likely ...</t>
  </si>
  <si>
    <t xml:space="preserve">2025-05-09 00:00:00</t>
  </si>
  <si>
    <t xml:space="preserve">2025-07-24 00:00:00</t>
  </si>
  <si>
    <t xml:space="preserve">LOCKED 2026-09-21 joint SALE (EPG...</t>
  </si>
  <si>
    <t xml:space="preserve">SALE (joint, EPGC share)</t>
  </si>
  <si>
    <t xml:space="preserve">August Fortuna joint — unnamed ob...</t>
  </si>
  <si>
    <t xml:space="preserve">2025-08-15 00:00:00</t>
  </si>
  <si>
    <t xml:space="preserve">2025-10-09 00:00:00</t>
  </si>
  <si>
    <t xml:space="preserve">Mercury 8291 MATCHED/LOCKED: Berk...</t>
  </si>
  <si>
    <t xml:space="preserve">Art Purchases/Inventory</t>
  </si>
  <si>
    <t xml:space="preserve">GCM Boards 2022</t>
  </si>
  <si>
    <t xml:space="preserve">Fees</t>
  </si>
  <si>
    <t xml:space="preserve">Q1</t>
  </si>
  <si>
    <t xml:space="preserve">Q2</t>
  </si>
  <si>
    <t xml:space="preserve">Q3</t>
  </si>
  <si>
    <t xml:space="preserve">Q4</t>
  </si>
  <si>
    <t xml:space="preserve">GCM Board</t>
  </si>
  <si>
    <t xml:space="preserve">Gates SPC</t>
  </si>
  <si>
    <t xml:space="preserve">Grand Total</t>
  </si>
  <si>
    <t xml:space="preserve">GCM Boards 2023</t>
  </si>
  <si>
    <t xml:space="preserve">GCM Boards 2024</t>
  </si>
  <si>
    <t xml:space="preserve">GCM Boards 2025</t>
  </si>
  <si>
    <t xml:space="preserve">Contractual Employee 2023</t>
  </si>
  <si>
    <t xml:space="preserve">Salary</t>
  </si>
  <si>
    <t xml:space="preserve">Bonus</t>
  </si>
  <si>
    <t xml:space="preserve">Total Revenues</t>
  </si>
  <si>
    <t xml:space="preserve">Contractual Employee 2024</t>
  </si>
  <si>
    <t xml:space="preserve">Contractual Employee 2022</t>
  </si>
  <si>
    <t xml:space="preserve">Fidelity</t>
  </si>
  <si>
    <t xml:space="preserve">SEP IRA</t>
  </si>
  <si>
    <t xml:space="preserve">ML</t>
  </si>
  <si>
    <t xml:space="preserve">UTMA EMMA COLEY</t>
  </si>
  <si>
    <t xml:space="preserve">UTMA PHOEBE COLEY</t>
  </si>
  <si>
    <t xml:space="preserve">Coinbase (ACH from Mercury 8291)</t>
  </si>
  <si>
    <t xml:space="preserve">Investment transfers — not EPGC A...</t>
  </si>
  <si>
    <t xml:space="preserve">2025 NET</t>
  </si>
  <si>
    <t xml:space="preserve">To Coinbase (funding)</t>
  </si>
  <si>
    <t xml:space="preserve">From Coinbase (back to 8291)</t>
  </si>
  <si>
    <t xml:space="preserve">Net transfer</t>
  </si>
  <si>
    <t xml:space="preserve">2025: funded $59,000.00 / returne...</t>
  </si>
  <si>
    <t xml:space="preserve">524 Ferdinand Avenue, Unit 1</t>
  </si>
  <si>
    <t xml:space="preserve">GROUNDSKEEPING</t>
  </si>
  <si>
    <t xml:space="preserve">CORRESPONCES</t>
  </si>
  <si>
    <t xml:space="preserve">INTERIOR DESINGOR</t>
  </si>
  <si>
    <t xml:space="preserve">TERMITE INSPECTION</t>
  </si>
  <si>
    <t xml:space="preserve">OTHER</t>
  </si>
  <si>
    <t xml:space="preserve">HOW THIS FILE IS MADE</t>
  </si>
  <si>
    <t xml:space="preserve">This is last year's Personal Inco...</t>
  </si>
  <si>
    <t xml:space="preserve">Last year file (model)</t>
  </si>
  <si>
    <t xml:space="preserve">Drive Personal Income.xlsx</t>
  </si>
  <si>
    <t xml:space="preserve">1qdewbEnTuc-DXdbqBmwHrKMetGm3I7Zo</t>
  </si>
  <si>
    <t xml:space="preserve">132,313 bytes</t>
  </si>
  <si>
    <t xml:space="preserve">Unchanged 2023|2024</t>
  </si>
  <si>
    <t xml:space="preserve">This file</t>
  </si>
  <si>
    <t xml:space="preserve">Personal Income 2025.xlsx</t>
  </si>
  <si>
    <t xml:space="preserve">copy of that workbook + 2025 columns</t>
  </si>
  <si>
    <t xml:space="preserve">Same 11 tab names and order</t>
  </si>
  <si>
    <t xml:space="preserve">Tab</t>
  </si>
  <si>
    <t xml:space="preserve">Line</t>
  </si>
  <si>
    <t xml:space="preserve">2025 amount</t>
  </si>
  <si>
    <t xml:space="preserve">Source</t>
  </si>
  <si>
    <t xml:space="preserve">Status</t>
  </si>
  <si>
    <t xml:space="preserve">Hindman actual I4</t>
  </si>
  <si>
    <t xml:space="preserve">70,618.00</t>
  </si>
  <si>
    <t xml:space="preserve">Monarch paycheck cash (not W-2 Bo...</t>
  </si>
  <si>
    <t xml:space="preserve">YELLOW — Box 1 still ASK</t>
  </si>
  <si>
    <t xml:space="preserve">216 Oak Park I5</t>
  </si>
  <si>
    <t xml:space="preserve">19,500.00</t>
  </si>
  <si>
    <t xml:space="preserve">Joint 0203 Delach + Ava + Joan cash</t>
  </si>
  <si>
    <t xml:space="preserve">LOCKED</t>
  </si>
  <si>
    <t xml:space="preserve">524 #2 STR I6</t>
  </si>
  <si>
    <t xml:space="preserve">17,086.94</t>
  </si>
  <si>
    <t xml:space="preserve">Airbnb/VRBO platform net</t>
  </si>
  <si>
    <t xml:space="preserve">GCM Boards I7</t>
  </si>
  <si>
    <t xml:space="preserve">21,500.00</t>
  </si>
  <si>
    <t xml:space="preserve">Form 1099-NEC BOM PAYMEN (persona...</t>
  </si>
  <si>
    <t xml:space="preserve">Art Sales net I8</t>
  </si>
  <si>
    <t xml:space="preserve">39,055.06</t>
  </si>
  <si>
    <t xml:space="preserve">Prior MATCHED $23,055.06 + Belt n...</t>
  </si>
  <si>
    <t xml:space="preserve">LOCKED green</t>
  </si>
  <si>
    <t xml:space="preserve">216 Oak Park</t>
  </si>
  <si>
    <t xml:space="preserve">Same as Income I5. Vacant Oct + h...</t>
  </si>
</sst>
</file>

<file path=xl/styles.xml><?xml version="1.0" encoding="utf-8"?>
<styleSheet xmlns="http://schemas.openxmlformats.org/spreadsheetml/2006/main">
  <numFmts count="1">
    <numFmt numFmtId="164" formatCode="$#,##0.00"/>
  </numFmts>
  <fonts count="2">
    <font>
      <sz val="10"/>
      <name val="Century Gothic"/>
    </font>
    <font>
      <b/>
      <sz val="11"/>
      <name val="Century Gothic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2" borderId="0" xfId="0" applyFill="1" applyNumberFormat="1"/>
    <xf numFmtId="164" fontId="0" fillId="3" borderId="0" xfId="0" applyFill="1" applyNumberFormat="1"/>
    <xf numFmtId="164" fontId="1" fillId="0" borderId="0" xfId="0" applyFont="1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B1" t="s">
        <v>0</v>
      </c>
      <c r="C1" t="s">
        <v>0</v>
      </c>
      <c r="D1" t="s">
        <v>1</v>
      </c>
      <c r="E1" t="s">
        <v>1</v>
      </c>
      <c r="F1" t="s">
        <v>2</v>
      </c>
      <c r="G1" t="s">
        <v>2</v>
      </c>
      <c r="H1" t="s">
        <v>3</v>
      </c>
      <c r="I1" t="s">
        <v>3</v>
      </c>
    </row>
    <row r="2">
      <c r="B2" t="s">
        <v>4</v>
      </c>
      <c r="C2" t="s">
        <v>5</v>
      </c>
      <c r="D2" t="s">
        <v>4</v>
      </c>
      <c r="E2" t="s">
        <v>5</v>
      </c>
      <c r="F2" t="s">
        <v>6</v>
      </c>
      <c r="G2" t="s">
        <v>5</v>
      </c>
      <c r="H2" t="s">
        <v>6</v>
      </c>
      <c r="I2" t="s">
        <v>5</v>
      </c>
    </row>
    <row r="3">
      <c r="A3" s="1" t="s">
        <v>7</v>
      </c>
    </row>
    <row r="4">
      <c r="A4" t="s">
        <v>8</v>
      </c>
      <c r="B4">
        <v>92000</v>
      </c>
      <c r="C4">
        <v>97876.85</v>
      </c>
      <c r="D4">
        <v>110000</v>
      </c>
      <c r="E4">
        <v>115000</v>
      </c>
      <c r="F4">
        <v>110000</v>
      </c>
      <c r="H4">
        <v>110000</v>
      </c>
      <c r="I4" s="3">
        <v>70618</v>
      </c>
    </row>
    <row r="5">
      <c r="A5" t="s">
        <v>9</v>
      </c>
      <c r="C5">
        <v>125</v>
      </c>
      <c r="D5">
        <v>1500</v>
      </c>
      <c r="F5">
        <v>1500</v>
      </c>
      <c r="H5">
        <v>19500</v>
      </c>
      <c r="I5" s="2">
        <v>19500</v>
      </c>
    </row>
    <row r="6">
      <c r="A6" t="s">
        <v>10</v>
      </c>
      <c r="F6">
        <v>20000</v>
      </c>
      <c r="H6">
        <v>17000</v>
      </c>
      <c r="I6" s="2">
        <v>17086.94</v>
      </c>
    </row>
    <row r="7">
      <c r="A7" t="s">
        <v>11</v>
      </c>
      <c r="B7">
        <v>14000</v>
      </c>
      <c r="C7">
        <v>25875</v>
      </c>
      <c r="D7">
        <v>14700</v>
      </c>
      <c r="E7">
        <v>14700</v>
      </c>
      <c r="F7">
        <v>16000</v>
      </c>
      <c r="H7">
        <v>21500</v>
      </c>
      <c r="I7" s="2">
        <v>21500</v>
      </c>
    </row>
    <row r="8">
      <c r="A8" t="s">
        <v>12</v>
      </c>
      <c r="B8">
        <v>10000</v>
      </c>
      <c r="C8">
        <v>15000</v>
      </c>
      <c r="D8">
        <v>15000</v>
      </c>
      <c r="E8">
        <v>54777.25</v>
      </c>
      <c r="F8">
        <v>20000</v>
      </c>
      <c r="H8">
        <v>20000</v>
      </c>
      <c r="I8" s="2">
        <v>39055.06</v>
      </c>
    </row>
    <row r="9">
      <c r="A9" t="s">
        <v>13</v>
      </c>
      <c r="B9">
        <v>67000</v>
      </c>
      <c r="C9">
        <v>67000</v>
      </c>
      <c r="D9">
        <v>74000</v>
      </c>
      <c r="H9">
        <v>0</v>
      </c>
      <c r="I9">
        <v>0</v>
      </c>
    </row>
    <row r="10">
      <c r="A10" s="1" t="s">
        <v>14</v>
      </c>
      <c r="B10" s="4">
        <f>SUM(B4:B9)</f>
        <v>183000</v>
      </c>
      <c r="C10" s="4">
        <f>SUM(C4:C9)</f>
        <v>205876.85</v>
      </c>
      <c r="D10" s="4">
        <f>SUM(D4:D9)</f>
        <v>215200</v>
      </c>
      <c r="E10" s="4">
        <f>SUM(E4:E9)</f>
        <v>184477.25</v>
      </c>
      <c r="F10" s="4">
        <f>SUM(F4:F9)</f>
        <v>167500</v>
      </c>
      <c r="G10" s="4">
        <f>SUM(G4:G9)</f>
        <v>0</v>
      </c>
      <c r="H10" s="4">
        <f>SUM(H4:H9)</f>
        <v>188000</v>
      </c>
      <c r="I10" s="4">
        <f>SUM(I4:I9)</f>
        <v>167760</v>
      </c>
    </row>
  </sheetData>
</worksheet>
</file>

<file path=xl/worksheets/sheet2.xml><?xml version="1.0" encoding="utf-8"?>
<worksheet xmlns="http://schemas.openxmlformats.org/spreadsheetml/2006/main">
  <sheetData>
    <row r="1">
      <c r="B1" s="1" t="s">
        <v>15</v>
      </c>
      <c r="C1" s="1" t="s">
        <v>16</v>
      </c>
      <c r="P1" s="1" t="s">
        <v>16</v>
      </c>
      <c r="AC1" s="1" t="s">
        <v>16</v>
      </c>
    </row>
    <row r="2"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18</v>
      </c>
      <c r="Q2" t="s">
        <v>19</v>
      </c>
      <c r="R2" t="s">
        <v>20</v>
      </c>
      <c r="S2" t="s">
        <v>21</v>
      </c>
      <c r="T2" t="s">
        <v>22</v>
      </c>
      <c r="U2" t="s">
        <v>23</v>
      </c>
      <c r="V2" t="s">
        <v>24</v>
      </c>
      <c r="W2" t="s">
        <v>25</v>
      </c>
      <c r="X2" t="s">
        <v>26</v>
      </c>
      <c r="Y2" t="s">
        <v>27</v>
      </c>
      <c r="Z2" t="s">
        <v>28</v>
      </c>
      <c r="AA2" t="s">
        <v>29</v>
      </c>
      <c r="AB2" t="s">
        <v>31</v>
      </c>
      <c r="AC2" t="s">
        <v>18</v>
      </c>
      <c r="AD2" t="s">
        <v>19</v>
      </c>
      <c r="AE2" t="s">
        <v>20</v>
      </c>
      <c r="AF2" t="s">
        <v>21</v>
      </c>
      <c r="AG2" t="s">
        <v>22</v>
      </c>
      <c r="AH2" t="s">
        <v>23</v>
      </c>
      <c r="AI2" t="s">
        <v>24</v>
      </c>
      <c r="AJ2" t="s">
        <v>25</v>
      </c>
      <c r="AK2" t="s">
        <v>26</v>
      </c>
      <c r="AL2" t="s">
        <v>27</v>
      </c>
      <c r="AM2" t="s">
        <v>28</v>
      </c>
      <c r="AN2" t="s">
        <v>29</v>
      </c>
      <c r="AO2" t="s">
        <v>32</v>
      </c>
    </row>
    <row r="3">
      <c r="B3" s="1" t="s">
        <v>33</v>
      </c>
    </row>
    <row r="4">
      <c r="B4" t="s">
        <v>33</v>
      </c>
      <c r="O4" s="1">
        <f>SUM(C4:N4)</f>
        <v>0</v>
      </c>
      <c r="AB4" s="1">
        <f>SUM(P4:AA4)</f>
        <v>0</v>
      </c>
      <c r="AO4" s="1">
        <f>SUM(AC4:AN4)</f>
        <v>0</v>
      </c>
    </row>
    <row r="5">
      <c r="B5" t="s">
        <v>34</v>
      </c>
      <c r="M5">
        <v>600</v>
      </c>
      <c r="N5">
        <v>450</v>
      </c>
      <c r="O5" s="1">
        <f>SUM(C5:N5)</f>
        <v>1050</v>
      </c>
      <c r="AA5">
        <v>22705</v>
      </c>
      <c r="AB5" s="1">
        <f>SUM(P5:AA5)</f>
        <v>22705</v>
      </c>
      <c r="AH5">
        <v>3479.6</v>
      </c>
      <c r="AI5">
        <v>3180.81</v>
      </c>
      <c r="AJ5">
        <v>1757.5</v>
      </c>
      <c r="AK5">
        <v>2690.16</v>
      </c>
      <c r="AL5">
        <v>1261.64</v>
      </c>
      <c r="AM5">
        <v>1509.84</v>
      </c>
      <c r="AO5" s="1">
        <f>SUM(AC5:AN5)</f>
        <v>13879.55</v>
      </c>
    </row>
    <row r="6">
      <c r="B6" s="1" t="s">
        <v>35</v>
      </c>
      <c r="M6">
        <v>600</v>
      </c>
      <c r="N6">
        <v>450</v>
      </c>
      <c r="O6" s="1">
        <f>SUM(C6:N6)</f>
        <v>1050</v>
      </c>
      <c r="AA6">
        <v>22705</v>
      </c>
      <c r="AB6" s="1">
        <f>SUM(P6:AA6)</f>
        <v>22705</v>
      </c>
      <c r="AH6">
        <v>3479.6</v>
      </c>
      <c r="AI6">
        <v>3180.81</v>
      </c>
      <c r="AJ6">
        <v>1757.5</v>
      </c>
      <c r="AK6">
        <v>2690.16</v>
      </c>
      <c r="AL6">
        <v>1261.64</v>
      </c>
      <c r="AM6">
        <v>1509.84</v>
      </c>
      <c r="AO6" s="1">
        <f>SUM(AC6:AN6)</f>
        <v>13879.55</v>
      </c>
    </row>
    <row r="8">
      <c r="B8" t="s">
        <v>36</v>
      </c>
      <c r="C8" t="s">
        <v>18</v>
      </c>
      <c r="D8" t="s">
        <v>19</v>
      </c>
      <c r="E8" t="s">
        <v>20</v>
      </c>
      <c r="F8" t="s">
        <v>21</v>
      </c>
      <c r="G8" t="s">
        <v>22</v>
      </c>
      <c r="H8" t="s">
        <v>23</v>
      </c>
      <c r="I8" t="s">
        <v>24</v>
      </c>
      <c r="J8" t="s">
        <v>25</v>
      </c>
      <c r="K8" t="s">
        <v>26</v>
      </c>
      <c r="L8" t="s">
        <v>27</v>
      </c>
      <c r="M8" t="s">
        <v>28</v>
      </c>
      <c r="N8" t="s">
        <v>29</v>
      </c>
      <c r="O8" t="s">
        <v>37</v>
      </c>
      <c r="P8" t="s">
        <v>18</v>
      </c>
      <c r="Q8" t="s">
        <v>19</v>
      </c>
      <c r="R8" t="s">
        <v>20</v>
      </c>
      <c r="S8" t="s">
        <v>21</v>
      </c>
      <c r="T8" t="s">
        <v>22</v>
      </c>
      <c r="U8" t="s">
        <v>23</v>
      </c>
      <c r="V8" t="s">
        <v>24</v>
      </c>
      <c r="W8" t="s">
        <v>25</v>
      </c>
      <c r="X8" t="s">
        <v>26</v>
      </c>
      <c r="Y8" t="s">
        <v>27</v>
      </c>
      <c r="Z8" t="s">
        <v>28</v>
      </c>
      <c r="AA8" t="s">
        <v>29</v>
      </c>
      <c r="AB8" t="s">
        <v>37</v>
      </c>
      <c r="AC8" t="s">
        <v>18</v>
      </c>
      <c r="AD8" t="s">
        <v>19</v>
      </c>
      <c r="AE8" t="s">
        <v>20</v>
      </c>
      <c r="AF8" t="s">
        <v>21</v>
      </c>
      <c r="AG8" t="s">
        <v>22</v>
      </c>
      <c r="AH8" t="s">
        <v>23</v>
      </c>
      <c r="AI8" t="s">
        <v>24</v>
      </c>
      <c r="AJ8" t="s">
        <v>25</v>
      </c>
      <c r="AK8" t="s">
        <v>26</v>
      </c>
      <c r="AL8" t="s">
        <v>27</v>
      </c>
      <c r="AM8" t="s">
        <v>28</v>
      </c>
      <c r="AN8" t="s">
        <v>29</v>
      </c>
      <c r="AO8" t="s">
        <v>37</v>
      </c>
    </row>
    <row r="10">
      <c r="B10" t="s">
        <v>38</v>
      </c>
      <c r="O10" s="1">
        <f>SUM(C10:N10)</f>
        <v>0</v>
      </c>
      <c r="AB10" s="1">
        <f>SUM(P10:AA10)</f>
        <v>0</v>
      </c>
      <c r="AO10" s="1">
        <f>SUM(AC10:AN10)</f>
        <v>0</v>
      </c>
    </row>
    <row r="11">
      <c r="B11" t="s">
        <v>39</v>
      </c>
      <c r="O11" s="1">
        <f>SUM(C11:N11)</f>
        <v>0</v>
      </c>
      <c r="AB11" s="1">
        <f>SUM(P11:AA11)</f>
        <v>0</v>
      </c>
      <c r="AO11" s="1">
        <f>SUM(AC11:AN11)</f>
        <v>0</v>
      </c>
    </row>
    <row r="12">
      <c r="B12" t="s">
        <v>40</v>
      </c>
      <c r="O12" s="1">
        <f>SUM(C12:N12)</f>
        <v>0</v>
      </c>
      <c r="AA12">
        <v>950.6</v>
      </c>
      <c r="AB12" s="1">
        <f>SUM(P12:AA12)</f>
        <v>950.6</v>
      </c>
      <c r="AO12" s="1">
        <f>SUM(AC12:AN12)</f>
        <v>0</v>
      </c>
    </row>
    <row r="13">
      <c r="B13" t="s">
        <v>41</v>
      </c>
      <c r="O13" s="1">
        <f>SUM(C13:N13)</f>
        <v>0</v>
      </c>
      <c r="AB13" s="1">
        <f>SUM(P13:AA13)</f>
        <v>0</v>
      </c>
      <c r="AO13" s="1">
        <f>SUM(AC13:AN13)</f>
        <v>0</v>
      </c>
    </row>
    <row r="14">
      <c r="B14" t="s">
        <v>42</v>
      </c>
      <c r="O14" s="1">
        <f>SUM(C14:N14)</f>
        <v>0</v>
      </c>
      <c r="AA14">
        <v>1455.09</v>
      </c>
      <c r="AB14" s="1">
        <f>SUM(P14:AA14)</f>
        <v>1455.09</v>
      </c>
      <c r="AD14">
        <v>78.77</v>
      </c>
      <c r="AE14">
        <v>78.76</v>
      </c>
      <c r="AF14">
        <v>78.76</v>
      </c>
      <c r="AG14">
        <v>78.76</v>
      </c>
      <c r="AH14">
        <v>78.76</v>
      </c>
      <c r="AI14">
        <v>78.76</v>
      </c>
      <c r="AJ14">
        <v>80.19</v>
      </c>
      <c r="AO14" s="1">
        <f>SUM(AC14:AN14)</f>
        <v>552.76</v>
      </c>
    </row>
    <row r="15">
      <c r="B15" t="s">
        <v>43</v>
      </c>
      <c r="O15" s="1">
        <f>SUM(C15:N15)</f>
        <v>0</v>
      </c>
      <c r="AB15" s="1">
        <f>SUM(P15:AA15)</f>
        <v>0</v>
      </c>
      <c r="AC15">
        <v>7.46</v>
      </c>
      <c r="AE15">
        <v>52.78</v>
      </c>
      <c r="AF15">
        <v>131.4</v>
      </c>
      <c r="AL15">
        <v>45.6</v>
      </c>
      <c r="AM15">
        <v>12.63</v>
      </c>
      <c r="AO15" s="1">
        <f>SUM(AC15:AN15)</f>
        <v>249.87</v>
      </c>
    </row>
    <row r="16">
      <c r="B16" t="s">
        <v>44</v>
      </c>
      <c r="O16" s="1">
        <f>SUM(C16:N16)</f>
        <v>0</v>
      </c>
      <c r="AB16" s="1">
        <f>SUM(P16:AA16)</f>
        <v>0</v>
      </c>
      <c r="AD16">
        <v>66.57</v>
      </c>
      <c r="AE16">
        <v>700.77</v>
      </c>
      <c r="AF16">
        <v>39.58</v>
      </c>
      <c r="AI16">
        <v>150.06</v>
      </c>
      <c r="AJ16">
        <v>16.54</v>
      </c>
      <c r="AK16">
        <v>34.87</v>
      </c>
      <c r="AL16">
        <v>76.24</v>
      </c>
      <c r="AM16">
        <v>32.33</v>
      </c>
      <c r="AO16" s="1">
        <f>SUM(AC16:AN16)</f>
        <v>1116.96</v>
      </c>
    </row>
    <row r="17">
      <c r="B17" t="s">
        <v>45</v>
      </c>
      <c r="O17" s="1">
        <f>SUM(C17:N17)</f>
        <v>0</v>
      </c>
      <c r="AB17" s="1">
        <v>1769.42</v>
      </c>
      <c r="AD17">
        <v>100.56</v>
      </c>
      <c r="AF17">
        <v>90.68</v>
      </c>
      <c r="AH17">
        <v>112.84</v>
      </c>
      <c r="AJ17">
        <v>137.64</v>
      </c>
      <c r="AL17">
        <v>132.77</v>
      </c>
    </row>
    <row r="18">
      <c r="B18" t="s">
        <v>46</v>
      </c>
      <c r="J18">
        <v>26.02</v>
      </c>
      <c r="K18">
        <v>110.08</v>
      </c>
      <c r="L18">
        <v>137.34</v>
      </c>
      <c r="M18">
        <v>31.56</v>
      </c>
      <c r="N18">
        <v>62.3</v>
      </c>
      <c r="O18" s="1">
        <f>SUM(C18:N18)</f>
        <v>367.3</v>
      </c>
      <c r="P18">
        <v>62.3</v>
      </c>
      <c r="Q18">
        <v>37.13</v>
      </c>
      <c r="R18">
        <v>25.46</v>
      </c>
      <c r="S18">
        <v>28.11</v>
      </c>
      <c r="T18">
        <v>21.2</v>
      </c>
      <c r="U18">
        <v>20.5</v>
      </c>
      <c r="V18">
        <v>22.27</v>
      </c>
      <c r="W18">
        <v>21.6</v>
      </c>
      <c r="X18">
        <v>21.6</v>
      </c>
      <c r="Y18">
        <v>21.65</v>
      </c>
      <c r="Z18">
        <v>24.34</v>
      </c>
      <c r="AA18">
        <v>30.76</v>
      </c>
      <c r="AB18" s="1">
        <f>SUM(P18:AA18)</f>
        <v>336.92</v>
      </c>
      <c r="AC18">
        <v>39.7</v>
      </c>
      <c r="AD18">
        <v>31.37</v>
      </c>
      <c r="AE18">
        <v>32.09</v>
      </c>
      <c r="AF18">
        <v>26.31</v>
      </c>
      <c r="AG18">
        <v>25.41</v>
      </c>
      <c r="AH18">
        <v>24.17</v>
      </c>
      <c r="AI18">
        <v>23.53</v>
      </c>
      <c r="AJ18">
        <v>22.7</v>
      </c>
      <c r="AK18">
        <v>22.71</v>
      </c>
      <c r="AL18">
        <v>22.72</v>
      </c>
      <c r="AN18">
        <v>53.71</v>
      </c>
      <c r="AO18" s="1">
        <f>SUM(AC18:AN18)</f>
        <v>324.42</v>
      </c>
    </row>
    <row r="19">
      <c r="B19" t="s">
        <v>47</v>
      </c>
      <c r="J19">
        <v>36.38</v>
      </c>
      <c r="K19">
        <v>36.47</v>
      </c>
      <c r="L19">
        <v>34.52</v>
      </c>
      <c r="M19">
        <v>32.21</v>
      </c>
      <c r="N19">
        <v>45.6</v>
      </c>
      <c r="O19" s="1">
        <f>SUM(C19:N19)</f>
        <v>185.18</v>
      </c>
      <c r="AA19">
        <v>806.46</v>
      </c>
      <c r="AB19" s="1">
        <f>SUM(P19:AA19)</f>
        <v>806.46</v>
      </c>
      <c r="AC19">
        <v>59.04</v>
      </c>
      <c r="AD19">
        <v>57.47</v>
      </c>
      <c r="AE19">
        <v>49.15</v>
      </c>
      <c r="AF19">
        <v>54.52</v>
      </c>
      <c r="AG19">
        <v>49.73</v>
      </c>
      <c r="AH19">
        <v>57.54</v>
      </c>
      <c r="AI19">
        <v>109</v>
      </c>
      <c r="AJ19">
        <v>123.54</v>
      </c>
      <c r="AK19">
        <v>106.93</v>
      </c>
      <c r="AL19">
        <v>62.88</v>
      </c>
      <c r="AM19">
        <v>46.47</v>
      </c>
      <c r="AN19">
        <v>52.88</v>
      </c>
      <c r="AO19" s="1">
        <f>SUM(AC19:AN19)</f>
        <v>829.15</v>
      </c>
    </row>
    <row r="20">
      <c r="B20" t="s">
        <v>48</v>
      </c>
      <c r="O20" s="1">
        <f>SUM(C20:N20)</f>
        <v>0</v>
      </c>
      <c r="P20">
        <v>50</v>
      </c>
      <c r="Q20">
        <v>50</v>
      </c>
      <c r="R20">
        <v>50</v>
      </c>
      <c r="S20">
        <v>50</v>
      </c>
      <c r="T20">
        <v>50</v>
      </c>
      <c r="U20">
        <v>50</v>
      </c>
      <c r="V20">
        <v>50</v>
      </c>
      <c r="W20">
        <v>50</v>
      </c>
      <c r="X20">
        <v>50</v>
      </c>
      <c r="Y20">
        <v>50</v>
      </c>
      <c r="Z20">
        <v>50</v>
      </c>
      <c r="AA20">
        <v>50</v>
      </c>
      <c r="AB20" s="1">
        <f>SUM(P20:AA20)</f>
        <v>600</v>
      </c>
      <c r="AC20">
        <v>45</v>
      </c>
      <c r="AD20">
        <v>45</v>
      </c>
      <c r="AE20">
        <v>45</v>
      </c>
      <c r="AF20">
        <v>45</v>
      </c>
      <c r="AG20">
        <v>50</v>
      </c>
      <c r="AH20">
        <v>50</v>
      </c>
      <c r="AI20">
        <v>50</v>
      </c>
      <c r="AJ20">
        <v>50</v>
      </c>
      <c r="AK20">
        <v>50</v>
      </c>
      <c r="AL20">
        <v>50</v>
      </c>
      <c r="AM20">
        <v>50</v>
      </c>
      <c r="AO20" s="1">
        <f>SUM(AC20:AN20)</f>
        <v>530</v>
      </c>
    </row>
    <row r="21">
      <c r="B21" t="s">
        <v>49</v>
      </c>
      <c r="O21" s="1">
        <f>SUM(C21:N21)</f>
        <v>0</v>
      </c>
      <c r="AB21" s="1">
        <f>SUM(P21:AA21)</f>
        <v>0</v>
      </c>
      <c r="AO21" s="1">
        <f>SUM(AC21:AN21)</f>
        <v>0</v>
      </c>
    </row>
    <row r="22">
      <c r="B22" t="s">
        <v>50</v>
      </c>
      <c r="K22">
        <v>720</v>
      </c>
      <c r="L22">
        <v>690</v>
      </c>
      <c r="M22">
        <v>240</v>
      </c>
      <c r="N22">
        <v>240</v>
      </c>
      <c r="O22" s="1">
        <f>SUM(C22:N22)</f>
        <v>1890</v>
      </c>
      <c r="AB22" s="1">
        <f>SUM(P22:AA22)</f>
        <v>0</v>
      </c>
      <c r="AO22" s="1">
        <f>SUM(AC22:AN22)</f>
        <v>0</v>
      </c>
    </row>
    <row r="23">
      <c r="B23" t="s">
        <v>51</v>
      </c>
      <c r="O23" s="1">
        <f>SUM(C23:N23)</f>
        <v>0</v>
      </c>
      <c r="AB23" s="1">
        <f>SUM(P23:AA23)</f>
        <v>0</v>
      </c>
      <c r="AO23" s="1">
        <f>SUM(AC23:AN23)</f>
        <v>0</v>
      </c>
    </row>
    <row r="24">
      <c r="B24" t="s">
        <v>52</v>
      </c>
      <c r="D24">
        <v>20</v>
      </c>
      <c r="N24">
        <v>220</v>
      </c>
      <c r="O24" s="1">
        <f>SUM(C24:N24)</f>
        <v>240</v>
      </c>
      <c r="P24">
        <v>63.42</v>
      </c>
      <c r="Q24">
        <v>281.27</v>
      </c>
      <c r="R24">
        <v>60.49</v>
      </c>
      <c r="S24">
        <v>49.49</v>
      </c>
      <c r="T24">
        <v>76.98</v>
      </c>
      <c r="U24">
        <v>98</v>
      </c>
      <c r="AB24" s="1">
        <f>SUM(P24:AA24)</f>
        <v>629.65</v>
      </c>
      <c r="AE24">
        <v>73.24</v>
      </c>
      <c r="AK24">
        <v>82.27</v>
      </c>
      <c r="AO24" s="1">
        <f>SUM(AC24:AN24)</f>
        <v>155.51</v>
      </c>
    </row>
    <row r="25">
      <c r="B25" t="s">
        <v>53</v>
      </c>
      <c r="O25" s="1">
        <f>SUM(C25:N25)</f>
        <v>0</v>
      </c>
      <c r="AB25" s="1">
        <f>SUM(P25:AA25)</f>
        <v>0</v>
      </c>
      <c r="AO25" s="1">
        <f>SUM(AC25:AN25)</f>
        <v>0</v>
      </c>
    </row>
    <row r="26">
      <c r="B26" t="s">
        <v>54</v>
      </c>
      <c r="O26" s="1">
        <f>SUM(C26:N26)</f>
        <v>0</v>
      </c>
      <c r="AB26" s="1">
        <f>SUM(P26:AA26)</f>
        <v>0</v>
      </c>
      <c r="AO26" s="1">
        <f>SUM(AC26:AN26)</f>
        <v>0</v>
      </c>
    </row>
    <row r="27">
      <c r="B27" t="s">
        <v>55</v>
      </c>
      <c r="O27" s="1">
        <f>SUM(C27:N27)</f>
        <v>0</v>
      </c>
      <c r="AB27" s="1">
        <f>SUM(P27:AA27)</f>
        <v>0</v>
      </c>
      <c r="AO27" s="1">
        <f>SUM(AC27:AN27)</f>
        <v>0</v>
      </c>
    </row>
    <row r="28">
      <c r="B28" t="s">
        <v>56</v>
      </c>
      <c r="O28" s="1">
        <f>SUM(C28:N28)</f>
        <v>0</v>
      </c>
      <c r="AB28" s="1">
        <f>SUM(P28:AA28)</f>
        <v>0</v>
      </c>
      <c r="AO28" s="1">
        <f>SUM(AC28:AN28)</f>
        <v>0</v>
      </c>
    </row>
    <row r="29">
      <c r="B29" t="s">
        <v>51</v>
      </c>
      <c r="O29" s="1">
        <f>SUM(C29:N29)</f>
        <v>0</v>
      </c>
      <c r="AB29" s="1">
        <f>SUM(P29:AA29)</f>
        <v>0</v>
      </c>
      <c r="AO29" s="1">
        <f>SUM(AC29:AN29)</f>
        <v>0</v>
      </c>
    </row>
    <row r="30">
      <c r="B30" t="s">
        <v>57</v>
      </c>
      <c r="F30">
        <v>210.36</v>
      </c>
      <c r="L30">
        <v>11713.94</v>
      </c>
      <c r="M30">
        <v>35.64</v>
      </c>
      <c r="O30" s="1">
        <f>SUM(C30:N30)</f>
        <v>11959.94</v>
      </c>
      <c r="AB30" s="1">
        <f>SUM(P30:AA30)</f>
        <v>0</v>
      </c>
      <c r="AO30" s="1">
        <f>SUM(AC30:AN30)</f>
        <v>0</v>
      </c>
    </row>
    <row r="31">
      <c r="B31" t="s">
        <v>58</v>
      </c>
      <c r="K31">
        <v>1440.43</v>
      </c>
      <c r="L31">
        <v>142.99</v>
      </c>
      <c r="O31" s="1">
        <f>SUM(C31:N31)</f>
        <v>1583.42</v>
      </c>
      <c r="S31">
        <v>328.9</v>
      </c>
      <c r="T31">
        <v>49.96</v>
      </c>
      <c r="U31">
        <v>54.17</v>
      </c>
      <c r="V31">
        <v>75.39</v>
      </c>
      <c r="W31">
        <v>72.59</v>
      </c>
      <c r="X31">
        <v>19.79</v>
      </c>
      <c r="Y31">
        <v>89.15</v>
      </c>
      <c r="Z31">
        <v>106.99</v>
      </c>
      <c r="AA31">
        <v>152.9</v>
      </c>
      <c r="AB31" s="1">
        <f>SUM(P31:AA31)</f>
        <v>949.84</v>
      </c>
      <c r="AO31" s="1">
        <f>SUM(AC31:AN31)</f>
        <v>0</v>
      </c>
    </row>
    <row r="32">
      <c r="B32" t="s">
        <v>59</v>
      </c>
      <c r="L32">
        <v>2225</v>
      </c>
      <c r="M32">
        <v>13</v>
      </c>
      <c r="N32">
        <v>215</v>
      </c>
      <c r="O32" s="1">
        <f>SUM(C32:N32)</f>
        <v>2453</v>
      </c>
      <c r="AB32" s="1">
        <f>SUM(P32:AA32)</f>
        <v>0</v>
      </c>
      <c r="AO32" s="1">
        <f>SUM(AC32:AN32)</f>
        <v>0</v>
      </c>
    </row>
    <row r="33">
      <c r="B33" t="s">
        <v>60</v>
      </c>
      <c r="O33" s="1">
        <f>SUM(C33:N33)</f>
        <v>0</v>
      </c>
      <c r="S33">
        <v>318.47</v>
      </c>
      <c r="W33">
        <v>236.55</v>
      </c>
      <c r="Y33">
        <v>89.87</v>
      </c>
      <c r="AB33" s="1">
        <f>SUM(P33:AA33)</f>
        <v>644.89</v>
      </c>
      <c r="AE33">
        <v>60.95</v>
      </c>
      <c r="AF33">
        <v>60.95</v>
      </c>
      <c r="AG33">
        <v>445.2</v>
      </c>
      <c r="AH33">
        <v>60.95</v>
      </c>
      <c r="AI33">
        <v>60.95</v>
      </c>
      <c r="AJ33">
        <v>60.95</v>
      </c>
      <c r="AK33">
        <v>249</v>
      </c>
      <c r="AL33">
        <v>60.95</v>
      </c>
      <c r="AO33" s="1">
        <f>SUM(AC33:AN33)</f>
        <v>1059.9</v>
      </c>
    </row>
    <row r="34">
      <c r="B34" t="s">
        <v>61</v>
      </c>
      <c r="O34" s="1">
        <f>SUM(C34:N34)</f>
        <v>0</v>
      </c>
      <c r="AB34" s="1">
        <f>SUM(P34:AA34)</f>
        <v>0</v>
      </c>
      <c r="AC34">
        <v>110.8</v>
      </c>
      <c r="AE34">
        <v>92.96</v>
      </c>
      <c r="AF34">
        <v>105.25</v>
      </c>
      <c r="AH34">
        <v>68.73</v>
      </c>
      <c r="AI34">
        <v>128.37</v>
      </c>
      <c r="AJ34">
        <v>176.17</v>
      </c>
      <c r="AK34">
        <v>108.93</v>
      </c>
      <c r="AO34" s="1">
        <f>SUM(AC34:AN34)</f>
        <v>791.21</v>
      </c>
    </row>
    <row r="35">
      <c r="B35" s="1" t="s">
        <v>62</v>
      </c>
      <c r="D35">
        <v>20</v>
      </c>
      <c r="F35">
        <v>210.36</v>
      </c>
      <c r="J35">
        <v>62.4</v>
      </c>
      <c r="K35">
        <v>2306.98</v>
      </c>
      <c r="L35">
        <v>14943.79</v>
      </c>
      <c r="M35">
        <v>352.41</v>
      </c>
      <c r="N35">
        <v>782.9</v>
      </c>
      <c r="O35" s="1">
        <f>SUM(C35:N35)</f>
        <v>18678.84</v>
      </c>
      <c r="P35">
        <v>175.72</v>
      </c>
      <c r="Q35">
        <v>368.4</v>
      </c>
      <c r="R35">
        <v>135.95</v>
      </c>
      <c r="S35">
        <v>774.97</v>
      </c>
      <c r="T35">
        <v>198.14</v>
      </c>
      <c r="U35">
        <v>222.67</v>
      </c>
      <c r="V35">
        <v>147.66</v>
      </c>
      <c r="W35">
        <v>380.74</v>
      </c>
      <c r="X35">
        <v>91.39</v>
      </c>
      <c r="Y35">
        <v>250.67</v>
      </c>
      <c r="Z35">
        <v>181.33</v>
      </c>
      <c r="AA35">
        <v>3445.81</v>
      </c>
      <c r="AB35" s="1">
        <f>SUM(P35:AA35)</f>
        <v>6373.45</v>
      </c>
      <c r="AC35">
        <v>262</v>
      </c>
      <c r="AD35">
        <v>379.74</v>
      </c>
      <c r="AE35">
        <v>1185.7</v>
      </c>
      <c r="AF35">
        <v>632.45</v>
      </c>
      <c r="AG35">
        <v>649.1</v>
      </c>
      <c r="AH35">
        <v>452.99</v>
      </c>
      <c r="AI35">
        <v>600.67</v>
      </c>
      <c r="AJ35">
        <v>667.73</v>
      </c>
      <c r="AK35">
        <v>654.71</v>
      </c>
      <c r="AL35">
        <v>451.16</v>
      </c>
      <c r="AM35">
        <v>141.43</v>
      </c>
      <c r="AN35">
        <v>106.59</v>
      </c>
      <c r="AO35" s="1">
        <f>SUM(AC35:AN35)</f>
        <v>6184.27</v>
      </c>
    </row>
    <row r="37">
      <c r="B37" s="1" t="s">
        <v>63</v>
      </c>
      <c r="D37">
        <v>-20</v>
      </c>
      <c r="F37">
        <v>-210.36</v>
      </c>
      <c r="J37">
        <v>-62.4</v>
      </c>
      <c r="K37">
        <v>-2306.98</v>
      </c>
      <c r="L37">
        <v>-14943.79</v>
      </c>
      <c r="M37">
        <v>247.59</v>
      </c>
      <c r="N37">
        <v>-332.9</v>
      </c>
      <c r="O37" s="1">
        <f>O6-O35</f>
        <v>-17628.84</v>
      </c>
      <c r="P37">
        <v>-175.72</v>
      </c>
      <c r="Q37">
        <v>-368.4</v>
      </c>
      <c r="R37">
        <v>-135.95</v>
      </c>
      <c r="S37">
        <v>-774.97</v>
      </c>
      <c r="T37">
        <v>-198.14</v>
      </c>
      <c r="U37">
        <v>-222.67</v>
      </c>
      <c r="V37">
        <v>-147.66</v>
      </c>
      <c r="W37">
        <v>-380.74</v>
      </c>
      <c r="X37">
        <v>-91.39</v>
      </c>
      <c r="Y37">
        <v>-250.67</v>
      </c>
      <c r="Z37">
        <v>-181.33</v>
      </c>
      <c r="AA37">
        <v>19259.19</v>
      </c>
      <c r="AB37" s="1">
        <f>AB6-AB35</f>
        <v>16331.55</v>
      </c>
      <c r="AC37">
        <v>-262</v>
      </c>
      <c r="AD37">
        <v>-379.74</v>
      </c>
      <c r="AE37">
        <v>-1185.7</v>
      </c>
      <c r="AF37">
        <v>-632.45</v>
      </c>
      <c r="AG37">
        <v>-649.1</v>
      </c>
      <c r="AH37">
        <v>3026.61</v>
      </c>
      <c r="AI37">
        <v>2580.14</v>
      </c>
      <c r="AJ37">
        <v>1089.77</v>
      </c>
      <c r="AK37">
        <v>2035.45</v>
      </c>
      <c r="AL37">
        <v>810.48</v>
      </c>
      <c r="AM37">
        <v>1368.41</v>
      </c>
      <c r="AN37">
        <v>-106.59</v>
      </c>
      <c r="AO37" s="1">
        <f>AO6-AO35</f>
        <v>7695.28</v>
      </c>
    </row>
  </sheetData>
  <mergeCells count="3">
    <mergeCell ref="AC1:AO1"/>
    <mergeCell ref="C1:O1"/>
    <mergeCell ref="P1:AB1"/>
  </mergeCells>
</worksheet>
</file>

<file path=xl/worksheets/sheet3.xml><?xml version="1.0" encoding="utf-8"?>
<worksheet xmlns="http://schemas.openxmlformats.org/spreadsheetml/2006/main">
  <sheetData>
    <row r="1">
      <c r="B1" s="1" t="s">
        <v>15</v>
      </c>
      <c r="C1" s="1" t="s">
        <v>64</v>
      </c>
      <c r="P1" s="1" t="s">
        <v>64</v>
      </c>
      <c r="AC1" s="1" t="s">
        <v>64</v>
      </c>
    </row>
    <row r="2"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18</v>
      </c>
      <c r="Q2" t="s">
        <v>19</v>
      </c>
      <c r="R2" t="s">
        <v>20</v>
      </c>
      <c r="S2" t="s">
        <v>21</v>
      </c>
      <c r="T2" t="s">
        <v>22</v>
      </c>
      <c r="U2" t="s">
        <v>23</v>
      </c>
      <c r="V2" t="s">
        <v>24</v>
      </c>
      <c r="W2" t="s">
        <v>25</v>
      </c>
      <c r="X2" t="s">
        <v>26</v>
      </c>
      <c r="Y2" t="s">
        <v>27</v>
      </c>
      <c r="Z2" t="s">
        <v>28</v>
      </c>
      <c r="AA2" t="s">
        <v>29</v>
      </c>
      <c r="AB2" t="s">
        <v>31</v>
      </c>
      <c r="AC2" t="s">
        <v>18</v>
      </c>
      <c r="AD2" t="s">
        <v>19</v>
      </c>
      <c r="AE2" t="s">
        <v>20</v>
      </c>
      <c r="AF2" t="s">
        <v>21</v>
      </c>
      <c r="AG2" t="s">
        <v>22</v>
      </c>
      <c r="AH2" t="s">
        <v>23</v>
      </c>
      <c r="AI2" t="s">
        <v>24</v>
      </c>
      <c r="AJ2" t="s">
        <v>25</v>
      </c>
      <c r="AK2" t="s">
        <v>26</v>
      </c>
      <c r="AL2" t="s">
        <v>27</v>
      </c>
      <c r="AM2" t="s">
        <v>28</v>
      </c>
      <c r="AN2" t="s">
        <v>29</v>
      </c>
      <c r="AO2" t="s">
        <v>32</v>
      </c>
    </row>
    <row r="3">
      <c r="B3" s="1" t="s">
        <v>33</v>
      </c>
    </row>
    <row r="4">
      <c r="B4" t="s">
        <v>65</v>
      </c>
      <c r="O4" s="1">
        <f>SUM(C4:N4)</f>
        <v>0</v>
      </c>
      <c r="AB4" s="1">
        <f>SUM(P4:AA4)</f>
        <v>0</v>
      </c>
      <c r="AO4" s="1">
        <f>SUM(AC4:AN4)</f>
        <v>0</v>
      </c>
    </row>
    <row r="5">
      <c r="B5" t="s">
        <v>34</v>
      </c>
      <c r="L5">
        <v>1775</v>
      </c>
      <c r="M5">
        <v>1775</v>
      </c>
      <c r="N5">
        <v>1775</v>
      </c>
      <c r="O5" s="1">
        <f>SUM(C5:N5)</f>
        <v>5325</v>
      </c>
      <c r="P5">
        <v>1775</v>
      </c>
      <c r="Q5">
        <v>1775</v>
      </c>
      <c r="R5">
        <v>1775</v>
      </c>
      <c r="S5">
        <v>1775</v>
      </c>
      <c r="T5">
        <v>1775</v>
      </c>
      <c r="U5">
        <v>1775</v>
      </c>
      <c r="V5">
        <v>1775</v>
      </c>
      <c r="W5">
        <v>1775</v>
      </c>
      <c r="X5">
        <v>1775</v>
      </c>
      <c r="Y5">
        <v>1950</v>
      </c>
      <c r="Z5">
        <v>1950</v>
      </c>
      <c r="AA5">
        <v>1950</v>
      </c>
      <c r="AB5" s="1">
        <f>SUM(P5:AA5)</f>
        <v>21825</v>
      </c>
      <c r="AC5">
        <v>1950</v>
      </c>
      <c r="AD5">
        <v>1950</v>
      </c>
      <c r="AE5">
        <v>1950</v>
      </c>
      <c r="AF5">
        <v>1950</v>
      </c>
      <c r="AG5">
        <v>1950</v>
      </c>
      <c r="AH5">
        <v>1950</v>
      </c>
      <c r="AI5">
        <v>1450</v>
      </c>
      <c r="AJ5">
        <v>2450</v>
      </c>
      <c r="AN5">
        <v>3900</v>
      </c>
      <c r="AO5" s="1">
        <f>SUM(AC5:AN5)</f>
        <v>19500</v>
      </c>
    </row>
    <row r="6">
      <c r="B6" s="1" t="s">
        <v>35</v>
      </c>
      <c r="L6">
        <v>1775</v>
      </c>
      <c r="M6">
        <v>1775</v>
      </c>
      <c r="N6">
        <v>1775</v>
      </c>
      <c r="O6" s="1">
        <f>SUM(C6:N6)</f>
        <v>5325</v>
      </c>
      <c r="P6">
        <v>1775</v>
      </c>
      <c r="Q6">
        <v>1775</v>
      </c>
      <c r="R6">
        <v>1775</v>
      </c>
      <c r="S6">
        <v>1775</v>
      </c>
      <c r="T6">
        <v>1775</v>
      </c>
      <c r="U6">
        <v>1775</v>
      </c>
      <c r="V6">
        <v>1775</v>
      </c>
      <c r="W6">
        <v>1775</v>
      </c>
      <c r="X6">
        <v>1775</v>
      </c>
      <c r="Y6">
        <v>1950</v>
      </c>
      <c r="Z6">
        <v>1950</v>
      </c>
      <c r="AA6">
        <v>1950</v>
      </c>
      <c r="AB6" s="1">
        <f>SUM(P6:AA6)</f>
        <v>21825</v>
      </c>
      <c r="AC6">
        <v>1950</v>
      </c>
      <c r="AD6">
        <v>1950</v>
      </c>
      <c r="AE6">
        <v>1950</v>
      </c>
      <c r="AF6">
        <v>1950</v>
      </c>
      <c r="AG6">
        <v>1950</v>
      </c>
      <c r="AH6">
        <v>1950</v>
      </c>
      <c r="AI6">
        <v>1450</v>
      </c>
      <c r="AJ6">
        <v>2450</v>
      </c>
      <c r="AN6">
        <v>3900</v>
      </c>
      <c r="AO6" s="1">
        <f>SUM(AC6:AN6)</f>
        <v>19500</v>
      </c>
    </row>
    <row r="8">
      <c r="B8" t="s">
        <v>36</v>
      </c>
      <c r="C8" t="s">
        <v>18</v>
      </c>
      <c r="D8" t="s">
        <v>19</v>
      </c>
      <c r="E8" t="s">
        <v>20</v>
      </c>
      <c r="F8" t="s">
        <v>21</v>
      </c>
      <c r="G8" t="s">
        <v>22</v>
      </c>
      <c r="H8" t="s">
        <v>23</v>
      </c>
      <c r="I8" t="s">
        <v>24</v>
      </c>
      <c r="J8" t="s">
        <v>25</v>
      </c>
      <c r="K8" t="s">
        <v>26</v>
      </c>
      <c r="L8" t="s">
        <v>27</v>
      </c>
      <c r="M8" t="s">
        <v>28</v>
      </c>
      <c r="N8" t="s">
        <v>29</v>
      </c>
      <c r="O8" t="s">
        <v>37</v>
      </c>
      <c r="P8" t="s">
        <v>18</v>
      </c>
      <c r="Q8" t="s">
        <v>19</v>
      </c>
      <c r="R8" t="s">
        <v>20</v>
      </c>
      <c r="S8" t="s">
        <v>21</v>
      </c>
      <c r="T8" t="s">
        <v>22</v>
      </c>
      <c r="U8" t="s">
        <v>23</v>
      </c>
      <c r="V8" t="s">
        <v>24</v>
      </c>
      <c r="W8" t="s">
        <v>25</v>
      </c>
      <c r="X8" t="s">
        <v>26</v>
      </c>
      <c r="Y8" t="s">
        <v>27</v>
      </c>
      <c r="Z8" t="s">
        <v>28</v>
      </c>
      <c r="AA8" t="s">
        <v>29</v>
      </c>
      <c r="AB8" t="s">
        <v>37</v>
      </c>
      <c r="AC8" t="s">
        <v>18</v>
      </c>
      <c r="AD8" t="s">
        <v>19</v>
      </c>
      <c r="AE8" t="s">
        <v>20</v>
      </c>
      <c r="AF8" t="s">
        <v>21</v>
      </c>
      <c r="AG8" t="s">
        <v>22</v>
      </c>
      <c r="AH8" t="s">
        <v>23</v>
      </c>
      <c r="AI8" t="s">
        <v>24</v>
      </c>
      <c r="AJ8" t="s">
        <v>25</v>
      </c>
      <c r="AK8" t="s">
        <v>26</v>
      </c>
      <c r="AL8" t="s">
        <v>27</v>
      </c>
      <c r="AM8" t="s">
        <v>28</v>
      </c>
      <c r="AN8" t="s">
        <v>29</v>
      </c>
      <c r="AO8" t="s">
        <v>37</v>
      </c>
    </row>
    <row r="9">
      <c r="B9" s="1" t="s">
        <v>66</v>
      </c>
    </row>
    <row r="10">
      <c r="B10" t="s">
        <v>38</v>
      </c>
      <c r="O10" s="1">
        <f>SUM(C10:N10)</f>
        <v>0</v>
      </c>
      <c r="AB10" s="1">
        <f>SUM(P10:AA10)</f>
        <v>0</v>
      </c>
      <c r="AO10" s="1">
        <f>SUM(AC10:AN10)</f>
        <v>0</v>
      </c>
    </row>
    <row r="11">
      <c r="B11" t="s">
        <v>39</v>
      </c>
      <c r="O11" s="1">
        <f>SUM(C11:N11)</f>
        <v>0</v>
      </c>
      <c r="AB11" s="1">
        <f>SUM(P11:AA11)</f>
        <v>0</v>
      </c>
      <c r="AO11" s="1">
        <f>SUM(AC11:AN11)</f>
        <v>0</v>
      </c>
    </row>
    <row r="12">
      <c r="B12" t="s">
        <v>40</v>
      </c>
      <c r="O12" s="1">
        <f>SUM(C12:N12)</f>
        <v>0</v>
      </c>
      <c r="AB12" s="1">
        <f>SUM(P12:AA12)</f>
        <v>0</v>
      </c>
      <c r="AO12" s="1">
        <f>SUM(AC12:AN12)</f>
        <v>0</v>
      </c>
    </row>
    <row r="13">
      <c r="B13" t="s">
        <v>41</v>
      </c>
      <c r="O13" s="1">
        <f>SUM(C13:N13)</f>
        <v>0</v>
      </c>
      <c r="AB13" s="1">
        <f>SUM(P13:AA13)</f>
        <v>0</v>
      </c>
      <c r="AO13" s="1">
        <f>SUM(AC13:AN13)</f>
        <v>0</v>
      </c>
    </row>
    <row r="14">
      <c r="B14" t="s">
        <v>67</v>
      </c>
      <c r="C14">
        <v>26.75</v>
      </c>
      <c r="D14">
        <v>26.75</v>
      </c>
      <c r="E14">
        <v>26.75</v>
      </c>
      <c r="F14">
        <v>26.75</v>
      </c>
      <c r="G14">
        <v>26.75</v>
      </c>
      <c r="H14">
        <v>26.75</v>
      </c>
      <c r="I14">
        <v>26.75</v>
      </c>
      <c r="J14">
        <v>26.75</v>
      </c>
      <c r="K14">
        <v>26.75</v>
      </c>
      <c r="L14">
        <v>26.75</v>
      </c>
      <c r="M14">
        <v>26.75</v>
      </c>
      <c r="N14">
        <v>26.75</v>
      </c>
      <c r="O14" s="1">
        <f>SUM(C14:N14)</f>
        <v>321</v>
      </c>
      <c r="P14">
        <v>35.08</v>
      </c>
      <c r="Q14">
        <v>35.08</v>
      </c>
      <c r="R14">
        <v>35.08</v>
      </c>
      <c r="S14">
        <v>35.08</v>
      </c>
      <c r="T14">
        <v>35.08</v>
      </c>
      <c r="U14">
        <v>35.08</v>
      </c>
      <c r="V14">
        <v>35.08</v>
      </c>
      <c r="W14">
        <v>35.08</v>
      </c>
      <c r="X14">
        <v>35.08</v>
      </c>
      <c r="Y14">
        <v>35.08</v>
      </c>
      <c r="Z14">
        <v>35.08</v>
      </c>
      <c r="AA14">
        <v>35.08</v>
      </c>
      <c r="AB14" s="1">
        <f>SUM(P14:AA14)</f>
        <v>420.96</v>
      </c>
      <c r="AC14" s="2">
        <v>42.84</v>
      </c>
      <c r="AD14" s="2">
        <v>42.84</v>
      </c>
      <c r="AE14" s="2">
        <v>42.84</v>
      </c>
      <c r="AF14" s="2">
        <v>42.84</v>
      </c>
      <c r="AG14" s="2">
        <v>42.84</v>
      </c>
      <c r="AH14" s="2">
        <v>42.84</v>
      </c>
      <c r="AI14" s="2">
        <v>42.84</v>
      </c>
      <c r="AJ14" s="2">
        <v>42.84</v>
      </c>
      <c r="AK14" s="2">
        <v>42.84</v>
      </c>
      <c r="AL14" s="2">
        <v>42.84</v>
      </c>
      <c r="AM14" s="2">
        <v>42.84</v>
      </c>
      <c r="AN14" s="2">
        <v>42.84</v>
      </c>
      <c r="AO14" s="1">
        <f>SUM(AC14:AN14)</f>
        <v>514.08</v>
      </c>
    </row>
    <row r="15">
      <c r="B15" t="s">
        <v>43</v>
      </c>
      <c r="O15" s="1">
        <f>SUM(C15:N15)</f>
        <v>0</v>
      </c>
      <c r="P15">
        <v>250</v>
      </c>
      <c r="AB15" s="1">
        <f>SUM(P15:AA15)</f>
        <v>250</v>
      </c>
      <c r="AJ15" s="2">
        <v>150</v>
      </c>
      <c r="AN15" s="2">
        <v>11</v>
      </c>
      <c r="AO15" s="1">
        <f>SUM(AC15:AN15)</f>
        <v>161</v>
      </c>
    </row>
    <row r="16">
      <c r="B16" t="s">
        <v>68</v>
      </c>
      <c r="O16" s="1">
        <f>SUM(C16:N16)</f>
        <v>0</v>
      </c>
      <c r="T16">
        <v>80</v>
      </c>
      <c r="U16">
        <v>220</v>
      </c>
      <c r="Z16">
        <v>250</v>
      </c>
      <c r="AB16" s="1">
        <f>SUM(P16:AA16)</f>
        <v>550</v>
      </c>
      <c r="AN16" s="2">
        <v>675</v>
      </c>
      <c r="AO16" s="1">
        <f>SUM(AC16:AN16)</f>
        <v>675</v>
      </c>
    </row>
    <row r="26">
      <c r="L26">
        <v>13</v>
      </c>
      <c r="O26" s="1">
        <f>SUM(C26:N26)</f>
        <v>13</v>
      </c>
      <c r="AB26" s="1">
        <f>SUM(P26:AA26)</f>
        <v>0</v>
      </c>
      <c r="AO26" s="1">
        <f>SUM(AC26:AN26)</f>
        <v>0</v>
      </c>
    </row>
    <row r="29">
      <c r="B29" t="s">
        <v>52</v>
      </c>
      <c r="O29" s="1">
        <f>SUM(C29:N29)</f>
        <v>0</v>
      </c>
      <c r="P29">
        <v>1434.37</v>
      </c>
      <c r="AB29" s="1">
        <f>SUM(P29:AA29)</f>
        <v>1434.37</v>
      </c>
      <c r="AO29" s="1">
        <f>SUM(AC29:AN29)</f>
        <v>0</v>
      </c>
    </row>
    <row r="35">
      <c r="B35" t="s">
        <v>69</v>
      </c>
      <c r="C35">
        <v>1066.27</v>
      </c>
      <c r="D35">
        <v>1066.27</v>
      </c>
      <c r="E35">
        <v>1066.27</v>
      </c>
      <c r="F35">
        <v>1066.27</v>
      </c>
      <c r="G35">
        <v>1066.27</v>
      </c>
      <c r="H35">
        <v>1066.27</v>
      </c>
      <c r="I35">
        <v>1066.27</v>
      </c>
      <c r="J35">
        <v>1066.27</v>
      </c>
      <c r="K35">
        <v>1066.27</v>
      </c>
      <c r="L35">
        <v>1066.27</v>
      </c>
      <c r="M35">
        <v>1215.82</v>
      </c>
      <c r="N35">
        <v>1215.82</v>
      </c>
      <c r="O35" s="1">
        <f>SUM(C35:N35)</f>
        <v>13094.34</v>
      </c>
      <c r="P35">
        <v>1318.02</v>
      </c>
      <c r="Q35">
        <v>1318.02</v>
      </c>
      <c r="R35">
        <v>1318.02</v>
      </c>
      <c r="S35">
        <v>1318.02</v>
      </c>
      <c r="T35">
        <v>1318.02</v>
      </c>
      <c r="U35">
        <v>1318.02</v>
      </c>
      <c r="V35">
        <v>1318.02</v>
      </c>
      <c r="W35">
        <v>1318.02</v>
      </c>
      <c r="X35">
        <v>1318.02</v>
      </c>
      <c r="Y35">
        <v>1318.02</v>
      </c>
      <c r="Z35">
        <v>1318.02</v>
      </c>
      <c r="AA35">
        <v>1318.02</v>
      </c>
      <c r="AB35" s="1">
        <f>SUM(P35:AA35)</f>
        <v>15816.24</v>
      </c>
      <c r="AC35" s="3">
        <v>1226.25</v>
      </c>
      <c r="AD35" s="3">
        <v>1226.25</v>
      </c>
      <c r="AE35" s="3">
        <v>1226.25</v>
      </c>
      <c r="AF35" s="3">
        <v>1226.25</v>
      </c>
      <c r="AG35" s="3">
        <v>1226.25</v>
      </c>
      <c r="AH35" s="3">
        <v>1226.25</v>
      </c>
      <c r="AI35" s="2">
        <v>1226.25</v>
      </c>
      <c r="AJ35" s="2">
        <v>1226.25</v>
      </c>
      <c r="AK35" s="2">
        <v>1226.25</v>
      </c>
      <c r="AL35" s="2">
        <v>1226.25</v>
      </c>
      <c r="AM35" s="2">
        <v>1177.52</v>
      </c>
      <c r="AN35" s="2">
        <v>1177.52</v>
      </c>
      <c r="AO35" s="1">
        <f>SUM(AC35:AN35)</f>
        <v>14617.54</v>
      </c>
    </row>
    <row r="36">
      <c r="B36" t="s">
        <v>70</v>
      </c>
      <c r="C36">
        <v>397.48</v>
      </c>
      <c r="D36">
        <v>397.48</v>
      </c>
      <c r="E36">
        <v>397.48</v>
      </c>
      <c r="F36">
        <v>397.48</v>
      </c>
      <c r="G36">
        <v>397.48</v>
      </c>
      <c r="H36">
        <v>397.48</v>
      </c>
      <c r="I36">
        <v>397.48</v>
      </c>
      <c r="J36">
        <v>397.48</v>
      </c>
      <c r="K36">
        <v>397.48</v>
      </c>
      <c r="L36">
        <v>397.48</v>
      </c>
      <c r="M36">
        <v>397.48</v>
      </c>
      <c r="N36">
        <v>397.48</v>
      </c>
      <c r="O36" s="1">
        <f>SUM(C36:N36)</f>
        <v>4769.76</v>
      </c>
      <c r="P36">
        <v>401.46</v>
      </c>
      <c r="Q36">
        <v>401.46</v>
      </c>
      <c r="R36">
        <v>401.46</v>
      </c>
      <c r="S36">
        <v>401.46</v>
      </c>
      <c r="T36">
        <v>401.46</v>
      </c>
      <c r="U36">
        <v>401.46</v>
      </c>
      <c r="V36">
        <v>401.46</v>
      </c>
      <c r="W36">
        <v>401.46</v>
      </c>
      <c r="X36">
        <v>401.46</v>
      </c>
      <c r="Y36">
        <v>401.46</v>
      </c>
      <c r="Z36">
        <v>401.46</v>
      </c>
      <c r="AA36">
        <v>401.46</v>
      </c>
      <c r="AB36" s="1">
        <f>SUM(P36:AA36)</f>
        <v>4817.52</v>
      </c>
      <c r="AC36" s="3">
        <v>421.53</v>
      </c>
      <c r="AD36" s="3">
        <v>421.53</v>
      </c>
      <c r="AE36" s="3">
        <v>421.53</v>
      </c>
      <c r="AF36" s="3">
        <v>421.53</v>
      </c>
      <c r="AG36" s="3">
        <v>421.53</v>
      </c>
      <c r="AH36" s="2">
        <v>421.53</v>
      </c>
      <c r="AI36" s="2">
        <v>421.53</v>
      </c>
      <c r="AJ36" s="2">
        <v>421.53</v>
      </c>
      <c r="AK36" s="2">
        <v>421.53</v>
      </c>
      <c r="AL36" s="2">
        <v>421.53</v>
      </c>
      <c r="AM36" s="2">
        <v>421.53</v>
      </c>
      <c r="AN36" s="2">
        <v>421.53</v>
      </c>
      <c r="AO36" s="1">
        <f>SUM(AC36:AN36)</f>
        <v>5058.36</v>
      </c>
    </row>
    <row r="37">
      <c r="B37" t="s">
        <v>71</v>
      </c>
      <c r="L37">
        <v>350</v>
      </c>
      <c r="O37" s="1">
        <f>SUM(C37:N37)</f>
        <v>350</v>
      </c>
      <c r="AB37" s="1">
        <f>SUM(P37:AA37)</f>
        <v>0</v>
      </c>
      <c r="AO37" s="1">
        <f>SUM(AC37:AN37)</f>
        <v>0</v>
      </c>
    </row>
    <row r="38">
      <c r="B38" t="s">
        <v>72</v>
      </c>
      <c r="L38">
        <v>200</v>
      </c>
      <c r="O38" s="1">
        <f>SUM(C38:N38)</f>
        <v>200</v>
      </c>
      <c r="Y38">
        <v>200</v>
      </c>
      <c r="AB38" s="1">
        <f>SUM(P38:AA38)</f>
        <v>200</v>
      </c>
      <c r="AL38" s="2">
        <v>300</v>
      </c>
      <c r="AO38" s="1">
        <f>SUM(AC38:AN38)</f>
        <v>300</v>
      </c>
    </row>
    <row r="42">
      <c r="B42" s="1" t="s">
        <v>62</v>
      </c>
      <c r="C42">
        <v>1490.5</v>
      </c>
      <c r="D42">
        <v>1490.5</v>
      </c>
      <c r="E42">
        <v>1490.5</v>
      </c>
      <c r="F42">
        <v>1490.5</v>
      </c>
      <c r="G42">
        <v>1490.5</v>
      </c>
      <c r="H42">
        <v>1490.5</v>
      </c>
      <c r="I42">
        <v>1490.5</v>
      </c>
      <c r="J42">
        <v>1490.5</v>
      </c>
      <c r="K42">
        <v>1490.5</v>
      </c>
      <c r="L42">
        <v>2053.5</v>
      </c>
      <c r="M42">
        <v>1640.05</v>
      </c>
      <c r="N42">
        <v>1640.05</v>
      </c>
      <c r="O42" s="1">
        <f>SUM(C42:N42)</f>
        <v>18748.1</v>
      </c>
      <c r="P42">
        <v>3438.93</v>
      </c>
      <c r="Q42">
        <v>1754.56</v>
      </c>
      <c r="R42">
        <v>1754.56</v>
      </c>
      <c r="S42">
        <v>1754.56</v>
      </c>
      <c r="T42">
        <v>1834.56</v>
      </c>
      <c r="U42">
        <v>1974.56</v>
      </c>
      <c r="V42">
        <v>1754.56</v>
      </c>
      <c r="W42">
        <v>1754.56</v>
      </c>
      <c r="X42">
        <v>1754.56</v>
      </c>
      <c r="Y42">
        <v>1954.56</v>
      </c>
      <c r="Z42">
        <v>2004.56</v>
      </c>
      <c r="AA42">
        <v>1754.56</v>
      </c>
      <c r="AB42" s="1">
        <f>SUM(P42:AA42)</f>
        <v>23489.09</v>
      </c>
      <c r="AC42">
        <v>1690.62</v>
      </c>
      <c r="AD42">
        <v>1690.62</v>
      </c>
      <c r="AE42">
        <v>1690.62</v>
      </c>
      <c r="AF42">
        <v>1690.62</v>
      </c>
      <c r="AG42">
        <v>1690.62</v>
      </c>
      <c r="AH42">
        <v>1690.62</v>
      </c>
      <c r="AI42">
        <v>1690.62</v>
      </c>
      <c r="AJ42">
        <v>1840.62</v>
      </c>
      <c r="AK42">
        <v>1690.62</v>
      </c>
      <c r="AL42">
        <v>1990.62</v>
      </c>
      <c r="AM42">
        <v>1641.89</v>
      </c>
      <c r="AN42">
        <v>2327.89</v>
      </c>
      <c r="AO42" s="1">
        <f>SUM(AC42:AN42)</f>
        <v>21325.98</v>
      </c>
    </row>
    <row r="44">
      <c r="B44" s="1" t="s">
        <v>63</v>
      </c>
      <c r="C44">
        <v>-1490.5</v>
      </c>
      <c r="D44">
        <v>-1490.5</v>
      </c>
      <c r="E44">
        <v>-1490.5</v>
      </c>
      <c r="F44">
        <v>-1490.5</v>
      </c>
      <c r="G44">
        <v>-1490.5</v>
      </c>
      <c r="H44">
        <v>-1490.5</v>
      </c>
      <c r="I44">
        <v>-1490.5</v>
      </c>
      <c r="J44">
        <v>-1490.5</v>
      </c>
      <c r="K44">
        <v>-1490.5</v>
      </c>
      <c r="L44">
        <v>-278.5</v>
      </c>
      <c r="M44">
        <v>134.95</v>
      </c>
      <c r="N44">
        <v>134.95</v>
      </c>
      <c r="O44" s="1">
        <f>O6-O42</f>
        <v>-13423.1</v>
      </c>
      <c r="P44">
        <v>-1663.93</v>
      </c>
      <c r="Q44">
        <v>20.44</v>
      </c>
      <c r="R44">
        <v>20.44</v>
      </c>
      <c r="S44">
        <v>20.44</v>
      </c>
      <c r="T44">
        <v>-59.56</v>
      </c>
      <c r="U44">
        <v>-199.56</v>
      </c>
      <c r="V44">
        <v>20.44</v>
      </c>
      <c r="W44">
        <v>20.44</v>
      </c>
      <c r="X44">
        <v>20.44</v>
      </c>
      <c r="Y44">
        <v>-4.56</v>
      </c>
      <c r="Z44">
        <v>-54.56</v>
      </c>
      <c r="AA44">
        <v>195.44</v>
      </c>
      <c r="AB44" s="1">
        <f>AB6-AB42</f>
        <v>-1664.09</v>
      </c>
      <c r="AC44">
        <v>259.38</v>
      </c>
      <c r="AD44">
        <v>259.38</v>
      </c>
      <c r="AE44">
        <v>259.38</v>
      </c>
      <c r="AF44">
        <v>259.38</v>
      </c>
      <c r="AG44">
        <v>259.38</v>
      </c>
      <c r="AH44">
        <v>259.38</v>
      </c>
      <c r="AI44">
        <v>-240.62</v>
      </c>
      <c r="AJ44">
        <v>609.38</v>
      </c>
      <c r="AK44">
        <v>-1690.62</v>
      </c>
      <c r="AL44">
        <v>-1990.62</v>
      </c>
      <c r="AM44">
        <v>-1641.89</v>
      </c>
      <c r="AN44">
        <v>1572.11</v>
      </c>
      <c r="AO44" s="1">
        <f>AO6-AO42</f>
        <v>-1825.98</v>
      </c>
    </row>
  </sheetData>
  <mergeCells count="3">
    <mergeCell ref="AC1:AO1"/>
    <mergeCell ref="C1:O1"/>
    <mergeCell ref="P1:AB1"/>
  </mergeCells>
</worksheet>
</file>

<file path=xl/worksheets/sheet4.xml><?xml version="1.0" encoding="utf-8"?>
<worksheet xmlns="http://schemas.openxmlformats.org/spreadsheetml/2006/main">
  <sheetData>
    <row r="1">
      <c r="A1" s="1">
        <v>2023</v>
      </c>
    </row>
    <row r="2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73</v>
      </c>
      <c r="K2" s="1" t="s">
        <v>27</v>
      </c>
      <c r="L2" s="1" t="s">
        <v>28</v>
      </c>
      <c r="M2" s="1" t="s">
        <v>29</v>
      </c>
      <c r="N2" s="1" t="s">
        <v>74</v>
      </c>
    </row>
    <row r="3">
      <c r="A3" t="s">
        <v>12</v>
      </c>
      <c r="F3">
        <v>8135.65</v>
      </c>
      <c r="G3">
        <v>11661.5</v>
      </c>
      <c r="H3">
        <v>50000</v>
      </c>
      <c r="J3">
        <v>400</v>
      </c>
      <c r="L3">
        <v>10700</v>
      </c>
      <c r="M3">
        <v>3040</v>
      </c>
      <c r="N3">
        <v>83937.15</v>
      </c>
    </row>
    <row r="4">
      <c r="A4" t="s">
        <v>75</v>
      </c>
    </row>
    <row r="5">
      <c r="A5" t="s">
        <v>76</v>
      </c>
      <c r="F5">
        <v>8135.65</v>
      </c>
      <c r="G5">
        <v>11661.5</v>
      </c>
      <c r="H5">
        <v>50000</v>
      </c>
      <c r="J5">
        <v>400</v>
      </c>
      <c r="L5">
        <v>10700</v>
      </c>
      <c r="M5">
        <v>3040</v>
      </c>
      <c r="N5">
        <v>83937.15</v>
      </c>
    </row>
    <row r="7">
      <c r="A7" s="1" t="s">
        <v>36</v>
      </c>
      <c r="B7" s="1" t="s">
        <v>18</v>
      </c>
      <c r="C7" s="1" t="s">
        <v>19</v>
      </c>
      <c r="D7" s="1" t="s">
        <v>20</v>
      </c>
      <c r="E7" s="1" t="s">
        <v>21</v>
      </c>
      <c r="F7" s="1" t="s">
        <v>22</v>
      </c>
      <c r="G7" s="1" t="s">
        <v>23</v>
      </c>
      <c r="H7" s="1" t="s">
        <v>24</v>
      </c>
      <c r="I7" s="1" t="s">
        <v>25</v>
      </c>
      <c r="J7" s="1" t="s">
        <v>73</v>
      </c>
      <c r="K7" s="1" t="s">
        <v>27</v>
      </c>
      <c r="L7" s="1" t="s">
        <v>28</v>
      </c>
      <c r="M7" s="1" t="s">
        <v>29</v>
      </c>
      <c r="N7" s="1" t="s">
        <v>74</v>
      </c>
    </row>
    <row r="8">
      <c r="A8" t="s">
        <v>77</v>
      </c>
    </row>
    <row r="9">
      <c r="A9" t="s">
        <v>78</v>
      </c>
      <c r="J9">
        <v>13750</v>
      </c>
      <c r="N9">
        <v>13750</v>
      </c>
    </row>
    <row r="10">
      <c r="A10" t="s">
        <v>79</v>
      </c>
      <c r="I10">
        <v>426.52</v>
      </c>
      <c r="J10">
        <v>87.99</v>
      </c>
      <c r="K10">
        <v>87.78</v>
      </c>
      <c r="N10">
        <v>602.29</v>
      </c>
    </row>
    <row r="11">
      <c r="A11" t="s">
        <v>80</v>
      </c>
      <c r="I11">
        <v>461</v>
      </c>
      <c r="K11">
        <v>1799.5</v>
      </c>
      <c r="L11">
        <v>82.68</v>
      </c>
      <c r="N11">
        <v>2343.18</v>
      </c>
    </row>
    <row r="12">
      <c r="A12" t="s">
        <v>81</v>
      </c>
    </row>
    <row r="13">
      <c r="A13" t="s">
        <v>82</v>
      </c>
      <c r="B13">
        <v>15</v>
      </c>
      <c r="C13">
        <v>15</v>
      </c>
      <c r="D13">
        <v>15</v>
      </c>
      <c r="E13">
        <v>15</v>
      </c>
      <c r="F13">
        <v>15</v>
      </c>
      <c r="G13">
        <v>15</v>
      </c>
      <c r="H13">
        <v>15</v>
      </c>
      <c r="I13">
        <v>15</v>
      </c>
      <c r="J13">
        <v>15</v>
      </c>
      <c r="K13">
        <v>15</v>
      </c>
      <c r="L13">
        <v>15</v>
      </c>
      <c r="M13">
        <v>15</v>
      </c>
      <c r="N13">
        <v>180</v>
      </c>
    </row>
    <row r="14">
      <c r="A14" t="s">
        <v>83</v>
      </c>
      <c r="C14">
        <v>1185.36</v>
      </c>
      <c r="E14">
        <v>1113.09</v>
      </c>
      <c r="H14">
        <v>50</v>
      </c>
      <c r="J14">
        <v>1351.31</v>
      </c>
      <c r="L14">
        <v>1283.75</v>
      </c>
      <c r="N14">
        <v>4983.51</v>
      </c>
    </row>
    <row r="15">
      <c r="A15" t="s">
        <v>84</v>
      </c>
      <c r="B15">
        <v>228</v>
      </c>
      <c r="C15">
        <v>20</v>
      </c>
      <c r="N15">
        <v>248</v>
      </c>
    </row>
    <row r="16">
      <c r="A16" t="s">
        <v>85</v>
      </c>
      <c r="B16">
        <v>77.45</v>
      </c>
      <c r="C16">
        <v>77.45</v>
      </c>
      <c r="D16">
        <v>77.45</v>
      </c>
      <c r="E16">
        <v>77.45</v>
      </c>
      <c r="F16">
        <v>77.45</v>
      </c>
      <c r="G16">
        <v>77.45</v>
      </c>
      <c r="H16">
        <v>77.45</v>
      </c>
      <c r="I16">
        <v>77.45</v>
      </c>
      <c r="J16">
        <v>77.45</v>
      </c>
      <c r="K16">
        <v>77.45</v>
      </c>
      <c r="L16">
        <v>77.45</v>
      </c>
      <c r="M16">
        <v>77.45</v>
      </c>
      <c r="N16">
        <v>929.4</v>
      </c>
    </row>
    <row r="17">
      <c r="A17" t="s">
        <v>86</v>
      </c>
      <c r="B17">
        <v>53</v>
      </c>
      <c r="C17">
        <v>53</v>
      </c>
      <c r="D17">
        <v>53</v>
      </c>
      <c r="E17">
        <v>53</v>
      </c>
      <c r="F17">
        <v>53</v>
      </c>
      <c r="G17">
        <v>53</v>
      </c>
      <c r="H17">
        <v>53</v>
      </c>
      <c r="I17">
        <v>53</v>
      </c>
      <c r="J17">
        <v>53</v>
      </c>
      <c r="K17">
        <v>53</v>
      </c>
      <c r="L17">
        <v>53</v>
      </c>
      <c r="M17">
        <v>53</v>
      </c>
      <c r="N17">
        <v>636</v>
      </c>
    </row>
    <row r="18">
      <c r="A18" t="s">
        <v>87</v>
      </c>
      <c r="J18">
        <v>77.16</v>
      </c>
      <c r="K18">
        <v>384.99</v>
      </c>
      <c r="N18">
        <v>462.15</v>
      </c>
    </row>
    <row r="19">
      <c r="A19" t="s">
        <v>88</v>
      </c>
      <c r="B19">
        <v>5025.37</v>
      </c>
      <c r="N19">
        <v>5025.37</v>
      </c>
    </row>
    <row r="20">
      <c r="A20" t="s">
        <v>89</v>
      </c>
    </row>
    <row r="21">
      <c r="A21" t="s">
        <v>90</v>
      </c>
    </row>
    <row r="22">
      <c r="A22" s="1" t="s">
        <v>62</v>
      </c>
      <c r="B22" s="1">
        <v>5398.82</v>
      </c>
      <c r="C22" s="1">
        <v>1350.81</v>
      </c>
      <c r="D22" s="1">
        <v>145.45</v>
      </c>
      <c r="E22" s="1">
        <v>1258.54</v>
      </c>
      <c r="F22" s="1">
        <v>145.45</v>
      </c>
      <c r="G22" s="1">
        <v>145.45</v>
      </c>
      <c r="H22" s="1">
        <v>195.45</v>
      </c>
      <c r="I22" s="1">
        <v>1032.97</v>
      </c>
      <c r="J22" s="1">
        <v>15411.91</v>
      </c>
      <c r="K22" s="1">
        <v>2417.72</v>
      </c>
      <c r="L22" s="1">
        <v>1511.88</v>
      </c>
      <c r="M22" s="1">
        <v>145.45</v>
      </c>
      <c r="N22" s="1">
        <v>29159.9</v>
      </c>
    </row>
    <row r="24">
      <c r="A24" s="1" t="s">
        <v>91</v>
      </c>
      <c r="B24" s="1">
        <v>-5398.82</v>
      </c>
      <c r="C24" s="1">
        <v>-1350.81</v>
      </c>
      <c r="D24" s="1">
        <v>-145.45</v>
      </c>
      <c r="E24" s="1">
        <v>-1258.54</v>
      </c>
      <c r="F24" s="1">
        <v>7990.2</v>
      </c>
      <c r="G24" s="1">
        <v>11516.05</v>
      </c>
      <c r="H24" s="1">
        <v>49804.55</v>
      </c>
      <c r="I24" s="1">
        <v>-1032.97</v>
      </c>
      <c r="J24" s="1">
        <v>-15011.91</v>
      </c>
      <c r="K24" s="1">
        <v>-2417.72</v>
      </c>
      <c r="L24" s="1">
        <v>9188.12</v>
      </c>
      <c r="M24" s="1">
        <v>2894.55</v>
      </c>
      <c r="N24" s="1">
        <v>54777.25</v>
      </c>
    </row>
    <row r="26">
      <c r="A26" s="1">
        <v>2024</v>
      </c>
    </row>
    <row r="27">
      <c r="A27" s="1" t="s">
        <v>17</v>
      </c>
      <c r="B27" s="1" t="s">
        <v>18</v>
      </c>
      <c r="C27" s="1" t="s">
        <v>19</v>
      </c>
      <c r="D27" s="1" t="s">
        <v>20</v>
      </c>
      <c r="E27" s="1" t="s">
        <v>21</v>
      </c>
      <c r="F27" s="1" t="s">
        <v>22</v>
      </c>
      <c r="G27" s="1" t="s">
        <v>23</v>
      </c>
      <c r="H27" s="1" t="s">
        <v>24</v>
      </c>
      <c r="I27" s="1" t="s">
        <v>25</v>
      </c>
      <c r="J27" s="1" t="s">
        <v>73</v>
      </c>
      <c r="K27" s="1" t="s">
        <v>27</v>
      </c>
      <c r="L27" s="1" t="s">
        <v>28</v>
      </c>
      <c r="M27" s="1" t="s">
        <v>29</v>
      </c>
      <c r="N27" s="1" t="s">
        <v>74</v>
      </c>
    </row>
    <row r="28">
      <c r="A28" t="s">
        <v>12</v>
      </c>
      <c r="N28">
        <v>26294.06</v>
      </c>
    </row>
    <row r="29">
      <c r="A29" t="s">
        <v>75</v>
      </c>
    </row>
    <row r="30">
      <c r="A30" t="s">
        <v>76</v>
      </c>
      <c r="N30">
        <v>26294.06</v>
      </c>
    </row>
    <row r="32">
      <c r="A32" s="1" t="s">
        <v>36</v>
      </c>
      <c r="B32" s="1" t="s">
        <v>18</v>
      </c>
      <c r="C32" s="1" t="s">
        <v>19</v>
      </c>
      <c r="D32" s="1" t="s">
        <v>20</v>
      </c>
      <c r="E32" s="1" t="s">
        <v>21</v>
      </c>
      <c r="F32" s="1" t="s">
        <v>22</v>
      </c>
      <c r="G32" s="1" t="s">
        <v>23</v>
      </c>
      <c r="H32" s="1" t="s">
        <v>24</v>
      </c>
      <c r="I32" s="1" t="s">
        <v>25</v>
      </c>
      <c r="J32" s="1" t="s">
        <v>73</v>
      </c>
      <c r="K32" s="1" t="s">
        <v>27</v>
      </c>
      <c r="L32" s="1" t="s">
        <v>28</v>
      </c>
      <c r="M32" s="1" t="s">
        <v>29</v>
      </c>
      <c r="N32" s="1" t="s">
        <v>74</v>
      </c>
    </row>
    <row r="33">
      <c r="A33" t="s">
        <v>77</v>
      </c>
      <c r="B33">
        <v>13.59</v>
      </c>
      <c r="C33">
        <v>5.94</v>
      </c>
      <c r="D33">
        <v>31.89</v>
      </c>
      <c r="N33">
        <v>51.42</v>
      </c>
    </row>
    <row r="34">
      <c r="A34" t="s">
        <v>78</v>
      </c>
    </row>
    <row r="35">
      <c r="A35" t="s">
        <v>79</v>
      </c>
    </row>
    <row r="36">
      <c r="A36" t="s">
        <v>80</v>
      </c>
      <c r="G36">
        <v>263.98</v>
      </c>
      <c r="H36">
        <v>165</v>
      </c>
      <c r="N36">
        <v>428.98</v>
      </c>
    </row>
    <row r="37">
      <c r="A37" t="s">
        <v>81</v>
      </c>
    </row>
    <row r="38">
      <c r="A38" t="s">
        <v>82</v>
      </c>
      <c r="D38">
        <v>60</v>
      </c>
      <c r="E38">
        <v>164.86</v>
      </c>
      <c r="F38">
        <v>34.91</v>
      </c>
      <c r="N38">
        <v>259.77</v>
      </c>
    </row>
    <row r="39">
      <c r="A39" t="s">
        <v>83</v>
      </c>
      <c r="C39">
        <v>1169.05</v>
      </c>
      <c r="E39">
        <v>1613.5</v>
      </c>
      <c r="J39">
        <v>923.42</v>
      </c>
      <c r="L39">
        <v>1059.45</v>
      </c>
      <c r="N39">
        <v>4765.42</v>
      </c>
    </row>
    <row r="40">
      <c r="A40" t="s">
        <v>84</v>
      </c>
    </row>
    <row r="41">
      <c r="A41" t="s">
        <v>85</v>
      </c>
      <c r="B41">
        <v>77.66</v>
      </c>
      <c r="C41">
        <v>77.45</v>
      </c>
      <c r="D41">
        <v>77.45</v>
      </c>
      <c r="E41">
        <v>77.43</v>
      </c>
      <c r="F41">
        <v>77.43</v>
      </c>
      <c r="G41">
        <v>162.86</v>
      </c>
      <c r="H41">
        <v>267.46</v>
      </c>
      <c r="I41">
        <v>88.54</v>
      </c>
      <c r="J41">
        <v>88.72</v>
      </c>
      <c r="K41">
        <v>93.61</v>
      </c>
      <c r="L41">
        <v>111.83</v>
      </c>
      <c r="M41">
        <v>106.67</v>
      </c>
      <c r="N41">
        <v>1307.11</v>
      </c>
    </row>
    <row r="42">
      <c r="A42" t="s">
        <v>86</v>
      </c>
      <c r="B42">
        <v>30</v>
      </c>
      <c r="C42">
        <v>30</v>
      </c>
      <c r="D42">
        <v>30</v>
      </c>
      <c r="E42">
        <v>30</v>
      </c>
      <c r="F42">
        <v>30</v>
      </c>
      <c r="G42">
        <v>30</v>
      </c>
      <c r="H42">
        <v>30</v>
      </c>
      <c r="I42">
        <v>30</v>
      </c>
      <c r="J42">
        <v>30</v>
      </c>
      <c r="K42">
        <v>50</v>
      </c>
      <c r="L42">
        <v>50</v>
      </c>
      <c r="M42">
        <v>50</v>
      </c>
      <c r="N42">
        <v>420</v>
      </c>
    </row>
    <row r="43">
      <c r="A43" t="s">
        <v>87</v>
      </c>
      <c r="E43">
        <v>20</v>
      </c>
      <c r="F43">
        <v>192</v>
      </c>
      <c r="L43">
        <v>628.59</v>
      </c>
      <c r="N43">
        <v>840.59</v>
      </c>
    </row>
    <row r="44">
      <c r="A44" t="s">
        <v>92</v>
      </c>
      <c r="J44">
        <v>316.5</v>
      </c>
      <c r="N44">
        <v>316.5</v>
      </c>
    </row>
    <row r="45">
      <c r="A45" t="s">
        <v>88</v>
      </c>
      <c r="M45">
        <v>197.44</v>
      </c>
      <c r="N45">
        <v>197.44</v>
      </c>
    </row>
    <row r="46">
      <c r="A46" t="s">
        <v>89</v>
      </c>
    </row>
    <row r="47">
      <c r="A47" t="s">
        <v>90</v>
      </c>
    </row>
    <row r="48">
      <c r="A48" s="1" t="s">
        <v>62</v>
      </c>
      <c r="B48" s="1">
        <v>121.25</v>
      </c>
      <c r="C48" s="1">
        <v>1282.44</v>
      </c>
      <c r="D48" s="1">
        <v>199.34</v>
      </c>
      <c r="E48" s="1">
        <v>1905.79</v>
      </c>
      <c r="F48" s="1">
        <v>334.34</v>
      </c>
      <c r="G48" s="1">
        <v>456.84</v>
      </c>
      <c r="H48" s="1">
        <v>462.46</v>
      </c>
      <c r="I48" s="1">
        <v>118.54</v>
      </c>
      <c r="J48" s="1">
        <v>1358.64</v>
      </c>
      <c r="K48" s="1">
        <v>143.61</v>
      </c>
      <c r="L48" s="1">
        <v>1849.87</v>
      </c>
      <c r="M48" s="1">
        <v>354.11</v>
      </c>
      <c r="N48" s="1">
        <v>8587.23</v>
      </c>
    </row>
    <row r="50">
      <c r="A50" s="1" t="s">
        <v>91</v>
      </c>
      <c r="B50" s="1">
        <v>-121.25</v>
      </c>
      <c r="C50" s="1">
        <v>-1282.44</v>
      </c>
      <c r="D50" s="1">
        <v>-199.34</v>
      </c>
      <c r="E50" s="1">
        <v>-1905.79</v>
      </c>
      <c r="F50" s="1">
        <v>-334.34</v>
      </c>
      <c r="G50" s="1">
        <v>-456.84</v>
      </c>
      <c r="H50" s="1">
        <v>-462.46</v>
      </c>
      <c r="I50" s="1">
        <v>-118.54</v>
      </c>
      <c r="J50" s="1">
        <v>-1358.64</v>
      </c>
      <c r="K50" s="1">
        <v>-143.61</v>
      </c>
      <c r="L50" s="1">
        <v>-1849.87</v>
      </c>
      <c r="M50" s="1">
        <v>-354.11</v>
      </c>
      <c r="N50" s="1">
        <v>17706.83</v>
      </c>
    </row>
    <row r="51">
      <c r="A51" s="1">
        <v>2025</v>
      </c>
    </row>
    <row r="52">
      <c r="A52" s="1" t="s">
        <v>17</v>
      </c>
      <c r="B52" s="1" t="s">
        <v>18</v>
      </c>
      <c r="C52" s="1" t="s">
        <v>19</v>
      </c>
      <c r="D52" s="1" t="s">
        <v>20</v>
      </c>
      <c r="E52" s="1" t="s">
        <v>21</v>
      </c>
      <c r="F52" s="1" t="s">
        <v>22</v>
      </c>
      <c r="G52" s="1" t="s">
        <v>23</v>
      </c>
      <c r="H52" s="1" t="s">
        <v>24</v>
      </c>
      <c r="I52" s="1" t="s">
        <v>25</v>
      </c>
      <c r="J52" s="1" t="s">
        <v>73</v>
      </c>
      <c r="K52" s="1" t="s">
        <v>27</v>
      </c>
      <c r="L52" s="1" t="s">
        <v>28</v>
      </c>
      <c r="M52" s="1" t="s">
        <v>29</v>
      </c>
      <c r="N52" s="1" t="s">
        <v>74</v>
      </c>
    </row>
    <row r="53">
      <c r="A53" t="s">
        <v>12</v>
      </c>
      <c r="B53">
        <v>14000</v>
      </c>
      <c r="C53">
        <v>136000</v>
      </c>
      <c r="H53" s="2">
        <v>76000</v>
      </c>
      <c r="K53" s="2">
        <v>25000</v>
      </c>
      <c r="N53">
        <v>251000</v>
      </c>
    </row>
    <row r="54">
      <c r="A54" t="s">
        <v>75</v>
      </c>
      <c r="G54">
        <v>13595</v>
      </c>
      <c r="N54">
        <v>13595</v>
      </c>
    </row>
    <row r="55">
      <c r="A55" t="s">
        <v>76</v>
      </c>
      <c r="B55" s="4">
        <f>SUM(B53:B54)</f>
        <v>14000</v>
      </c>
      <c r="C55" s="4">
        <f>SUM(C53:C54)</f>
        <v>136000</v>
      </c>
      <c r="D55" s="4">
        <f>SUM(D53:D54)</f>
        <v>0</v>
      </c>
      <c r="E55" s="4">
        <f>SUM(E53:E54)</f>
        <v>0</v>
      </c>
      <c r="F55" s="4">
        <f>SUM(F53:F54)</f>
        <v>0</v>
      </c>
      <c r="G55" s="4">
        <f>SUM(G53:G54)</f>
        <v>13595</v>
      </c>
      <c r="H55" s="4">
        <f>SUM(H53:H54)</f>
        <v>76000</v>
      </c>
      <c r="I55" s="4">
        <f>SUM(I53:I54)</f>
        <v>0</v>
      </c>
      <c r="J55" s="4">
        <f>SUM(J53:J54)</f>
        <v>0</v>
      </c>
      <c r="K55" s="4">
        <f>SUM(K53:K54)</f>
        <v>25000</v>
      </c>
      <c r="L55" s="4">
        <f>SUM(L53:L54)</f>
        <v>0</v>
      </c>
      <c r="M55" s="4">
        <f>SUM(M53:M54)</f>
        <v>0</v>
      </c>
      <c r="N55" s="4">
        <f>SUM(N53:N54)</f>
        <v>264595</v>
      </c>
    </row>
    <row r="57">
      <c r="A57" s="1" t="s">
        <v>36</v>
      </c>
      <c r="B57" s="1" t="s">
        <v>18</v>
      </c>
      <c r="C57" s="1" t="s">
        <v>19</v>
      </c>
      <c r="D57" s="1" t="s">
        <v>20</v>
      </c>
      <c r="E57" s="1" t="s">
        <v>21</v>
      </c>
      <c r="F57" s="1" t="s">
        <v>22</v>
      </c>
      <c r="G57" s="1" t="s">
        <v>23</v>
      </c>
      <c r="H57" s="1" t="s">
        <v>24</v>
      </c>
      <c r="I57" s="1" t="s">
        <v>25</v>
      </c>
      <c r="J57" s="1" t="s">
        <v>73</v>
      </c>
      <c r="K57" s="1" t="s">
        <v>27</v>
      </c>
      <c r="L57" s="1" t="s">
        <v>28</v>
      </c>
      <c r="M57" s="1" t="s">
        <v>29</v>
      </c>
      <c r="N57" s="1" t="s">
        <v>74</v>
      </c>
    </row>
    <row r="58">
      <c r="A58" t="s">
        <v>77</v>
      </c>
    </row>
    <row r="59">
      <c r="A59" t="s">
        <v>78</v>
      </c>
    </row>
    <row r="60">
      <c r="A60" t="s">
        <v>79</v>
      </c>
    </row>
    <row r="61">
      <c r="A61" t="s">
        <v>80</v>
      </c>
    </row>
    <row r="62">
      <c r="A62" t="s">
        <v>81</v>
      </c>
    </row>
    <row r="63">
      <c r="A63" t="s">
        <v>82</v>
      </c>
      <c r="D63">
        <v>755.98</v>
      </c>
      <c r="F63">
        <v>199</v>
      </c>
      <c r="N63">
        <v>954.98</v>
      </c>
    </row>
    <row r="64">
      <c r="A64" t="s">
        <v>83</v>
      </c>
      <c r="C64">
        <v>20</v>
      </c>
      <c r="F64">
        <v>20</v>
      </c>
      <c r="H64">
        <v>20</v>
      </c>
      <c r="I64">
        <v>20</v>
      </c>
      <c r="K64">
        <v>20</v>
      </c>
      <c r="L64">
        <v>53</v>
      </c>
      <c r="N64">
        <v>153</v>
      </c>
    </row>
    <row r="65">
      <c r="A65" t="s">
        <v>84</v>
      </c>
    </row>
    <row r="66">
      <c r="A66" t="s">
        <v>85</v>
      </c>
      <c r="B66">
        <v>51.12</v>
      </c>
      <c r="C66">
        <v>93.26</v>
      </c>
      <c r="D66">
        <v>98.26</v>
      </c>
      <c r="E66">
        <v>98.26</v>
      </c>
      <c r="F66">
        <v>98.26</v>
      </c>
      <c r="G66">
        <v>98.26</v>
      </c>
      <c r="H66">
        <v>98.23</v>
      </c>
      <c r="I66">
        <v>98.34</v>
      </c>
      <c r="J66">
        <v>98.34</v>
      </c>
      <c r="K66">
        <v>98.39</v>
      </c>
      <c r="L66">
        <v>98.39</v>
      </c>
      <c r="M66">
        <v>97.91</v>
      </c>
      <c r="N66">
        <v>1127.02</v>
      </c>
    </row>
    <row r="67">
      <c r="A67" t="s">
        <v>86</v>
      </c>
      <c r="B67">
        <v>22.17</v>
      </c>
      <c r="C67">
        <v>22.17</v>
      </c>
      <c r="D67">
        <v>22.17</v>
      </c>
      <c r="E67">
        <v>22.17</v>
      </c>
      <c r="F67">
        <v>22.17</v>
      </c>
      <c r="G67">
        <v>22.17</v>
      </c>
      <c r="H67">
        <v>22.17</v>
      </c>
      <c r="I67">
        <v>2.17</v>
      </c>
      <c r="J67">
        <v>57.17</v>
      </c>
      <c r="K67">
        <v>37.17</v>
      </c>
      <c r="L67">
        <v>17.17</v>
      </c>
      <c r="M67">
        <v>57.17</v>
      </c>
      <c r="N67">
        <v>326.04</v>
      </c>
    </row>
    <row r="68">
      <c r="A68" t="s">
        <v>87</v>
      </c>
      <c r="E68">
        <v>20</v>
      </c>
      <c r="F68">
        <v>192</v>
      </c>
      <c r="N68">
        <v>212</v>
      </c>
    </row>
    <row r="69">
      <c r="A69" t="s">
        <v>92</v>
      </c>
      <c r="H69">
        <v>334.17</v>
      </c>
      <c r="K69">
        <v>658.63</v>
      </c>
      <c r="N69">
        <v>992.8</v>
      </c>
    </row>
    <row r="70">
      <c r="A70" t="s">
        <v>88</v>
      </c>
      <c r="B70">
        <v>153.44</v>
      </c>
      <c r="C70">
        <v>78.47</v>
      </c>
      <c r="E70">
        <v>63.69</v>
      </c>
      <c r="N70">
        <v>295.6</v>
      </c>
    </row>
    <row r="71">
      <c r="A71" t="s">
        <v>89</v>
      </c>
    </row>
    <row r="72">
      <c r="A72" t="s">
        <v>90</v>
      </c>
    </row>
    <row r="73">
      <c r="A73" s="1" t="s">
        <v>62</v>
      </c>
      <c r="B73" s="1">
        <f>SUM(B58:B72)</f>
        <v>226.73</v>
      </c>
      <c r="C73" s="1">
        <f>SUM(C58:C72)</f>
        <v>213.9</v>
      </c>
      <c r="D73" s="1">
        <f>SUM(D58:D72)</f>
        <v>876.41</v>
      </c>
      <c r="E73" s="1">
        <f>SUM(E58:E72)</f>
        <v>204.12</v>
      </c>
      <c r="F73" s="1">
        <f>SUM(F58:F72)</f>
        <v>531.43</v>
      </c>
      <c r="G73" s="1">
        <f>SUM(G58:G72)</f>
        <v>120.43</v>
      </c>
      <c r="H73" s="1">
        <f>SUM(H58:H72)</f>
        <v>474.57</v>
      </c>
      <c r="I73" s="1">
        <f>SUM(I58:I72)</f>
        <v>120.51</v>
      </c>
      <c r="J73" s="1">
        <f>SUM(J58:J72)</f>
        <v>155.51</v>
      </c>
      <c r="K73" s="1">
        <f>SUM(K58:K72)</f>
        <v>814.19</v>
      </c>
      <c r="L73" s="1">
        <f>SUM(L58:L72)</f>
        <v>168.56</v>
      </c>
      <c r="M73" s="1">
        <f>SUM(M58:M72)</f>
        <v>155.08</v>
      </c>
      <c r="N73" s="1">
        <f>SUM(N58:N72)</f>
        <v>4061.44</v>
      </c>
    </row>
  </sheetData>
  <mergeCells count="2">
    <mergeCell ref="A26:N26"/>
    <mergeCell ref="A1:N1"/>
  </mergeCells>
</worksheet>
</file>

<file path=xl/worksheets/sheet5.xml><?xml version="1.0" encoding="utf-8"?>
<worksheet xmlns="http://schemas.openxmlformats.org/spreadsheetml/2006/main">
  <sheetData>
    <row r="1">
      <c r="A1" s="1" t="s">
        <v>93</v>
      </c>
      <c r="B1" s="1" t="s">
        <v>94</v>
      </c>
      <c r="C1" s="1" t="s">
        <v>95</v>
      </c>
      <c r="D1" s="1" t="s">
        <v>96</v>
      </c>
      <c r="E1" s="1" t="s">
        <v>97</v>
      </c>
    </row>
    <row r="74">
      <c r="A74" s="1">
        <v>2025</v>
      </c>
    </row>
    <row r="75">
      <c r="A75" t="s">
        <v>98</v>
      </c>
      <c r="B75" t="s">
        <v>99</v>
      </c>
      <c r="C75">
        <v>1000</v>
      </c>
      <c r="D75" t="s">
        <v>100</v>
      </c>
      <c r="E75" t="s">
        <v>101</v>
      </c>
    </row>
  </sheetData>
</worksheet>
</file>

<file path=xl/worksheets/sheet6.xml><?xml version="1.0" encoding="utf-8"?>
<worksheet xmlns="http://schemas.openxmlformats.org/spreadsheetml/2006/main">
  <sheetData>
    <row r="1">
      <c r="A1" s="1" t="s">
        <v>102</v>
      </c>
    </row>
    <row r="2">
      <c r="A2" t="s">
        <v>103</v>
      </c>
    </row>
    <row r="3">
      <c r="A3" s="1" t="s">
        <v>104</v>
      </c>
      <c r="B3" s="1" t="s">
        <v>94</v>
      </c>
      <c r="C3" s="1" t="s">
        <v>105</v>
      </c>
      <c r="D3" s="1" t="s">
        <v>96</v>
      </c>
      <c r="E3" s="1" t="s">
        <v>106</v>
      </c>
      <c r="F3" s="1" t="s">
        <v>107</v>
      </c>
      <c r="G3" s="1" t="s">
        <v>108</v>
      </c>
      <c r="H3" s="1" t="s">
        <v>109</v>
      </c>
      <c r="I3" s="1" t="s">
        <v>110</v>
      </c>
      <c r="J3" s="1" t="s">
        <v>111</v>
      </c>
      <c r="K3" s="1" t="s">
        <v>112</v>
      </c>
    </row>
    <row r="4">
      <c r="A4" t="s">
        <v>113</v>
      </c>
      <c r="B4" t="s">
        <v>114</v>
      </c>
      <c r="C4">
        <v>450</v>
      </c>
      <c r="D4" t="s">
        <v>115</v>
      </c>
      <c r="E4" t="s">
        <v>116</v>
      </c>
      <c r="F4">
        <v>500</v>
      </c>
      <c r="G4" t="s">
        <v>117</v>
      </c>
      <c r="H4">
        <v>50</v>
      </c>
    </row>
    <row r="5">
      <c r="A5" t="s">
        <v>118</v>
      </c>
      <c r="B5" t="s">
        <v>114</v>
      </c>
      <c r="C5">
        <v>906.37</v>
      </c>
      <c r="D5" t="s">
        <v>119</v>
      </c>
      <c r="E5" t="s">
        <v>116</v>
      </c>
      <c r="F5">
        <v>1000</v>
      </c>
      <c r="G5" t="s">
        <v>117</v>
      </c>
      <c r="H5">
        <v>93.63</v>
      </c>
    </row>
    <row r="6">
      <c r="A6" t="s">
        <v>120</v>
      </c>
      <c r="B6" t="s">
        <v>114</v>
      </c>
      <c r="C6">
        <v>239</v>
      </c>
      <c r="D6" t="s">
        <v>121</v>
      </c>
      <c r="E6" t="s">
        <v>116</v>
      </c>
      <c r="F6">
        <v>400</v>
      </c>
      <c r="G6" t="s">
        <v>117</v>
      </c>
      <c r="H6">
        <v>161</v>
      </c>
    </row>
    <row r="7">
      <c r="A7" t="s">
        <v>122</v>
      </c>
      <c r="B7" t="s">
        <v>114</v>
      </c>
      <c r="C7">
        <v>900</v>
      </c>
      <c r="D7" t="s">
        <v>123</v>
      </c>
      <c r="E7" t="s">
        <v>116</v>
      </c>
      <c r="F7">
        <v>1100</v>
      </c>
      <c r="G7" t="s">
        <v>117</v>
      </c>
      <c r="H7">
        <v>200</v>
      </c>
    </row>
    <row r="8">
      <c r="A8" t="s">
        <v>124</v>
      </c>
      <c r="B8" t="s">
        <v>114</v>
      </c>
      <c r="C8">
        <v>172</v>
      </c>
      <c r="D8" t="s">
        <v>123</v>
      </c>
      <c r="E8" t="s">
        <v>116</v>
      </c>
      <c r="F8">
        <v>375</v>
      </c>
      <c r="G8" t="s">
        <v>117</v>
      </c>
      <c r="H8">
        <v>203</v>
      </c>
    </row>
    <row r="9">
      <c r="A9" t="s">
        <v>125</v>
      </c>
      <c r="B9" t="s">
        <v>116</v>
      </c>
      <c r="C9">
        <v>400</v>
      </c>
      <c r="D9" t="s">
        <v>126</v>
      </c>
      <c r="E9" t="s">
        <v>116</v>
      </c>
      <c r="F9">
        <v>500</v>
      </c>
      <c r="G9" t="s">
        <v>127</v>
      </c>
      <c r="H9">
        <v>100</v>
      </c>
    </row>
    <row r="10">
      <c r="A10" t="s">
        <v>128</v>
      </c>
      <c r="B10" t="s">
        <v>116</v>
      </c>
      <c r="C10">
        <v>375</v>
      </c>
      <c r="D10" t="s">
        <v>126</v>
      </c>
      <c r="E10" t="s">
        <v>116</v>
      </c>
      <c r="F10">
        <v>700</v>
      </c>
      <c r="G10" t="s">
        <v>127</v>
      </c>
      <c r="H10">
        <v>325</v>
      </c>
    </row>
    <row r="11">
      <c r="A11" t="s">
        <v>129</v>
      </c>
      <c r="B11" t="s">
        <v>116</v>
      </c>
      <c r="C11">
        <v>6250</v>
      </c>
      <c r="D11" t="s">
        <v>126</v>
      </c>
      <c r="E11" t="s">
        <v>116</v>
      </c>
      <c r="F11">
        <v>15000</v>
      </c>
      <c r="G11" t="s">
        <v>127</v>
      </c>
      <c r="H11">
        <v>8750</v>
      </c>
    </row>
    <row r="12">
      <c r="A12" t="s">
        <v>130</v>
      </c>
      <c r="B12" t="s">
        <v>131</v>
      </c>
      <c r="C12">
        <v>6100</v>
      </c>
      <c r="D12" t="s">
        <v>132</v>
      </c>
      <c r="E12" t="s">
        <v>133</v>
      </c>
      <c r="F12">
        <v>8000</v>
      </c>
      <c r="G12" t="s">
        <v>134</v>
      </c>
      <c r="H12">
        <v>1900</v>
      </c>
    </row>
    <row r="13">
      <c r="A13" t="s">
        <v>135</v>
      </c>
      <c r="B13" t="s">
        <v>136</v>
      </c>
      <c r="C13">
        <v>5250.97</v>
      </c>
      <c r="D13" t="s">
        <v>137</v>
      </c>
      <c r="E13" t="s">
        <v>138</v>
      </c>
      <c r="F13">
        <v>9000</v>
      </c>
      <c r="G13" t="s">
        <v>134</v>
      </c>
      <c r="H13">
        <v>3749.03</v>
      </c>
    </row>
    <row r="14">
      <c r="A14" s="1" t="s">
        <v>76</v>
      </c>
      <c r="C14" s="1">
        <v>21043.34</v>
      </c>
      <c r="F14" s="1">
        <v>36575</v>
      </c>
      <c r="H14" s="1">
        <v>15531.66</v>
      </c>
    </row>
    <row r="15">
      <c r="A15" t="s">
        <v>139</v>
      </c>
    </row>
    <row r="16">
      <c r="A16" s="1" t="s">
        <v>104</v>
      </c>
      <c r="B16" s="1" t="s">
        <v>94</v>
      </c>
      <c r="C16" s="1" t="s">
        <v>105</v>
      </c>
      <c r="D16" s="1" t="s">
        <v>96</v>
      </c>
      <c r="E16" s="1" t="s">
        <v>106</v>
      </c>
      <c r="F16" s="1" t="s">
        <v>107</v>
      </c>
      <c r="G16" s="1" t="s">
        <v>108</v>
      </c>
      <c r="H16" s="1" t="s">
        <v>109</v>
      </c>
      <c r="K16" s="1" t="s">
        <v>112</v>
      </c>
    </row>
    <row r="17">
      <c r="A17" t="s">
        <v>140</v>
      </c>
      <c r="B17" t="s">
        <v>141</v>
      </c>
      <c r="C17">
        <v>2870.43</v>
      </c>
      <c r="D17" t="s">
        <v>142</v>
      </c>
      <c r="E17" t="s">
        <v>116</v>
      </c>
      <c r="F17">
        <v>8500</v>
      </c>
      <c r="G17" t="s">
        <v>143</v>
      </c>
      <c r="H17">
        <v>5629.57</v>
      </c>
    </row>
    <row r="18">
      <c r="A18" t="s">
        <v>144</v>
      </c>
      <c r="B18" t="s">
        <v>145</v>
      </c>
      <c r="C18">
        <v>392.14</v>
      </c>
      <c r="D18" t="s">
        <v>134</v>
      </c>
      <c r="E18" t="s">
        <v>116</v>
      </c>
      <c r="F18">
        <v>2500</v>
      </c>
      <c r="G18" t="s">
        <v>143</v>
      </c>
      <c r="H18">
        <v>2107.86</v>
      </c>
    </row>
    <row r="19">
      <c r="A19" t="s">
        <v>146</v>
      </c>
      <c r="B19" t="s">
        <v>147</v>
      </c>
      <c r="C19">
        <v>750</v>
      </c>
      <c r="D19" t="s">
        <v>148</v>
      </c>
      <c r="E19" t="s">
        <v>116</v>
      </c>
      <c r="F19">
        <v>600</v>
      </c>
      <c r="G19" t="s">
        <v>143</v>
      </c>
      <c r="H19">
        <v>-150</v>
      </c>
    </row>
    <row r="20">
      <c r="A20" t="s">
        <v>149</v>
      </c>
      <c r="B20" t="s">
        <v>114</v>
      </c>
      <c r="C20">
        <v>1351.78</v>
      </c>
      <c r="D20" t="s">
        <v>150</v>
      </c>
      <c r="E20" t="s">
        <v>116</v>
      </c>
      <c r="F20">
        <v>1900</v>
      </c>
      <c r="G20" t="s">
        <v>143</v>
      </c>
      <c r="H20">
        <v>548.22</v>
      </c>
    </row>
    <row r="21">
      <c r="A21" s="1" t="s">
        <v>151</v>
      </c>
      <c r="B21" t="s">
        <v>152</v>
      </c>
      <c r="C21">
        <v>3938</v>
      </c>
      <c r="D21" t="s">
        <v>153</v>
      </c>
      <c r="E21" t="s">
        <v>147</v>
      </c>
      <c r="F21">
        <v>8500</v>
      </c>
      <c r="G21" t="s">
        <v>154</v>
      </c>
      <c r="H21">
        <v>4562</v>
      </c>
    </row>
    <row r="22">
      <c r="A22" t="s">
        <v>155</v>
      </c>
      <c r="B22" t="s">
        <v>114</v>
      </c>
      <c r="C22">
        <v>233</v>
      </c>
      <c r="D22" t="s">
        <v>156</v>
      </c>
      <c r="E22" t="s">
        <v>147</v>
      </c>
      <c r="F22">
        <v>500</v>
      </c>
      <c r="G22" t="s">
        <v>154</v>
      </c>
      <c r="H22">
        <v>267</v>
      </c>
    </row>
    <row r="23">
      <c r="A23" t="s">
        <v>157</v>
      </c>
      <c r="B23" t="s">
        <v>114</v>
      </c>
      <c r="C23">
        <v>701.5</v>
      </c>
      <c r="D23" t="s">
        <v>156</v>
      </c>
      <c r="E23" t="s">
        <v>147</v>
      </c>
      <c r="F23">
        <v>2000</v>
      </c>
      <c r="G23" t="s">
        <v>154</v>
      </c>
      <c r="H23">
        <v>1298.5</v>
      </c>
    </row>
    <row r="24">
      <c r="A24" t="s">
        <v>158</v>
      </c>
      <c r="B24" t="s">
        <v>114</v>
      </c>
      <c r="C24">
        <v>233</v>
      </c>
      <c r="D24" t="s">
        <v>156</v>
      </c>
      <c r="E24" t="s">
        <v>147</v>
      </c>
      <c r="F24">
        <v>500</v>
      </c>
      <c r="G24" t="s">
        <v>154</v>
      </c>
      <c r="H24">
        <v>267</v>
      </c>
    </row>
    <row r="25">
      <c r="A25" t="s">
        <v>159</v>
      </c>
      <c r="B25" t="s">
        <v>114</v>
      </c>
      <c r="C25">
        <v>233</v>
      </c>
      <c r="D25" t="s">
        <v>156</v>
      </c>
      <c r="E25" t="s">
        <v>147</v>
      </c>
      <c r="F25">
        <v>500</v>
      </c>
      <c r="G25" t="s">
        <v>154</v>
      </c>
      <c r="H25">
        <v>267</v>
      </c>
    </row>
    <row r="26">
      <c r="A26" t="s">
        <v>160</v>
      </c>
      <c r="B26" t="s">
        <v>152</v>
      </c>
      <c r="C26">
        <v>2000</v>
      </c>
      <c r="D26" t="s">
        <v>142</v>
      </c>
      <c r="E26" t="s">
        <v>147</v>
      </c>
      <c r="F26">
        <v>7000</v>
      </c>
      <c r="G26" t="s">
        <v>154</v>
      </c>
      <c r="H26">
        <v>5000</v>
      </c>
    </row>
    <row r="27">
      <c r="A27" t="s">
        <v>161</v>
      </c>
      <c r="B27" t="s">
        <v>152</v>
      </c>
      <c r="C27">
        <v>990</v>
      </c>
      <c r="D27" t="s">
        <v>142</v>
      </c>
      <c r="E27" t="s">
        <v>147</v>
      </c>
      <c r="F27">
        <v>1000</v>
      </c>
      <c r="G27" t="s">
        <v>154</v>
      </c>
      <c r="H27">
        <v>10</v>
      </c>
    </row>
    <row r="28">
      <c r="A28" t="s">
        <v>162</v>
      </c>
      <c r="B28" t="s">
        <v>163</v>
      </c>
      <c r="C28">
        <v>110</v>
      </c>
      <c r="D28" t="s">
        <v>164</v>
      </c>
      <c r="E28" t="s">
        <v>165</v>
      </c>
      <c r="F28">
        <v>100</v>
      </c>
      <c r="G28" t="s">
        <v>166</v>
      </c>
      <c r="H28">
        <v>-10</v>
      </c>
    </row>
    <row r="29">
      <c r="A29" t="s">
        <v>167</v>
      </c>
      <c r="B29" t="s">
        <v>168</v>
      </c>
      <c r="C29">
        <v>360000</v>
      </c>
      <c r="D29" t="s">
        <v>169</v>
      </c>
      <c r="E29" t="s">
        <v>147</v>
      </c>
      <c r="F29">
        <v>410000</v>
      </c>
      <c r="G29" t="s">
        <v>169</v>
      </c>
      <c r="H29">
        <v>50000</v>
      </c>
    </row>
    <row r="30">
      <c r="A30" t="s">
        <v>170</v>
      </c>
      <c r="B30" t="s">
        <v>168</v>
      </c>
      <c r="C30">
        <v>3600</v>
      </c>
      <c r="D30" t="s">
        <v>171</v>
      </c>
      <c r="E30" t="s">
        <v>147</v>
      </c>
      <c r="F30">
        <v>4000</v>
      </c>
      <c r="G30" t="s">
        <v>172</v>
      </c>
      <c r="H30">
        <v>400</v>
      </c>
    </row>
    <row r="31">
      <c r="A31" t="s">
        <v>173</v>
      </c>
      <c r="B31" t="s">
        <v>174</v>
      </c>
      <c r="C31">
        <v>45000</v>
      </c>
      <c r="D31" t="s">
        <v>175</v>
      </c>
      <c r="E31" t="s">
        <v>147</v>
      </c>
      <c r="F31">
        <v>55000</v>
      </c>
      <c r="G31" t="s">
        <v>176</v>
      </c>
      <c r="H31">
        <v>10000</v>
      </c>
    </row>
    <row r="32">
      <c r="A32" t="s">
        <v>177</v>
      </c>
      <c r="B32" t="s">
        <v>168</v>
      </c>
      <c r="C32">
        <v>4000</v>
      </c>
      <c r="D32" t="s">
        <v>178</v>
      </c>
      <c r="E32" t="s">
        <v>179</v>
      </c>
      <c r="F32">
        <v>4700</v>
      </c>
      <c r="G32" t="s">
        <v>178</v>
      </c>
      <c r="H32">
        <v>700</v>
      </c>
    </row>
    <row r="33">
      <c r="A33" t="s">
        <v>180</v>
      </c>
      <c r="B33" t="s">
        <v>163</v>
      </c>
      <c r="C33">
        <v>10</v>
      </c>
      <c r="D33" t="s">
        <v>137</v>
      </c>
      <c r="E33" t="s">
        <v>116</v>
      </c>
      <c r="F33">
        <v>2000</v>
      </c>
      <c r="G33" t="s">
        <v>181</v>
      </c>
      <c r="H33">
        <v>1990</v>
      </c>
    </row>
    <row r="34">
      <c r="A34" t="s">
        <v>182</v>
      </c>
      <c r="B34" t="s">
        <v>163</v>
      </c>
      <c r="C34">
        <v>50</v>
      </c>
      <c r="D34" t="s">
        <v>183</v>
      </c>
      <c r="E34" t="s">
        <v>184</v>
      </c>
      <c r="F34">
        <v>1000</v>
      </c>
      <c r="G34" t="s">
        <v>185</v>
      </c>
      <c r="H34">
        <v>950</v>
      </c>
    </row>
    <row r="35">
      <c r="A35" t="s">
        <v>186</v>
      </c>
      <c r="B35" t="s">
        <v>131</v>
      </c>
      <c r="C35">
        <v>50</v>
      </c>
      <c r="D35" t="s">
        <v>183</v>
      </c>
      <c r="E35" t="s">
        <v>184</v>
      </c>
      <c r="F35">
        <v>100</v>
      </c>
      <c r="G35" t="s">
        <v>185</v>
      </c>
      <c r="H35">
        <v>50</v>
      </c>
    </row>
    <row r="36">
      <c r="A36" t="s">
        <v>187</v>
      </c>
      <c r="B36" t="s">
        <v>131</v>
      </c>
      <c r="C36">
        <v>50</v>
      </c>
      <c r="D36" t="s">
        <v>183</v>
      </c>
      <c r="E36" t="s">
        <v>184</v>
      </c>
      <c r="F36">
        <v>100</v>
      </c>
      <c r="G36" t="s">
        <v>185</v>
      </c>
      <c r="H36">
        <v>50</v>
      </c>
    </row>
    <row r="37">
      <c r="A37" s="1" t="s">
        <v>76</v>
      </c>
      <c r="C37" s="1">
        <v>426562.85</v>
      </c>
      <c r="F37" s="1">
        <v>510500</v>
      </c>
      <c r="H37" s="1">
        <v>83937.15</v>
      </c>
    </row>
    <row r="38">
      <c r="A38" t="s">
        <v>188</v>
      </c>
    </row>
    <row r="39">
      <c r="A39" s="1" t="s">
        <v>104</v>
      </c>
      <c r="B39" s="1" t="s">
        <v>94</v>
      </c>
      <c r="C39" s="1" t="s">
        <v>105</v>
      </c>
      <c r="D39" s="1" t="s">
        <v>96</v>
      </c>
      <c r="E39" s="1" t="s">
        <v>106</v>
      </c>
      <c r="F39" s="1" t="s">
        <v>107</v>
      </c>
      <c r="G39" s="1" t="s">
        <v>108</v>
      </c>
      <c r="H39" s="1" t="s">
        <v>109</v>
      </c>
      <c r="K39" s="1" t="s">
        <v>112</v>
      </c>
    </row>
    <row r="40">
      <c r="A40" t="s">
        <v>189</v>
      </c>
      <c r="B40" t="s">
        <v>145</v>
      </c>
      <c r="C40">
        <v>470</v>
      </c>
      <c r="D40" t="s">
        <v>190</v>
      </c>
      <c r="E40" t="s">
        <v>116</v>
      </c>
      <c r="F40">
        <v>600</v>
      </c>
      <c r="G40" t="s">
        <v>191</v>
      </c>
      <c r="H40">
        <v>130</v>
      </c>
    </row>
    <row r="41">
      <c r="A41" t="s">
        <v>192</v>
      </c>
      <c r="B41" t="s">
        <v>184</v>
      </c>
      <c r="C41">
        <v>2500</v>
      </c>
      <c r="D41" t="s">
        <v>193</v>
      </c>
      <c r="E41" t="s">
        <v>194</v>
      </c>
      <c r="F41">
        <v>2982</v>
      </c>
      <c r="G41" t="s">
        <v>193</v>
      </c>
      <c r="H41">
        <v>482</v>
      </c>
    </row>
    <row r="42">
      <c r="A42" t="s">
        <v>195</v>
      </c>
      <c r="B42" t="s">
        <v>196</v>
      </c>
      <c r="C42">
        <v>1416.99</v>
      </c>
      <c r="D42" t="s">
        <v>197</v>
      </c>
      <c r="E42" t="s">
        <v>184</v>
      </c>
      <c r="F42">
        <v>6500</v>
      </c>
      <c r="G42" t="s">
        <v>198</v>
      </c>
      <c r="H42">
        <v>5083.01</v>
      </c>
    </row>
    <row r="43">
      <c r="A43" t="s">
        <v>199</v>
      </c>
      <c r="B43" t="s">
        <v>168</v>
      </c>
      <c r="C43">
        <v>33000</v>
      </c>
      <c r="D43" t="s">
        <v>200</v>
      </c>
      <c r="E43" t="s">
        <v>184</v>
      </c>
      <c r="F43">
        <v>36000</v>
      </c>
      <c r="G43" t="s">
        <v>200</v>
      </c>
      <c r="H43">
        <v>3000</v>
      </c>
    </row>
    <row r="44">
      <c r="A44" t="s">
        <v>201</v>
      </c>
      <c r="B44" t="s">
        <v>168</v>
      </c>
      <c r="C44">
        <v>25000</v>
      </c>
      <c r="D44" t="s">
        <v>202</v>
      </c>
      <c r="E44" t="s">
        <v>168</v>
      </c>
      <c r="F44">
        <v>37500</v>
      </c>
      <c r="G44" t="s">
        <v>203</v>
      </c>
      <c r="H44">
        <v>12500</v>
      </c>
    </row>
    <row r="45">
      <c r="A45" t="s">
        <v>204</v>
      </c>
      <c r="B45" t="s">
        <v>114</v>
      </c>
      <c r="C45">
        <v>1885.96</v>
      </c>
      <c r="D45" t="s">
        <v>205</v>
      </c>
      <c r="E45" t="s">
        <v>184</v>
      </c>
      <c r="F45">
        <v>5500</v>
      </c>
      <c r="G45" t="s">
        <v>206</v>
      </c>
      <c r="H45">
        <v>3614.04</v>
      </c>
    </row>
    <row r="46">
      <c r="A46" t="s">
        <v>207</v>
      </c>
      <c r="B46" t="s">
        <v>163</v>
      </c>
      <c r="C46">
        <v>214.99</v>
      </c>
      <c r="D46" t="s">
        <v>208</v>
      </c>
      <c r="E46" t="s">
        <v>116</v>
      </c>
      <c r="F46">
        <v>1700</v>
      </c>
      <c r="G46" t="s">
        <v>209</v>
      </c>
      <c r="H46">
        <v>1485.01</v>
      </c>
    </row>
    <row r="47">
      <c r="A47" s="1" t="s">
        <v>76</v>
      </c>
      <c r="C47" s="1">
        <v>64487.94</v>
      </c>
      <c r="F47" s="1">
        <v>90782</v>
      </c>
      <c r="H47" s="1">
        <v>26294.06</v>
      </c>
    </row>
    <row r="49">
      <c r="A49" t="s">
        <v>210</v>
      </c>
    </row>
    <row r="50">
      <c r="A50" s="1" t="s">
        <v>104</v>
      </c>
      <c r="B50" s="1" t="s">
        <v>94</v>
      </c>
      <c r="C50" s="1" t="s">
        <v>105</v>
      </c>
      <c r="D50" s="1" t="s">
        <v>96</v>
      </c>
      <c r="E50" s="1" t="s">
        <v>106</v>
      </c>
      <c r="F50" s="1" t="s">
        <v>107</v>
      </c>
      <c r="G50" s="1" t="s">
        <v>108</v>
      </c>
      <c r="H50" s="1" t="s">
        <v>109</v>
      </c>
      <c r="K50" s="1" t="s">
        <v>112</v>
      </c>
    </row>
    <row r="51">
      <c r="A51" t="s">
        <v>211</v>
      </c>
      <c r="B51" t="s">
        <v>168</v>
      </c>
      <c r="C51">
        <v>1000</v>
      </c>
      <c r="E51" t="s">
        <v>184</v>
      </c>
      <c r="G51" t="s">
        <v>212</v>
      </c>
    </row>
    <row r="52">
      <c r="A52" t="s">
        <v>213</v>
      </c>
      <c r="B52" t="s">
        <v>168</v>
      </c>
      <c r="C52">
        <v>300</v>
      </c>
      <c r="E52" t="s">
        <v>184</v>
      </c>
      <c r="G52" t="s">
        <v>212</v>
      </c>
    </row>
    <row r="53">
      <c r="A53" t="s">
        <v>214</v>
      </c>
      <c r="B53" t="s">
        <v>215</v>
      </c>
      <c r="C53">
        <v>300</v>
      </c>
      <c r="E53" t="s">
        <v>184</v>
      </c>
      <c r="G53" t="s">
        <v>212</v>
      </c>
    </row>
    <row r="54">
      <c r="A54" t="s">
        <v>216</v>
      </c>
      <c r="B54" t="s">
        <v>217</v>
      </c>
      <c r="C54">
        <v>1000</v>
      </c>
      <c r="E54" t="s">
        <v>184</v>
      </c>
      <c r="G54" t="s">
        <v>212</v>
      </c>
    </row>
    <row r="55">
      <c r="A55" t="s">
        <v>218</v>
      </c>
      <c r="B55" t="s">
        <v>168</v>
      </c>
      <c r="C55">
        <v>1000</v>
      </c>
      <c r="E55" t="s">
        <v>184</v>
      </c>
      <c r="G55" t="s">
        <v>212</v>
      </c>
    </row>
    <row r="56">
      <c r="A56" t="s">
        <v>219</v>
      </c>
      <c r="B56" t="s">
        <v>215</v>
      </c>
      <c r="C56">
        <v>1000</v>
      </c>
      <c r="E56" t="s">
        <v>184</v>
      </c>
      <c r="G56" t="s">
        <v>212</v>
      </c>
    </row>
    <row r="57">
      <c r="A57" t="s">
        <v>220</v>
      </c>
      <c r="B57" t="s">
        <v>215</v>
      </c>
      <c r="C57">
        <v>600</v>
      </c>
      <c r="E57" t="s">
        <v>184</v>
      </c>
      <c r="G57" t="s">
        <v>212</v>
      </c>
    </row>
    <row r="58">
      <c r="A58" t="s">
        <v>221</v>
      </c>
      <c r="B58" t="s">
        <v>215</v>
      </c>
      <c r="C58">
        <v>600</v>
      </c>
      <c r="E58" t="s">
        <v>184</v>
      </c>
      <c r="G58" t="s">
        <v>212</v>
      </c>
    </row>
    <row r="59">
      <c r="A59" t="s">
        <v>222</v>
      </c>
      <c r="B59" t="s">
        <v>215</v>
      </c>
      <c r="C59">
        <v>1000</v>
      </c>
      <c r="E59" t="s">
        <v>184</v>
      </c>
      <c r="G59" t="s">
        <v>212</v>
      </c>
    </row>
    <row r="60">
      <c r="A60" t="s">
        <v>223</v>
      </c>
      <c r="B60" t="s">
        <v>224</v>
      </c>
      <c r="C60">
        <v>4000</v>
      </c>
      <c r="E60" t="s">
        <v>184</v>
      </c>
      <c r="G60" t="s">
        <v>212</v>
      </c>
    </row>
    <row r="61">
      <c r="A61" t="s">
        <v>225</v>
      </c>
      <c r="B61" t="s">
        <v>114</v>
      </c>
      <c r="C61">
        <v>600</v>
      </c>
      <c r="E61" t="s">
        <v>184</v>
      </c>
      <c r="G61" t="s">
        <v>212</v>
      </c>
    </row>
    <row r="62">
      <c r="A62" t="s">
        <v>226</v>
      </c>
      <c r="B62" t="s">
        <v>116</v>
      </c>
      <c r="C62">
        <v>334.44</v>
      </c>
      <c r="D62" t="s">
        <v>143</v>
      </c>
      <c r="E62" t="s">
        <v>184</v>
      </c>
      <c r="G62" t="s">
        <v>212</v>
      </c>
    </row>
    <row r="63">
      <c r="A63" t="s">
        <v>227</v>
      </c>
      <c r="B63" t="s">
        <v>116</v>
      </c>
      <c r="C63">
        <v>234.44</v>
      </c>
      <c r="D63" t="s">
        <v>143</v>
      </c>
      <c r="E63" t="s">
        <v>184</v>
      </c>
      <c r="G63" t="s">
        <v>212</v>
      </c>
    </row>
    <row r="64">
      <c r="A64" t="s">
        <v>228</v>
      </c>
      <c r="B64" t="s">
        <v>114</v>
      </c>
      <c r="C64">
        <v>2228.76</v>
      </c>
      <c r="E64" t="s">
        <v>184</v>
      </c>
      <c r="G64" t="s">
        <v>212</v>
      </c>
    </row>
    <row r="65">
      <c r="A65" t="s">
        <v>229</v>
      </c>
      <c r="B65" t="s">
        <v>116</v>
      </c>
      <c r="C65">
        <v>1000</v>
      </c>
      <c r="E65" t="s">
        <v>184</v>
      </c>
      <c r="G65" t="s">
        <v>212</v>
      </c>
    </row>
    <row r="66">
      <c r="A66" t="s">
        <v>230</v>
      </c>
      <c r="B66" t="s">
        <v>231</v>
      </c>
      <c r="C66">
        <v>4500</v>
      </c>
      <c r="D66" t="s">
        <v>232</v>
      </c>
      <c r="E66" t="s">
        <v>184</v>
      </c>
      <c r="G66" t="s">
        <v>212</v>
      </c>
    </row>
    <row r="67">
      <c r="A67" t="s">
        <v>233</v>
      </c>
      <c r="B67" t="s">
        <v>145</v>
      </c>
      <c r="C67">
        <v>500</v>
      </c>
      <c r="E67" t="s">
        <v>184</v>
      </c>
      <c r="G67" t="s">
        <v>212</v>
      </c>
    </row>
    <row r="68">
      <c r="A68" t="s">
        <v>234</v>
      </c>
      <c r="B68" t="s">
        <v>145</v>
      </c>
      <c r="C68">
        <v>195.78</v>
      </c>
      <c r="D68" t="s">
        <v>134</v>
      </c>
      <c r="E68" t="s">
        <v>184</v>
      </c>
      <c r="G68" t="s">
        <v>212</v>
      </c>
    </row>
    <row r="69">
      <c r="A69" t="s">
        <v>235</v>
      </c>
      <c r="B69" t="s">
        <v>114</v>
      </c>
      <c r="C69">
        <v>311.25</v>
      </c>
      <c r="D69" t="s">
        <v>236</v>
      </c>
      <c r="E69" t="s">
        <v>184</v>
      </c>
      <c r="G69" t="s">
        <v>212</v>
      </c>
    </row>
    <row r="70">
      <c r="A70" t="s">
        <v>237</v>
      </c>
      <c r="B70" t="s">
        <v>116</v>
      </c>
      <c r="C70">
        <v>2240.27</v>
      </c>
      <c r="D70" t="s">
        <v>238</v>
      </c>
      <c r="E70" t="s">
        <v>184</v>
      </c>
      <c r="G70" t="s">
        <v>212</v>
      </c>
    </row>
    <row r="71">
      <c r="C71" s="4">
        <f>SUM(C51:C70)</f>
        <v>22944.94</v>
      </c>
      <c r="F71" s="2">
        <v>30000</v>
      </c>
      <c r="G71" s="2" t="s">
        <v>212</v>
      </c>
      <c r="H71">
        <v>7055.06</v>
      </c>
    </row>
    <row r="73">
      <c r="A73" t="s">
        <v>239</v>
      </c>
      <c r="B73" t="s">
        <v>168</v>
      </c>
      <c r="C73" s="2">
        <v>13000</v>
      </c>
      <c r="D73" t="s">
        <v>240</v>
      </c>
      <c r="E73" t="s">
        <v>184</v>
      </c>
      <c r="F73" s="2">
        <v>14000</v>
      </c>
      <c r="G73" t="s">
        <v>241</v>
      </c>
      <c r="H73">
        <v>1000</v>
      </c>
    </row>
    <row r="74">
      <c r="A74" t="s">
        <v>242</v>
      </c>
      <c r="B74" t="s">
        <v>243</v>
      </c>
      <c r="C74" s="3">
        <v>90000</v>
      </c>
      <c r="D74" t="s">
        <v>244</v>
      </c>
      <c r="E74" t="s">
        <v>245</v>
      </c>
      <c r="F74" s="2">
        <v>105000</v>
      </c>
      <c r="G74" t="s">
        <v>244</v>
      </c>
      <c r="H74">
        <v>15000</v>
      </c>
      <c r="I74" s="3" t="s">
        <v>246</v>
      </c>
    </row>
    <row r="75">
      <c r="A75" t="s">
        <v>247</v>
      </c>
      <c r="B75" t="s">
        <v>116</v>
      </c>
      <c r="C75">
        <v>900</v>
      </c>
      <c r="E75" t="s">
        <v>168</v>
      </c>
      <c r="F75">
        <v>1000</v>
      </c>
      <c r="H75">
        <v>100</v>
      </c>
    </row>
    <row r="76">
      <c r="A76" t="s">
        <v>248</v>
      </c>
      <c r="B76" t="s">
        <v>249</v>
      </c>
      <c r="E76" t="s">
        <v>250</v>
      </c>
      <c r="F76">
        <v>11000</v>
      </c>
      <c r="G76" t="s">
        <v>251</v>
      </c>
    </row>
    <row r="77">
      <c r="A77" s="2" t="s">
        <v>252</v>
      </c>
      <c r="B77" s="3" t="s">
        <v>249</v>
      </c>
      <c r="E77" s="2" t="s">
        <v>133</v>
      </c>
      <c r="F77" s="2">
        <v>1000</v>
      </c>
      <c r="G77" s="2" t="s">
        <v>253</v>
      </c>
      <c r="I77" s="3" t="s">
        <v>254</v>
      </c>
    </row>
    <row r="78">
      <c r="A78" s="2" t="s">
        <v>255</v>
      </c>
      <c r="B78" s="2" t="s">
        <v>256</v>
      </c>
      <c r="C78" s="2">
        <v>45000</v>
      </c>
      <c r="D78" s="2" t="s">
        <v>257</v>
      </c>
      <c r="E78" s="2" t="s">
        <v>258</v>
      </c>
      <c r="F78" s="2">
        <v>50000</v>
      </c>
      <c r="G78" s="2" t="s">
        <v>259</v>
      </c>
      <c r="H78" s="2">
        <v>5000</v>
      </c>
      <c r="I78" s="2" t="s">
        <v>260</v>
      </c>
      <c r="K78" s="2" t="s">
        <v>261</v>
      </c>
    </row>
    <row r="79">
      <c r="A79" s="2" t="s">
        <v>262</v>
      </c>
      <c r="B79" s="2" t="s">
        <v>256</v>
      </c>
      <c r="C79" s="2">
        <v>20000</v>
      </c>
      <c r="D79" s="2" t="s">
        <v>263</v>
      </c>
      <c r="E79" s="2" t="s">
        <v>168</v>
      </c>
      <c r="F79" s="2">
        <v>26000</v>
      </c>
      <c r="G79" s="2" t="s">
        <v>264</v>
      </c>
      <c r="H79" s="2">
        <v>6000</v>
      </c>
      <c r="I79" s="2" t="s">
        <v>265</v>
      </c>
      <c r="K79" s="2" t="s">
        <v>266</v>
      </c>
    </row>
    <row r="80">
      <c r="A80" s="2" t="s">
        <v>267</v>
      </c>
      <c r="B80" s="2" t="s">
        <v>256</v>
      </c>
      <c r="C80" s="2">
        <v>20000</v>
      </c>
      <c r="D80" s="2" t="s">
        <v>268</v>
      </c>
      <c r="E80" s="2" t="s">
        <v>168</v>
      </c>
      <c r="F80" s="2">
        <v>25000</v>
      </c>
      <c r="G80" s="2" t="s">
        <v>269</v>
      </c>
      <c r="H80" s="2">
        <v>5000</v>
      </c>
      <c r="I80" s="2" t="s">
        <v>265</v>
      </c>
      <c r="K80" s="2" t="s">
        <v>266</v>
      </c>
    </row>
    <row r="81">
      <c r="A81" t="s">
        <v>76</v>
      </c>
      <c r="H81" s="1">
        <f>SUM(H51:H75)+H78+H79+H80</f>
        <v>0</v>
      </c>
    </row>
    <row r="82">
      <c r="A82" s="3" t="s">
        <v>270</v>
      </c>
    </row>
    <row r="83">
      <c r="A83" s="1" t="s">
        <v>271</v>
      </c>
    </row>
  </sheetData>
  <mergeCells count="1">
    <mergeCell ref="A82:I82"/>
  </mergeCells>
</worksheet>
</file>

<file path=xl/worksheets/sheet7.xml><?xml version="1.0" encoding="utf-8"?>
<worksheet xmlns="http://schemas.openxmlformats.org/spreadsheetml/2006/main">
  <sheetData>
    <row r="2">
      <c r="A2" t="s">
        <v>272</v>
      </c>
    </row>
    <row r="3">
      <c r="A3" s="1" t="s">
        <v>273</v>
      </c>
      <c r="B3" s="1" t="s">
        <v>274</v>
      </c>
      <c r="C3" s="1" t="s">
        <v>275</v>
      </c>
      <c r="D3" s="1" t="s">
        <v>276</v>
      </c>
      <c r="E3" s="1" t="s">
        <v>277</v>
      </c>
    </row>
    <row r="4">
      <c r="A4" t="s">
        <v>278</v>
      </c>
      <c r="B4">
        <v>3500</v>
      </c>
      <c r="C4">
        <v>3500</v>
      </c>
      <c r="D4">
        <v>3500</v>
      </c>
      <c r="E4">
        <v>7000</v>
      </c>
    </row>
    <row r="5">
      <c r="A5" t="s">
        <v>279</v>
      </c>
      <c r="C5">
        <v>2500</v>
      </c>
      <c r="D5">
        <v>2500</v>
      </c>
      <c r="E5">
        <v>2500</v>
      </c>
    </row>
    <row r="6">
      <c r="A6" t="s">
        <v>76</v>
      </c>
      <c r="B6" s="1">
        <v>3500</v>
      </c>
      <c r="C6" s="1">
        <v>6000</v>
      </c>
      <c r="D6" s="1">
        <v>6000</v>
      </c>
      <c r="E6" s="1">
        <v>9500</v>
      </c>
    </row>
    <row r="7">
      <c r="A7" s="1" t="s">
        <v>280</v>
      </c>
      <c r="E7" s="1">
        <v>25000</v>
      </c>
    </row>
    <row r="9">
      <c r="A9" t="s">
        <v>281</v>
      </c>
    </row>
    <row r="10">
      <c r="A10" s="1" t="s">
        <v>273</v>
      </c>
      <c r="B10" s="1" t="s">
        <v>274</v>
      </c>
      <c r="C10" s="1" t="s">
        <v>275</v>
      </c>
      <c r="D10" s="1" t="s">
        <v>276</v>
      </c>
      <c r="E10" s="1" t="s">
        <v>277</v>
      </c>
    </row>
    <row r="11">
      <c r="A11" t="s">
        <v>278</v>
      </c>
      <c r="B11">
        <v>3675</v>
      </c>
      <c r="C11">
        <v>3675</v>
      </c>
      <c r="D11">
        <v>3675</v>
      </c>
      <c r="E11">
        <v>3675</v>
      </c>
    </row>
    <row r="12">
      <c r="A12" t="s">
        <v>76</v>
      </c>
      <c r="B12" s="1">
        <v>3675</v>
      </c>
      <c r="C12" s="1">
        <v>3675</v>
      </c>
      <c r="D12" s="1">
        <v>3675</v>
      </c>
      <c r="E12" s="1">
        <v>3675</v>
      </c>
    </row>
    <row r="13">
      <c r="A13" s="1" t="s">
        <v>280</v>
      </c>
      <c r="E13" s="1">
        <v>14700</v>
      </c>
    </row>
    <row r="15">
      <c r="A15" t="s">
        <v>282</v>
      </c>
    </row>
    <row r="16">
      <c r="A16" s="1" t="s">
        <v>273</v>
      </c>
      <c r="B16" s="1" t="s">
        <v>274</v>
      </c>
      <c r="C16" s="1" t="s">
        <v>275</v>
      </c>
      <c r="D16" s="1" t="s">
        <v>276</v>
      </c>
      <c r="E16" s="1" t="s">
        <v>277</v>
      </c>
    </row>
    <row r="17">
      <c r="A17" t="s">
        <v>278</v>
      </c>
      <c r="B17">
        <v>4050</v>
      </c>
      <c r="C17">
        <v>4050</v>
      </c>
      <c r="D17">
        <v>4050</v>
      </c>
      <c r="E17">
        <v>4050</v>
      </c>
    </row>
    <row r="18">
      <c r="A18" t="s">
        <v>76</v>
      </c>
      <c r="B18" s="1">
        <v>4050</v>
      </c>
      <c r="C18" s="1">
        <v>4050</v>
      </c>
      <c r="D18" s="1">
        <v>4050</v>
      </c>
      <c r="E18" s="1">
        <v>4050</v>
      </c>
    </row>
    <row r="19">
      <c r="A19" s="1" t="s">
        <v>280</v>
      </c>
      <c r="E19" s="1">
        <v>16200</v>
      </c>
    </row>
    <row r="22">
      <c r="A22" t="s">
        <v>283</v>
      </c>
    </row>
    <row r="23">
      <c r="A23" s="1" t="s">
        <v>273</v>
      </c>
      <c r="B23" s="1" t="s">
        <v>274</v>
      </c>
      <c r="C23" s="1" t="s">
        <v>275</v>
      </c>
      <c r="D23" s="1" t="s">
        <v>276</v>
      </c>
      <c r="E23" s="1" t="s">
        <v>277</v>
      </c>
    </row>
    <row r="24">
      <c r="A24" t="s">
        <v>278</v>
      </c>
      <c r="B24">
        <v>4100</v>
      </c>
      <c r="C24">
        <v>9200</v>
      </c>
      <c r="D24">
        <v>4100</v>
      </c>
      <c r="E24">
        <v>4100</v>
      </c>
    </row>
    <row r="25">
      <c r="A25" t="s">
        <v>76</v>
      </c>
      <c r="B25" s="1">
        <v>4100</v>
      </c>
      <c r="C25" s="1">
        <v>9200</v>
      </c>
      <c r="D25" s="1">
        <v>4100</v>
      </c>
      <c r="E25" s="1">
        <v>4100</v>
      </c>
    </row>
    <row r="26">
      <c r="A26" s="1" t="s">
        <v>280</v>
      </c>
      <c r="E26" s="1">
        <v>21500</v>
      </c>
    </row>
  </sheetData>
  <mergeCells count="4">
    <mergeCell ref="A2:E2"/>
    <mergeCell ref="A15:E15"/>
    <mergeCell ref="A9:E9"/>
    <mergeCell ref="A22:E22"/>
  </mergeCells>
</worksheet>
</file>

<file path=xl/worksheets/sheet8.xml><?xml version="1.0" encoding="utf-8"?>
<worksheet xmlns="http://schemas.openxmlformats.org/spreadsheetml/2006/main">
  <sheetData>
    <row r="2">
      <c r="A2" t="s">
        <v>284</v>
      </c>
    </row>
    <row r="3">
      <c r="A3" s="1" t="s">
        <v>7</v>
      </c>
      <c r="B3" s="1" t="s">
        <v>274</v>
      </c>
      <c r="C3" s="1" t="s">
        <v>275</v>
      </c>
      <c r="D3" s="1" t="s">
        <v>276</v>
      </c>
      <c r="E3" s="1" t="s">
        <v>277</v>
      </c>
    </row>
    <row r="4">
      <c r="A4" t="s">
        <v>285</v>
      </c>
    </row>
    <row r="5">
      <c r="A5" t="s">
        <v>286</v>
      </c>
    </row>
    <row r="6">
      <c r="A6" t="s">
        <v>76</v>
      </c>
    </row>
    <row r="7">
      <c r="A7" s="1" t="s">
        <v>287</v>
      </c>
      <c r="E7" s="1">
        <v>115000</v>
      </c>
    </row>
    <row r="9">
      <c r="A9" t="s">
        <v>288</v>
      </c>
    </row>
    <row r="10">
      <c r="A10" s="1" t="s">
        <v>7</v>
      </c>
      <c r="B10" s="1" t="s">
        <v>274</v>
      </c>
      <c r="C10" s="1" t="s">
        <v>275</v>
      </c>
      <c r="D10" s="1" t="s">
        <v>276</v>
      </c>
      <c r="E10" s="1" t="s">
        <v>277</v>
      </c>
    </row>
    <row r="11">
      <c r="A11" t="s">
        <v>285</v>
      </c>
    </row>
    <row r="12">
      <c r="A12" t="s">
        <v>286</v>
      </c>
    </row>
    <row r="13">
      <c r="A13" t="s">
        <v>76</v>
      </c>
    </row>
    <row r="14">
      <c r="A14" s="1" t="s">
        <v>287</v>
      </c>
      <c r="E14" s="1">
        <v>110000</v>
      </c>
    </row>
  </sheetData>
  <mergeCells count="2">
    <mergeCell ref="A2:E2"/>
    <mergeCell ref="A9:E9"/>
  </mergeCells>
</worksheet>
</file>

<file path=xl/worksheets/sheet9.xml><?xml version="1.0" encoding="utf-8"?>
<worksheet xmlns="http://schemas.openxmlformats.org/spreadsheetml/2006/main">
  <sheetData>
    <row r="3">
      <c r="A3" t="s">
        <v>289</v>
      </c>
    </row>
    <row r="4">
      <c r="A4" s="1" t="s">
        <v>7</v>
      </c>
      <c r="B4" s="1" t="s">
        <v>274</v>
      </c>
      <c r="C4" s="1" t="s">
        <v>275</v>
      </c>
      <c r="D4" s="1" t="s">
        <v>276</v>
      </c>
      <c r="E4" s="1" t="s">
        <v>277</v>
      </c>
    </row>
    <row r="5">
      <c r="A5" t="s">
        <v>285</v>
      </c>
      <c r="B5">
        <v>23000</v>
      </c>
      <c r="C5">
        <v>23000</v>
      </c>
      <c r="D5">
        <v>23000</v>
      </c>
      <c r="E5">
        <v>23000</v>
      </c>
    </row>
    <row r="6">
      <c r="A6" t="s">
        <v>76</v>
      </c>
      <c r="B6" s="1">
        <v>23000</v>
      </c>
      <c r="C6" s="1">
        <v>23000</v>
      </c>
      <c r="D6" s="1">
        <v>23000</v>
      </c>
      <c r="E6" s="1">
        <v>23000</v>
      </c>
    </row>
    <row r="7">
      <c r="A7" s="1" t="s">
        <v>287</v>
      </c>
      <c r="E7" s="1">
        <v>92000</v>
      </c>
    </row>
    <row r="9">
      <c r="A9" t="s">
        <v>284</v>
      </c>
    </row>
    <row r="10">
      <c r="A10" s="1" t="s">
        <v>7</v>
      </c>
      <c r="B10" s="1" t="s">
        <v>274</v>
      </c>
      <c r="C10" s="1" t="s">
        <v>275</v>
      </c>
      <c r="D10" s="1" t="s">
        <v>276</v>
      </c>
      <c r="E10" s="1" t="s">
        <v>277</v>
      </c>
    </row>
    <row r="11">
      <c r="A11" t="s">
        <v>285</v>
      </c>
    </row>
    <row r="12">
      <c r="A12" t="s">
        <v>76</v>
      </c>
    </row>
    <row r="13">
      <c r="A13" s="1" t="s">
        <v>287</v>
      </c>
      <c r="E13" s="1">
        <v>100274</v>
      </c>
    </row>
    <row r="15">
      <c r="A15" t="s">
        <v>288</v>
      </c>
    </row>
    <row r="16">
      <c r="A16" s="1" t="s">
        <v>7</v>
      </c>
      <c r="B16" s="1" t="s">
        <v>274</v>
      </c>
      <c r="C16" s="1" t="s">
        <v>275</v>
      </c>
      <c r="D16" s="1" t="s">
        <v>276</v>
      </c>
      <c r="E16" s="1" t="s">
        <v>277</v>
      </c>
    </row>
    <row r="17">
      <c r="A17" t="s">
        <v>285</v>
      </c>
    </row>
    <row r="18">
      <c r="A18" t="s">
        <v>76</v>
      </c>
    </row>
    <row r="19">
      <c r="A19" s="1" t="s">
        <v>287</v>
      </c>
    </row>
  </sheetData>
  <mergeCells count="3">
    <mergeCell ref="A15:E15"/>
    <mergeCell ref="A9:E9"/>
    <mergeCell ref="A3:E3"/>
  </mergeCells>
</worksheet>
</file>

<file path=xl/worksheets/sheet10.xml><?xml version="1.0" encoding="utf-8"?>
<worksheet xmlns="http://schemas.openxmlformats.org/spreadsheetml/2006/main">
  <sheetData>
    <row r="1">
      <c r="A1" t="s">
        <v>290</v>
      </c>
      <c r="B1" t="s">
        <v>291</v>
      </c>
    </row>
    <row r="2">
      <c r="A2" t="s">
        <v>292</v>
      </c>
      <c r="B2" t="s">
        <v>293</v>
      </c>
    </row>
    <row r="3">
      <c r="A3" t="s">
        <v>292</v>
      </c>
      <c r="B3" t="s">
        <v>294</v>
      </c>
    </row>
    <row r="5">
      <c r="A5" s="1" t="s">
        <v>295</v>
      </c>
      <c r="B5" t="s">
        <v>296</v>
      </c>
    </row>
    <row r="6">
      <c r="B6" s="1" t="s">
        <v>18</v>
      </c>
      <c r="C6" s="1" t="s">
        <v>19</v>
      </c>
      <c r="D6" s="1" t="s">
        <v>20</v>
      </c>
      <c r="E6" s="1" t="s">
        <v>21</v>
      </c>
      <c r="F6" s="1" t="s">
        <v>22</v>
      </c>
      <c r="G6" s="1" t="s">
        <v>23</v>
      </c>
      <c r="H6" s="1" t="s">
        <v>24</v>
      </c>
      <c r="I6" s="1" t="s">
        <v>25</v>
      </c>
      <c r="J6" s="1" t="s">
        <v>73</v>
      </c>
      <c r="K6" s="1" t="s">
        <v>27</v>
      </c>
      <c r="L6" s="1" t="s">
        <v>28</v>
      </c>
      <c r="M6" s="1" t="s">
        <v>29</v>
      </c>
      <c r="N6" s="1" t="s">
        <v>297</v>
      </c>
    </row>
    <row r="7">
      <c r="A7" t="s">
        <v>298</v>
      </c>
      <c r="J7">
        <v>-9000</v>
      </c>
      <c r="K7">
        <v>-10000</v>
      </c>
      <c r="L7">
        <v>-35000</v>
      </c>
      <c r="M7">
        <v>-5000</v>
      </c>
      <c r="N7">
        <v>-59000</v>
      </c>
    </row>
    <row r="8">
      <c r="A8" t="s">
        <v>299</v>
      </c>
      <c r="M8">
        <v>8000</v>
      </c>
      <c r="N8">
        <v>8000</v>
      </c>
    </row>
    <row r="9">
      <c r="A9" t="s">
        <v>300</v>
      </c>
      <c r="J9" s="2">
        <v>-9000</v>
      </c>
      <c r="K9" s="2">
        <v>-10000</v>
      </c>
      <c r="L9" s="2">
        <v>-35000</v>
      </c>
      <c r="M9" s="2">
        <v>3000</v>
      </c>
      <c r="N9">
        <v>-51000</v>
      </c>
    </row>
    <row r="11">
      <c r="A11" t="s">
        <v>301</v>
      </c>
    </row>
  </sheetData>
  <mergeCells count="1">
    <mergeCell ref="A11:N11"/>
  </mergeCells>
</worksheet>
</file>

<file path=xl/worksheets/sheet11.xml><?xml version="1.0" encoding="utf-8"?>
<worksheet xmlns="http://schemas.openxmlformats.org/spreadsheetml/2006/main">
  <sheetData>
    <row r="1">
      <c r="B1" s="1" t="s">
        <v>15</v>
      </c>
      <c r="C1" s="1" t="s">
        <v>302</v>
      </c>
      <c r="P1" s="1" t="s">
        <v>302</v>
      </c>
    </row>
    <row r="2"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18</v>
      </c>
      <c r="Q2" t="s">
        <v>19</v>
      </c>
      <c r="R2" t="s">
        <v>20</v>
      </c>
      <c r="S2" t="s">
        <v>21</v>
      </c>
      <c r="T2" t="s">
        <v>22</v>
      </c>
      <c r="U2" t="s">
        <v>23</v>
      </c>
      <c r="V2" t="s">
        <v>24</v>
      </c>
      <c r="W2" t="s">
        <v>25</v>
      </c>
      <c r="X2" t="s">
        <v>26</v>
      </c>
      <c r="Y2" t="s">
        <v>27</v>
      </c>
      <c r="Z2" t="s">
        <v>28</v>
      </c>
      <c r="AA2" t="s">
        <v>29</v>
      </c>
      <c r="AB2" t="s">
        <v>32</v>
      </c>
    </row>
    <row r="3">
      <c r="B3" s="1" t="s">
        <v>33</v>
      </c>
    </row>
    <row r="4">
      <c r="B4" t="s">
        <v>33</v>
      </c>
      <c r="O4" s="1">
        <f>SUM(C4:N4)</f>
        <v>0</v>
      </c>
      <c r="AB4" s="1">
        <f>SUM(P4:AA4)</f>
        <v>0</v>
      </c>
    </row>
    <row r="5">
      <c r="B5" t="s">
        <v>34</v>
      </c>
      <c r="O5" s="1">
        <f>SUM(C5:N5)</f>
        <v>0</v>
      </c>
      <c r="AB5" s="1">
        <f>SUM(P5:AA5)</f>
        <v>0</v>
      </c>
    </row>
    <row r="6">
      <c r="B6" s="1" t="s">
        <v>35</v>
      </c>
      <c r="O6" s="1">
        <f>SUM(C6:N6)</f>
        <v>0</v>
      </c>
      <c r="AB6" s="1">
        <f>SUM(P6:AA6)</f>
        <v>0</v>
      </c>
    </row>
    <row r="8">
      <c r="B8" t="s">
        <v>36</v>
      </c>
      <c r="C8" t="s">
        <v>18</v>
      </c>
      <c r="D8" t="s">
        <v>19</v>
      </c>
      <c r="E8" t="s">
        <v>20</v>
      </c>
      <c r="F8" t="s">
        <v>21</v>
      </c>
      <c r="G8" t="s">
        <v>22</v>
      </c>
      <c r="H8" t="s">
        <v>23</v>
      </c>
      <c r="I8" t="s">
        <v>24</v>
      </c>
      <c r="J8" t="s">
        <v>25</v>
      </c>
      <c r="K8" t="s">
        <v>26</v>
      </c>
      <c r="L8" t="s">
        <v>27</v>
      </c>
      <c r="M8" t="s">
        <v>28</v>
      </c>
      <c r="N8" t="s">
        <v>29</v>
      </c>
      <c r="O8" t="s">
        <v>37</v>
      </c>
      <c r="P8" t="s">
        <v>18</v>
      </c>
      <c r="Q8" t="s">
        <v>19</v>
      </c>
      <c r="R8" t="s">
        <v>20</v>
      </c>
      <c r="S8" t="s">
        <v>21</v>
      </c>
      <c r="T8" t="s">
        <v>22</v>
      </c>
      <c r="U8" t="s">
        <v>23</v>
      </c>
      <c r="V8" t="s">
        <v>24</v>
      </c>
      <c r="W8" t="s">
        <v>25</v>
      </c>
      <c r="X8" t="s">
        <v>26</v>
      </c>
      <c r="Y8" t="s">
        <v>27</v>
      </c>
      <c r="Z8" t="s">
        <v>28</v>
      </c>
      <c r="AA8" t="s">
        <v>29</v>
      </c>
      <c r="AB8" t="s">
        <v>37</v>
      </c>
    </row>
    <row r="10">
      <c r="B10" t="s">
        <v>38</v>
      </c>
      <c r="O10" s="1">
        <f>SUM(C10:N10)</f>
        <v>0</v>
      </c>
      <c r="AB10" s="1">
        <f>SUM(P10:AA10)</f>
        <v>0</v>
      </c>
    </row>
    <row r="11">
      <c r="B11" t="s">
        <v>39</v>
      </c>
      <c r="O11" s="1">
        <f>SUM(C11:N11)</f>
        <v>0</v>
      </c>
      <c r="AB11" s="1">
        <f>SUM(P11:AA11)</f>
        <v>0</v>
      </c>
    </row>
    <row r="12">
      <c r="B12" t="s">
        <v>40</v>
      </c>
      <c r="O12" s="1">
        <f>SUM(C12:N12)</f>
        <v>0</v>
      </c>
      <c r="AB12" s="1">
        <f>SUM(P12:AA12)</f>
        <v>0</v>
      </c>
    </row>
    <row r="13">
      <c r="B13" t="s">
        <v>41</v>
      </c>
      <c r="O13" s="1">
        <f>SUM(C13:N13)</f>
        <v>0</v>
      </c>
      <c r="AB13" s="1">
        <f>SUM(P13:AA13)</f>
        <v>0</v>
      </c>
    </row>
    <row r="14">
      <c r="B14" t="s">
        <v>42</v>
      </c>
      <c r="N14">
        <v>1455.09</v>
      </c>
      <c r="O14" s="1">
        <f>SUM(C14:N14)</f>
        <v>1455.09</v>
      </c>
      <c r="Q14">
        <v>78.76</v>
      </c>
      <c r="R14">
        <v>78.75</v>
      </c>
      <c r="S14">
        <v>78.75</v>
      </c>
      <c r="T14">
        <v>78.75</v>
      </c>
      <c r="U14">
        <v>78.75</v>
      </c>
      <c r="V14">
        <v>78.75</v>
      </c>
      <c r="W14">
        <v>80.19</v>
      </c>
      <c r="AB14" s="1">
        <f>SUM(P14:AA14)</f>
        <v>552.7</v>
      </c>
    </row>
    <row r="15">
      <c r="B15" t="s">
        <v>43</v>
      </c>
      <c r="O15" s="1">
        <f>SUM(C15:N15)</f>
        <v>0</v>
      </c>
      <c r="AB15" s="1">
        <f>SUM(P15:AA15)</f>
        <v>0</v>
      </c>
    </row>
    <row r="16">
      <c r="B16" t="s">
        <v>44</v>
      </c>
      <c r="J16">
        <v>851.32</v>
      </c>
      <c r="O16" s="1">
        <f>SUM(C16:N16)</f>
        <v>851.32</v>
      </c>
      <c r="Q16">
        <v>66.56</v>
      </c>
      <c r="R16">
        <v>688.6</v>
      </c>
      <c r="S16">
        <v>39.57</v>
      </c>
      <c r="V16">
        <v>50.99</v>
      </c>
      <c r="X16">
        <v>34.86</v>
      </c>
      <c r="Y16">
        <v>68.48</v>
      </c>
      <c r="Z16">
        <v>32.33</v>
      </c>
      <c r="AB16" s="1">
        <f>SUM(P16:AA16)</f>
        <v>981.39</v>
      </c>
    </row>
    <row r="17">
      <c r="B17" t="s">
        <v>303</v>
      </c>
      <c r="O17" s="1">
        <f>SUM(C17:N17)</f>
        <v>0</v>
      </c>
      <c r="AB17" s="1">
        <f>SUM(P17:AA17)</f>
        <v>0</v>
      </c>
    </row>
    <row r="21">
      <c r="B21" t="s">
        <v>45</v>
      </c>
      <c r="J21">
        <v>118</v>
      </c>
      <c r="K21">
        <v>118</v>
      </c>
      <c r="L21">
        <v>118</v>
      </c>
      <c r="M21">
        <v>118</v>
      </c>
      <c r="N21">
        <v>118.29</v>
      </c>
      <c r="O21" s="1">
        <f>SUM(C21:N21)</f>
        <v>590.29</v>
      </c>
      <c r="Q21">
        <v>100.55</v>
      </c>
      <c r="S21">
        <v>90.67</v>
      </c>
      <c r="U21">
        <v>112.83</v>
      </c>
      <c r="W21">
        <v>137.63</v>
      </c>
      <c r="Y21">
        <v>132.76</v>
      </c>
      <c r="AB21" s="1">
        <f>SUM(P21:AA21)</f>
        <v>574.44</v>
      </c>
    </row>
    <row r="22">
      <c r="B22" t="s">
        <v>46</v>
      </c>
      <c r="J22">
        <v>31.58</v>
      </c>
      <c r="K22">
        <v>66.56</v>
      </c>
      <c r="L22">
        <v>125.88</v>
      </c>
      <c r="M22">
        <v>86.68</v>
      </c>
      <c r="N22">
        <v>182.89</v>
      </c>
      <c r="O22" s="1">
        <f>SUM(C22:N22)</f>
        <v>493.59</v>
      </c>
      <c r="P22">
        <v>98.57</v>
      </c>
      <c r="Q22">
        <v>133.33</v>
      </c>
      <c r="R22">
        <v>115.82</v>
      </c>
      <c r="S22">
        <v>77.8</v>
      </c>
      <c r="T22">
        <v>79.95</v>
      </c>
      <c r="U22">
        <v>48.08</v>
      </c>
      <c r="W22">
        <v>79.33</v>
      </c>
      <c r="X22">
        <v>36.25</v>
      </c>
      <c r="Y22">
        <v>38.22</v>
      </c>
      <c r="AA22">
        <v>139.35</v>
      </c>
      <c r="AB22" s="1">
        <f>SUM(P22:AA22)</f>
        <v>846.7</v>
      </c>
    </row>
    <row r="23">
      <c r="B23" t="s">
        <v>47</v>
      </c>
      <c r="J23">
        <v>98</v>
      </c>
      <c r="K23">
        <v>131.28</v>
      </c>
      <c r="L23">
        <v>71.5</v>
      </c>
      <c r="M23">
        <v>58.77</v>
      </c>
      <c r="N23">
        <v>84.62</v>
      </c>
      <c r="O23" s="1">
        <f>SUM(C23:N23)</f>
        <v>444.17</v>
      </c>
      <c r="P23">
        <v>132.94</v>
      </c>
      <c r="Q23">
        <v>216.44</v>
      </c>
      <c r="R23">
        <v>184.09</v>
      </c>
      <c r="S23">
        <v>60.95</v>
      </c>
      <c r="T23">
        <v>83.76</v>
      </c>
      <c r="U23">
        <v>69.69</v>
      </c>
      <c r="V23">
        <v>164.88</v>
      </c>
      <c r="W23">
        <v>203.43</v>
      </c>
      <c r="X23">
        <v>187.63</v>
      </c>
      <c r="Y23">
        <v>139.78</v>
      </c>
      <c r="Z23">
        <v>71.29</v>
      </c>
      <c r="AA23">
        <v>50.38</v>
      </c>
      <c r="AB23" s="1">
        <f>SUM(P23:AA23)</f>
        <v>1565.26</v>
      </c>
    </row>
    <row r="24">
      <c r="B24" t="s">
        <v>48</v>
      </c>
      <c r="C24">
        <v>45</v>
      </c>
      <c r="D24">
        <v>45</v>
      </c>
      <c r="E24">
        <v>45</v>
      </c>
      <c r="F24">
        <v>45</v>
      </c>
      <c r="G24">
        <v>45</v>
      </c>
      <c r="H24">
        <v>45</v>
      </c>
      <c r="I24">
        <v>45</v>
      </c>
      <c r="J24">
        <v>45</v>
      </c>
      <c r="K24">
        <v>45</v>
      </c>
      <c r="L24">
        <v>45</v>
      </c>
      <c r="M24">
        <v>45</v>
      </c>
      <c r="N24">
        <v>45</v>
      </c>
      <c r="O24" s="1">
        <f>SUM(C24:N24)</f>
        <v>540</v>
      </c>
      <c r="AB24" s="1">
        <f>SUM(P24:AA24)</f>
        <v>0</v>
      </c>
    </row>
    <row r="25">
      <c r="B25" t="s">
        <v>304</v>
      </c>
      <c r="O25" s="1">
        <f>SUM(C25:N25)</f>
        <v>0</v>
      </c>
      <c r="AB25" s="1">
        <f>SUM(P25:AA25)</f>
        <v>0</v>
      </c>
    </row>
    <row r="26">
      <c r="B26" t="s">
        <v>305</v>
      </c>
      <c r="O26" s="1">
        <f>SUM(C26:N26)</f>
        <v>0</v>
      </c>
      <c r="AB26" s="1">
        <f>SUM(P26:AA26)</f>
        <v>0</v>
      </c>
    </row>
    <row r="27">
      <c r="B27" t="s">
        <v>51</v>
      </c>
      <c r="O27" s="1">
        <f>SUM(C27:N27)</f>
        <v>0</v>
      </c>
      <c r="AB27" s="1">
        <f>SUM(P27:AA27)</f>
        <v>0</v>
      </c>
    </row>
    <row r="28">
      <c r="B28" t="s">
        <v>52</v>
      </c>
      <c r="J28">
        <v>3000</v>
      </c>
      <c r="O28" s="1">
        <f>SUM(C28:N28)</f>
        <v>3000</v>
      </c>
      <c r="AB28" s="1">
        <f>SUM(P28:AA28)</f>
        <v>0</v>
      </c>
    </row>
    <row r="29">
      <c r="B29" t="s">
        <v>53</v>
      </c>
      <c r="O29" s="1">
        <f>SUM(C29:N29)</f>
        <v>0</v>
      </c>
      <c r="AB29" s="1">
        <f>SUM(P29:AA29)</f>
        <v>0</v>
      </c>
    </row>
    <row r="30">
      <c r="B30" t="s">
        <v>54</v>
      </c>
      <c r="O30" s="1">
        <f>SUM(C30:N30)</f>
        <v>0</v>
      </c>
      <c r="AB30" s="1">
        <f>SUM(P30:AA30)</f>
        <v>0</v>
      </c>
    </row>
    <row r="31">
      <c r="B31" t="s">
        <v>55</v>
      </c>
      <c r="O31" s="1">
        <f>SUM(C31:N31)</f>
        <v>0</v>
      </c>
      <c r="AB31" s="1">
        <f>SUM(P31:AA31)</f>
        <v>0</v>
      </c>
    </row>
    <row r="32">
      <c r="B32" t="s">
        <v>56</v>
      </c>
      <c r="O32" s="1">
        <f>SUM(C32:N32)</f>
        <v>0</v>
      </c>
      <c r="AB32" s="1">
        <f>SUM(P32:AA32)</f>
        <v>0</v>
      </c>
    </row>
    <row r="33">
      <c r="B33" t="s">
        <v>51</v>
      </c>
      <c r="O33" s="1">
        <f>SUM(C33:N33)</f>
        <v>0</v>
      </c>
      <c r="AB33" s="1">
        <f>SUM(P33:AA33)</f>
        <v>0</v>
      </c>
    </row>
    <row r="34">
      <c r="B34" t="s">
        <v>69</v>
      </c>
      <c r="L34">
        <v>3920.64</v>
      </c>
      <c r="M34">
        <v>3920.64</v>
      </c>
      <c r="N34">
        <v>3920.64</v>
      </c>
      <c r="O34" s="1">
        <f>SUM(C34:N34)</f>
        <v>11761.92</v>
      </c>
      <c r="P34">
        <v>4287.51</v>
      </c>
      <c r="Q34">
        <v>4287.51</v>
      </c>
      <c r="R34">
        <v>4287.51</v>
      </c>
      <c r="S34">
        <v>4287.51</v>
      </c>
      <c r="T34">
        <v>4287.51</v>
      </c>
      <c r="U34">
        <v>4287.51</v>
      </c>
      <c r="V34">
        <v>4287.51</v>
      </c>
      <c r="W34">
        <v>5089.77</v>
      </c>
      <c r="X34">
        <v>5089.77</v>
      </c>
      <c r="Y34">
        <v>4438.69</v>
      </c>
      <c r="Z34">
        <v>4438.69</v>
      </c>
      <c r="AA34">
        <v>4377.54</v>
      </c>
      <c r="AB34" s="1">
        <f>SUM(P34:AA34)</f>
        <v>53447.03</v>
      </c>
    </row>
    <row r="35">
      <c r="B35" t="s">
        <v>70</v>
      </c>
      <c r="O35" s="1">
        <f>SUM(C35:N35)</f>
        <v>0</v>
      </c>
      <c r="AB35" s="1">
        <f>SUM(P35:AA35)</f>
        <v>0</v>
      </c>
    </row>
    <row r="36">
      <c r="B36" t="s">
        <v>306</v>
      </c>
      <c r="J36">
        <v>145</v>
      </c>
      <c r="O36" s="1">
        <f>SUM(C36:N36)</f>
        <v>145</v>
      </c>
      <c r="AB36" s="1">
        <f>SUM(P36:AA36)</f>
        <v>0</v>
      </c>
    </row>
    <row r="37">
      <c r="B37" t="s">
        <v>307</v>
      </c>
      <c r="O37" s="1">
        <f>SUM(C37:N37)</f>
        <v>0</v>
      </c>
      <c r="AB37" s="1">
        <f>SUM(P37:AA37)</f>
        <v>0</v>
      </c>
    </row>
    <row r="38">
      <c r="B38" t="s">
        <v>307</v>
      </c>
      <c r="O38" s="1">
        <f>SUM(C38:N38)</f>
        <v>0</v>
      </c>
      <c r="AB38" s="1">
        <f>SUM(P38:AA38)</f>
        <v>0</v>
      </c>
    </row>
    <row r="41">
      <c r="B41" s="1" t="s">
        <v>62</v>
      </c>
      <c r="C41">
        <v>45</v>
      </c>
      <c r="D41">
        <v>45</v>
      </c>
      <c r="E41">
        <v>45</v>
      </c>
      <c r="F41">
        <v>45</v>
      </c>
      <c r="G41">
        <v>45</v>
      </c>
      <c r="H41">
        <v>45</v>
      </c>
      <c r="I41">
        <v>45</v>
      </c>
      <c r="J41">
        <v>4288.9</v>
      </c>
      <c r="K41">
        <v>360.84</v>
      </c>
      <c r="L41">
        <v>4281.02</v>
      </c>
      <c r="M41">
        <v>4229.09</v>
      </c>
      <c r="N41">
        <v>5806.53</v>
      </c>
      <c r="O41" s="1">
        <f>SUM(C41:N41)</f>
        <v>19281.38</v>
      </c>
      <c r="P41">
        <v>4519.02</v>
      </c>
      <c r="Q41">
        <v>4883.15</v>
      </c>
      <c r="R41">
        <v>5354.77</v>
      </c>
      <c r="S41">
        <v>4635.25</v>
      </c>
      <c r="T41">
        <v>4529.97</v>
      </c>
      <c r="U41">
        <v>4596.86</v>
      </c>
      <c r="V41">
        <v>4582.13</v>
      </c>
      <c r="W41">
        <v>5590.35</v>
      </c>
      <c r="X41">
        <v>5348.51</v>
      </c>
      <c r="Y41">
        <v>4817.93</v>
      </c>
      <c r="Z41">
        <v>4542.31</v>
      </c>
      <c r="AA41">
        <v>4567.27</v>
      </c>
      <c r="AB41" s="1">
        <f>SUM(P41:AA41)</f>
        <v>57967.52</v>
      </c>
    </row>
    <row r="43">
      <c r="B43" s="1" t="s">
        <v>63</v>
      </c>
      <c r="C43">
        <v>-45</v>
      </c>
      <c r="D43">
        <v>-45</v>
      </c>
      <c r="E43">
        <v>-45</v>
      </c>
      <c r="F43">
        <v>-45</v>
      </c>
      <c r="G43">
        <v>-45</v>
      </c>
      <c r="H43">
        <v>-45</v>
      </c>
      <c r="I43">
        <v>-45</v>
      </c>
      <c r="J43">
        <v>-4288.9</v>
      </c>
      <c r="K43">
        <v>-360.84</v>
      </c>
      <c r="L43">
        <v>-4281.02</v>
      </c>
      <c r="M43">
        <v>-4229.09</v>
      </c>
      <c r="N43">
        <v>-5806.53</v>
      </c>
      <c r="O43" s="1">
        <f>O6-O41</f>
        <v>-19281.38</v>
      </c>
      <c r="P43">
        <v>-4519.02</v>
      </c>
      <c r="Q43">
        <v>-4883.15</v>
      </c>
      <c r="R43">
        <v>-5354.77</v>
      </c>
      <c r="S43">
        <v>-4635.25</v>
      </c>
      <c r="T43">
        <v>-4529.97</v>
      </c>
      <c r="U43">
        <v>-4596.86</v>
      </c>
      <c r="V43">
        <v>-4582.13</v>
      </c>
      <c r="W43">
        <v>-5590.35</v>
      </c>
      <c r="X43">
        <v>-5348.51</v>
      </c>
      <c r="Y43">
        <v>-4817.93</v>
      </c>
      <c r="Z43">
        <v>-4542.31</v>
      </c>
      <c r="AA43">
        <v>-4567.27</v>
      </c>
      <c r="AB43" s="1">
        <f>AB6-AB41</f>
        <v>-57967.52</v>
      </c>
    </row>
  </sheetData>
  <mergeCells count="2">
    <mergeCell ref="C1:O1"/>
    <mergeCell ref="P1:AB1"/>
  </mergeCells>
</worksheet>
</file>

<file path=xl/worksheets/sheet12.xml><?xml version="1.0" encoding="utf-8"?>
<worksheet xmlns="http://schemas.openxmlformats.org/spreadsheetml/2006/main">
  <sheetData>
    <row r="1">
      <c r="A1" s="1" t="s">
        <v>308</v>
      </c>
    </row>
    <row r="2">
      <c r="A2" t="s">
        <v>309</v>
      </c>
    </row>
    <row r="3">
      <c r="A3" t="s">
        <v>310</v>
      </c>
      <c r="B3" t="s">
        <v>311</v>
      </c>
      <c r="C3" t="s">
        <v>312</v>
      </c>
      <c r="D3" t="s">
        <v>313</v>
      </c>
      <c r="E3" t="s">
        <v>314</v>
      </c>
    </row>
    <row r="4">
      <c r="A4" t="s">
        <v>315</v>
      </c>
      <c r="B4" t="s">
        <v>316</v>
      </c>
      <c r="C4" t="s">
        <v>317</v>
      </c>
      <c r="E4" t="s">
        <v>318</v>
      </c>
    </row>
    <row r="6">
      <c r="A6" s="1" t="s">
        <v>319</v>
      </c>
      <c r="B6" s="1" t="s">
        <v>320</v>
      </c>
      <c r="C6" s="1" t="s">
        <v>321</v>
      </c>
      <c r="D6" s="1" t="s">
        <v>322</v>
      </c>
      <c r="E6" s="1" t="s">
        <v>323</v>
      </c>
    </row>
    <row r="7">
      <c r="A7" t="s">
        <v>7</v>
      </c>
      <c r="B7" t="s">
        <v>324</v>
      </c>
      <c r="C7" t="s">
        <v>325</v>
      </c>
      <c r="D7" t="s">
        <v>326</v>
      </c>
      <c r="E7" s="3" t="s">
        <v>327</v>
      </c>
    </row>
    <row r="8">
      <c r="A8" t="s">
        <v>7</v>
      </c>
      <c r="B8" t="s">
        <v>328</v>
      </c>
      <c r="C8" t="s">
        <v>329</v>
      </c>
      <c r="D8" t="s">
        <v>330</v>
      </c>
      <c r="E8" s="2" t="s">
        <v>331</v>
      </c>
    </row>
    <row r="9">
      <c r="A9" t="s">
        <v>7</v>
      </c>
      <c r="B9" t="s">
        <v>332</v>
      </c>
      <c r="C9" t="s">
        <v>333</v>
      </c>
      <c r="D9" t="s">
        <v>334</v>
      </c>
      <c r="E9" s="2" t="s">
        <v>331</v>
      </c>
    </row>
    <row r="10">
      <c r="A10" t="s">
        <v>7</v>
      </c>
      <c r="B10" t="s">
        <v>335</v>
      </c>
      <c r="C10" t="s">
        <v>336</v>
      </c>
      <c r="D10" t="s">
        <v>337</v>
      </c>
      <c r="E10" s="2" t="s">
        <v>331</v>
      </c>
    </row>
    <row r="11">
      <c r="A11" s="2" t="s">
        <v>7</v>
      </c>
      <c r="B11" s="2" t="s">
        <v>338</v>
      </c>
      <c r="C11" s="2" t="s">
        <v>339</v>
      </c>
      <c r="D11" s="2" t="s">
        <v>340</v>
      </c>
      <c r="E11" s="2" t="s">
        <v>341</v>
      </c>
    </row>
    <row r="12">
      <c r="A12" t="s">
        <v>342</v>
      </c>
      <c r="B12" t="s">
        <v>34</v>
      </c>
      <c r="C12" t="s">
        <v>329</v>
      </c>
      <c r="D12" t="s">
        <v>343</v>
      </c>
      <c r="E12" s="2" t="s">
        <v>331</v>
      </c>
    </row>
  </sheetData>
  <mergeCells count="2">
    <mergeCell ref="A2:E2"/>
    <mergeCell ref="A1:E1"/>
  </mergeCells>
</worksheet>
</file>