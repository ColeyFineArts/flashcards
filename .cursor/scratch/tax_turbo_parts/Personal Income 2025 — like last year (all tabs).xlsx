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524 Ferdinand Ave, Unit 2" sheetId="2" state="visible" r:id="rId2"/>
    <sheet name="216 N. Oak Park Ave" sheetId="3" state="visible" r:id="rId3"/>
    <sheet name="EPGC LLC" sheetId="4" state="visible" r:id="rId4"/>
    <sheet name="Art Sales and Purchases" sheetId="5" state="visible" r:id="rId5"/>
    <sheet name="GCM" sheetId="6" state="visible" r:id="rId6"/>
    <sheet name="Investments" sheetId="7" state="visible" r:id="rId7"/>
    <sheet name="524 Ferdinand Ave, Unit 1" sheetId="8" state="visible" r:id="rId8"/>
    <sheet name="ASK Mercury" sheetId="9" state="visible" r:id="rId9"/>
    <sheet name="Carrie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B1" s="1" t="n">
        <v>2022</v>
      </c>
      <c r="C1" s="1" t="n">
        <v>2022</v>
      </c>
      <c r="D1" s="1" t="n">
        <v>2023</v>
      </c>
      <c r="E1" s="1" t="n">
        <v>2023</v>
      </c>
      <c r="F1" s="1" t="n">
        <v>2024</v>
      </c>
      <c r="G1" s="1" t="n">
        <v>2024</v>
      </c>
      <c r="H1" s="1" t="n">
        <v>2025</v>
      </c>
      <c r="I1" s="1" t="n">
        <v>2025</v>
      </c>
    </row>
    <row r="2">
      <c r="B2" t="inlineStr">
        <is>
          <t xml:space="preserve">Projected </t>
        </is>
      </c>
      <c r="C2" t="inlineStr">
        <is>
          <t>Actual</t>
        </is>
      </c>
      <c r="D2" t="inlineStr">
        <is>
          <t xml:space="preserve">Projected </t>
        </is>
      </c>
      <c r="E2" t="inlineStr">
        <is>
          <t>Actual</t>
        </is>
      </c>
      <c r="F2" t="inlineStr">
        <is>
          <t>Projected</t>
        </is>
      </c>
      <c r="G2" t="inlineStr">
        <is>
          <t>Actual</t>
        </is>
      </c>
      <c r="H2" t="inlineStr">
        <is>
          <t>Projected</t>
        </is>
      </c>
      <c r="I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 xml:space="preserve">Hindman </t>
        </is>
      </c>
      <c r="B4" t="n">
        <v>92000</v>
      </c>
      <c r="C4" t="n">
        <v>97876.85000000001</v>
      </c>
      <c r="D4" t="n">
        <v>110000</v>
      </c>
      <c r="E4" t="n">
        <v>115000</v>
      </c>
      <c r="F4" t="n">
        <v>110000</v>
      </c>
      <c r="H4" t="n">
        <v>110000</v>
      </c>
      <c r="I4" t="n">
        <v>70618</v>
      </c>
    </row>
    <row r="5">
      <c r="A5" t="inlineStr">
        <is>
          <t>216 N. Oak Park Ave</t>
        </is>
      </c>
      <c r="B5" t="n">
        <v>0</v>
      </c>
      <c r="C5" t="n">
        <v>125</v>
      </c>
      <c r="D5" t="n">
        <v>1500</v>
      </c>
      <c r="F5" t="n">
        <v>1500</v>
      </c>
      <c r="H5" t="n">
        <v>19500</v>
      </c>
      <c r="I5" t="n">
        <v>19500</v>
      </c>
    </row>
    <row r="6">
      <c r="A6" t="inlineStr">
        <is>
          <t>524 Ferdinand Ave #2</t>
        </is>
      </c>
      <c r="F6" t="n">
        <v>20000</v>
      </c>
      <c r="H6" t="n">
        <v>17000</v>
      </c>
      <c r="I6" t="n">
        <v>17086.94</v>
      </c>
    </row>
    <row r="7">
      <c r="A7" t="inlineStr">
        <is>
          <t>GCM Boards</t>
        </is>
      </c>
      <c r="B7" t="n">
        <v>14000</v>
      </c>
      <c r="C7" t="n">
        <v>25875</v>
      </c>
      <c r="D7" t="n">
        <v>14700</v>
      </c>
      <c r="E7" t="n">
        <v>14700</v>
      </c>
      <c r="F7" t="n">
        <v>16000</v>
      </c>
      <c r="H7" t="n">
        <v>21500</v>
      </c>
      <c r="I7" t="n">
        <v>21500</v>
      </c>
    </row>
    <row r="8">
      <c r="A8" t="inlineStr">
        <is>
          <t>Art Sales</t>
        </is>
      </c>
      <c r="B8" t="n">
        <v>10000</v>
      </c>
      <c r="C8" t="n">
        <v>15000</v>
      </c>
      <c r="D8" t="n">
        <v>15000</v>
      </c>
      <c r="E8" t="n">
        <v>54777.25</v>
      </c>
      <c r="F8" t="n">
        <v>20000</v>
      </c>
      <c r="H8" t="n">
        <v>20000</v>
      </c>
      <c r="I8" t="n">
        <v>23055.06</v>
      </c>
    </row>
    <row r="9">
      <c r="A9" t="inlineStr">
        <is>
          <t>Megan's Income</t>
        </is>
      </c>
      <c r="B9" t="n">
        <v>67000</v>
      </c>
      <c r="C9" t="n">
        <v>67000</v>
      </c>
      <c r="D9" t="n">
        <v>74000</v>
      </c>
      <c r="F9" t="n">
        <v>0</v>
      </c>
      <c r="H9" t="n">
        <v>0</v>
      </c>
      <c r="I9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  <c r="F10">
        <f>SUM(F4:F9)</f>
        <v/>
      </c>
      <c r="G10">
        <f>SUM(G4:G9)</f>
        <v/>
      </c>
      <c r="H10">
        <f>SUM(H4:H9)</f>
        <v/>
      </c>
      <c r="I10">
        <f>SUM(I4:I9)</f>
        <v/>
      </c>
    </row>
    <row r="12">
      <c r="A12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B1" s="1" t="inlineStr">
        <is>
          <t>PROPERTY ADDRESS</t>
        </is>
      </c>
      <c r="C1" s="1" t="inlineStr">
        <is>
          <t>524 Ferdinand Avenue, Unit 2</t>
        </is>
      </c>
      <c r="P1" s="1" t="inlineStr">
        <is>
          <t>524 Ferdinand Avenue, Unit 2</t>
        </is>
      </c>
      <c r="AC1" s="1" t="inlineStr">
        <is>
          <t>524 Ferdinand Avenue, Unit 2</t>
        </is>
      </c>
    </row>
    <row r="2">
      <c r="B2" t="inlineStr">
        <is>
          <t>INCOME</t>
        </is>
      </c>
      <c r="C2" t="inlineStr">
        <is>
          <t>JAN</t>
        </is>
      </c>
      <c r="D2" t="inlineStr">
        <is>
          <t>FEB</t>
        </is>
      </c>
      <c r="E2" t="inlineStr">
        <is>
          <t>MAR</t>
        </is>
      </c>
      <c r="F2" t="inlineStr">
        <is>
          <t>APR</t>
        </is>
      </c>
      <c r="G2" t="inlineStr">
        <is>
          <t>MAY</t>
        </is>
      </c>
      <c r="H2" t="inlineStr">
        <is>
          <t>JUN</t>
        </is>
      </c>
      <c r="I2" t="inlineStr">
        <is>
          <t>JUL</t>
        </is>
      </c>
      <c r="J2" t="inlineStr">
        <is>
          <t>AUG</t>
        </is>
      </c>
      <c r="K2" t="inlineStr">
        <is>
          <t>SEPT</t>
        </is>
      </c>
      <c r="L2" t="inlineStr">
        <is>
          <t>OCT</t>
        </is>
      </c>
      <c r="M2" t="inlineStr">
        <is>
          <t>NOV</t>
        </is>
      </c>
      <c r="N2" t="inlineStr">
        <is>
          <t>DEC</t>
        </is>
      </c>
      <c r="O2" t="inlineStr">
        <is>
          <t>2023 YR TOTAL</t>
        </is>
      </c>
      <c r="P2" t="inlineStr">
        <is>
          <t>JAN</t>
        </is>
      </c>
      <c r="Q2" t="inlineStr">
        <is>
          <t>FEB</t>
        </is>
      </c>
      <c r="R2" t="inlineStr">
        <is>
          <t>MAR</t>
        </is>
      </c>
      <c r="S2" t="inlineStr">
        <is>
          <t>APR</t>
        </is>
      </c>
      <c r="T2" t="inlineStr">
        <is>
          <t>MAY</t>
        </is>
      </c>
      <c r="U2" t="inlineStr">
        <is>
          <t>JUN</t>
        </is>
      </c>
      <c r="V2" t="inlineStr">
        <is>
          <t>JUL</t>
        </is>
      </c>
      <c r="W2" t="inlineStr">
        <is>
          <t>AUG</t>
        </is>
      </c>
      <c r="X2" t="inlineStr">
        <is>
          <t>SEPT</t>
        </is>
      </c>
      <c r="Y2" t="inlineStr">
        <is>
          <t>OCT</t>
        </is>
      </c>
      <c r="Z2" t="inlineStr">
        <is>
          <t>NOV</t>
        </is>
      </c>
      <c r="AA2" t="inlineStr">
        <is>
          <t>DEC</t>
        </is>
      </c>
      <c r="AB2" t="inlineStr">
        <is>
          <t>2024 YR TOTAL</t>
        </is>
      </c>
      <c r="AC2" t="inlineStr">
        <is>
          <t>JAN</t>
        </is>
      </c>
      <c r="AD2" t="inlineStr">
        <is>
          <t>FEB</t>
        </is>
      </c>
      <c r="AE2" t="inlineStr">
        <is>
          <t>MAR</t>
        </is>
      </c>
      <c r="AF2" t="inlineStr">
        <is>
          <t>APR</t>
        </is>
      </c>
      <c r="AG2" t="inlineStr">
        <is>
          <t>MAY</t>
        </is>
      </c>
      <c r="AH2" t="inlineStr">
        <is>
          <t>JUN</t>
        </is>
      </c>
      <c r="AI2" t="inlineStr">
        <is>
          <t>JUL</t>
        </is>
      </c>
      <c r="AJ2" t="inlineStr">
        <is>
          <t>AUG</t>
        </is>
      </c>
      <c r="AK2" t="inlineStr">
        <is>
          <t>SEPT</t>
        </is>
      </c>
      <c r="AL2" t="inlineStr">
        <is>
          <t>OCT</t>
        </is>
      </c>
      <c r="AM2" t="inlineStr">
        <is>
          <t>NOV</t>
        </is>
      </c>
      <c r="AN2" t="inlineStr">
        <is>
          <t>DEC</t>
        </is>
      </c>
      <c r="AO2" t="inlineStr">
        <is>
          <t>2025 YR TOTAL</t>
        </is>
      </c>
    </row>
    <row r="3">
      <c r="B3" t="inlineStr">
        <is>
          <t>MULTI-PROPERTY INCOME OVERVIEW</t>
        </is>
      </c>
    </row>
    <row r="4">
      <c r="B4" t="inlineStr">
        <is>
          <t>MULTI-PROPERTY INCOME OVERVIEW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>
        <f>SUM(P4:AA4)</f>
        <v/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>
        <f>SUM(AC4:AN4)</f>
        <v/>
      </c>
    </row>
    <row r="5">
      <c r="B5" t="inlineStr">
        <is>
          <t>RENTAL INCOME</t>
        </is>
      </c>
      <c r="M5" t="n">
        <v>600</v>
      </c>
      <c r="N5" t="n">
        <v>450</v>
      </c>
      <c r="O5">
        <f>SUM(C5:N5)</f>
        <v/>
      </c>
      <c r="AA5" t="n">
        <v>22705</v>
      </c>
      <c r="AB5">
        <f>SUM(P5:AA5)</f>
        <v/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3479.6</v>
      </c>
      <c r="AI5" t="n">
        <v>3180.81</v>
      </c>
      <c r="AJ5" t="n">
        <v>1757.5</v>
      </c>
      <c r="AK5" t="n">
        <v>2690.16</v>
      </c>
      <c r="AL5" t="n">
        <v>1261.64</v>
      </c>
      <c r="AM5" t="n">
        <v>1509.84</v>
      </c>
      <c r="AN5" t="n">
        <v>0</v>
      </c>
      <c r="AO5">
        <f>SUM(AC5:AN5)</f>
        <v/>
      </c>
    </row>
    <row r="6">
      <c r="B6" t="inlineStr">
        <is>
          <t>GROSS RENTAL INCOME</t>
        </is>
      </c>
      <c r="C6">
        <f>SUM(C4:C5)</f>
        <v/>
      </c>
      <c r="D6">
        <f>SUM(D4:D5)</f>
        <v/>
      </c>
      <c r="E6">
        <f>SUM(E4:E5)</f>
        <v/>
      </c>
      <c r="F6">
        <f>SUM(F4:F5)</f>
        <v/>
      </c>
      <c r="G6">
        <f>SUM(G4:G5)</f>
        <v/>
      </c>
      <c r="H6">
        <f>SUM(H4:H5)</f>
        <v/>
      </c>
      <c r="I6">
        <f>SUM(I4:I5)</f>
        <v/>
      </c>
      <c r="J6">
        <f>SUM(J4:J5)</f>
        <v/>
      </c>
      <c r="K6">
        <f>SUM(K4:K5)</f>
        <v/>
      </c>
      <c r="L6">
        <f>SUM(L4:L5)</f>
        <v/>
      </c>
      <c r="M6">
        <f>SUM(M4:M5)</f>
        <v/>
      </c>
      <c r="N6">
        <f>SUM(N4:N5)</f>
        <v/>
      </c>
      <c r="O6">
        <f>SUM(C6:N6)</f>
        <v/>
      </c>
      <c r="P6">
        <f>SUM(P4:P5)</f>
        <v/>
      </c>
      <c r="Q6">
        <f>SUM(Q4:Q5)</f>
        <v/>
      </c>
      <c r="R6">
        <f>SUM(R4:R5)</f>
        <v/>
      </c>
      <c r="S6">
        <f>SUM(S4:S5)</f>
        <v/>
      </c>
      <c r="T6">
        <f>SUM(T4:T5)</f>
        <v/>
      </c>
      <c r="U6">
        <f>SUM(U4:U5)</f>
        <v/>
      </c>
      <c r="V6">
        <f>SUM(V4:V5)</f>
        <v/>
      </c>
      <c r="W6">
        <f>SUM(W4:W5)</f>
        <v/>
      </c>
      <c r="X6">
        <f>SUM(X4:X5)</f>
        <v/>
      </c>
      <c r="Y6">
        <f>SUM(Y4:Y5)</f>
        <v/>
      </c>
      <c r="Z6">
        <f>SUM(Z4:Z5)</f>
        <v/>
      </c>
      <c r="AA6">
        <f>SUM(AA4:AA5)</f>
        <v/>
      </c>
      <c r="AB6">
        <f>SUM(P6:AA6)</f>
        <v/>
      </c>
      <c r="AC6">
        <f>SUM(AC4:AC5)</f>
        <v/>
      </c>
      <c r="AD6">
        <f>SUM(AD4:AD5)</f>
        <v/>
      </c>
      <c r="AE6">
        <f>SUM(AE4:AE5)</f>
        <v/>
      </c>
      <c r="AF6">
        <f>SUM(AF4:AF5)</f>
        <v/>
      </c>
      <c r="AG6">
        <f>SUM(AG4:AG5)</f>
        <v/>
      </c>
      <c r="AH6">
        <f>SUM(AH4:AH5)</f>
        <v/>
      </c>
      <c r="AI6">
        <f>SUM(AI4:AI5)</f>
        <v/>
      </c>
      <c r="AJ6">
        <f>SUM(AJ4:AJ5)</f>
        <v/>
      </c>
      <c r="AK6">
        <f>SUM(AK4:AK5)</f>
        <v/>
      </c>
      <c r="AL6">
        <f>SUM(AL4:AL5)</f>
        <v/>
      </c>
      <c r="AM6">
        <f>SUM(AM4:AM5)</f>
        <v/>
      </c>
      <c r="AN6">
        <f>SUM(AN4:AN5)</f>
        <v/>
      </c>
      <c r="AO6">
        <f>SUM(AC6:AN6)</f>
        <v/>
      </c>
    </row>
    <row r="7"/>
    <row r="8">
      <c r="B8" t="inlineStr">
        <is>
          <t>EXPENSES</t>
        </is>
      </c>
      <c r="C8" t="inlineStr">
        <is>
          <t>JAN</t>
        </is>
      </c>
      <c r="D8" t="inlineStr">
        <is>
          <t>FEB</t>
        </is>
      </c>
      <c r="E8" t="inlineStr">
        <is>
          <t>MAR</t>
        </is>
      </c>
      <c r="F8" t="inlineStr">
        <is>
          <t>APR</t>
        </is>
      </c>
      <c r="G8" t="inlineStr">
        <is>
          <t>MAY</t>
        </is>
      </c>
      <c r="H8" t="inlineStr">
        <is>
          <t>JUN</t>
        </is>
      </c>
      <c r="I8" t="inlineStr">
        <is>
          <t>JUL</t>
        </is>
      </c>
      <c r="J8" t="inlineStr">
        <is>
          <t>AUG</t>
        </is>
      </c>
      <c r="K8" t="inlineStr">
        <is>
          <t>SEPT</t>
        </is>
      </c>
      <c r="L8" t="inlineStr">
        <is>
          <t>OCT</t>
        </is>
      </c>
      <c r="M8" t="inlineStr">
        <is>
          <t>NOV</t>
        </is>
      </c>
      <c r="N8" t="inlineStr">
        <is>
          <t>DEC</t>
        </is>
      </c>
      <c r="O8" t="inlineStr">
        <is>
          <t>YR TOTAL</t>
        </is>
      </c>
      <c r="P8" t="inlineStr">
        <is>
          <t>JAN</t>
        </is>
      </c>
      <c r="Q8" t="inlineStr">
        <is>
          <t>FEB</t>
        </is>
      </c>
      <c r="R8" t="inlineStr">
        <is>
          <t>MAR</t>
        </is>
      </c>
      <c r="S8" t="inlineStr">
        <is>
          <t>APR</t>
        </is>
      </c>
      <c r="T8" t="inlineStr">
        <is>
          <t>MAY</t>
        </is>
      </c>
      <c r="U8" t="inlineStr">
        <is>
          <t>JUN</t>
        </is>
      </c>
      <c r="V8" t="inlineStr">
        <is>
          <t>JUL</t>
        </is>
      </c>
      <c r="W8" t="inlineStr">
        <is>
          <t>AUG</t>
        </is>
      </c>
      <c r="X8" t="inlineStr">
        <is>
          <t>SEPT</t>
        </is>
      </c>
      <c r="Y8" t="inlineStr">
        <is>
          <t>OCT</t>
        </is>
      </c>
      <c r="Z8" t="inlineStr">
        <is>
          <t>NOV</t>
        </is>
      </c>
      <c r="AA8" t="inlineStr">
        <is>
          <t>DEC</t>
        </is>
      </c>
      <c r="AB8" t="inlineStr">
        <is>
          <t>YR TOTAL</t>
        </is>
      </c>
      <c r="AC8" t="inlineStr">
        <is>
          <t>JAN</t>
        </is>
      </c>
      <c r="AD8" t="inlineStr">
        <is>
          <t>FEB</t>
        </is>
      </c>
      <c r="AE8" t="inlineStr">
        <is>
          <t>MAR</t>
        </is>
      </c>
      <c r="AF8" t="inlineStr">
        <is>
          <t>APR</t>
        </is>
      </c>
      <c r="AG8" t="inlineStr">
        <is>
          <t>MAY</t>
        </is>
      </c>
      <c r="AH8" t="inlineStr">
        <is>
          <t>JUN</t>
        </is>
      </c>
      <c r="AI8" t="inlineStr">
        <is>
          <t>JUL</t>
        </is>
      </c>
      <c r="AJ8" t="inlineStr">
        <is>
          <t>AUG</t>
        </is>
      </c>
      <c r="AK8" t="inlineStr">
        <is>
          <t>SEPT</t>
        </is>
      </c>
      <c r="AL8" t="inlineStr">
        <is>
          <t>OCT</t>
        </is>
      </c>
      <c r="AM8" t="inlineStr">
        <is>
          <t>NOV</t>
        </is>
      </c>
      <c r="AN8" t="inlineStr">
        <is>
          <t>DEC</t>
        </is>
      </c>
      <c r="AO8" t="inlineStr">
        <is>
          <t>YR TOTAL</t>
        </is>
      </c>
    </row>
    <row r="9"/>
    <row r="10">
      <c r="B10" t="inlineStr">
        <is>
          <t>MULTI-PROPERTY EXPENSES OVERVIEW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>
        <f>SUM(C10:N10)</f>
        <v/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>
        <f>SUM(P10:AA10)</f>
        <v/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>
        <f>SUM(AC10:AN10)</f>
        <v/>
      </c>
    </row>
    <row r="11">
      <c r="B11" t="inlineStr">
        <is>
          <t>MARKETING / ADVERTISING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>
        <f>SUM(C11:N11)</f>
        <v/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>
        <f>SUM(P11:AA11)</f>
        <v/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>
        <f>SUM(AC11:AN11)</f>
        <v/>
      </c>
    </row>
    <row r="12">
      <c r="B12" t="inlineStr">
        <is>
          <t>SERVICE FEES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>
        <f>SUM(C12:N12)</f>
        <v/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950.6</v>
      </c>
      <c r="AB12">
        <f>SUM(P12:AA12)</f>
        <v/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>
        <f>SUM(AC12:AN12)</f>
        <v/>
      </c>
    </row>
    <row r="13">
      <c r="B13" t="inlineStr">
        <is>
          <t>REMITTED TAX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>
        <f>SUM(C13:N13)</f>
        <v/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>
        <f>SUM(P13:AA13)</f>
        <v/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>
        <f>SUM(AC13:AN13)</f>
        <v/>
      </c>
    </row>
    <row r="14">
      <c r="B14" t="inlineStr">
        <is>
          <t>INSURANCE</t>
        </is>
      </c>
      <c r="O14">
        <f>SUM(C14:N14)</f>
        <v/>
      </c>
      <c r="AA14" t="n">
        <v>1455.09</v>
      </c>
      <c r="AB14">
        <f>SUM(P14:AA14)</f>
        <v/>
      </c>
      <c r="AC14" t="n">
        <v>0</v>
      </c>
      <c r="AD14" t="n">
        <v>78.77</v>
      </c>
      <c r="AE14" t="n">
        <v>78.76000000000001</v>
      </c>
      <c r="AF14" t="n">
        <v>78.76000000000001</v>
      </c>
      <c r="AG14" t="n">
        <v>78.76000000000001</v>
      </c>
      <c r="AH14" t="n">
        <v>78.76000000000001</v>
      </c>
      <c r="AI14" t="n">
        <v>78.76000000000001</v>
      </c>
      <c r="AJ14" t="n">
        <v>80.19</v>
      </c>
      <c r="AK14" t="n">
        <v>0</v>
      </c>
      <c r="AL14" t="n">
        <v>0</v>
      </c>
      <c r="AM14" t="n">
        <v>0</v>
      </c>
      <c r="AN14" t="n">
        <v>0</v>
      </c>
      <c r="AO14">
        <f>SUM(AC14:AN14)</f>
        <v/>
      </c>
    </row>
    <row r="15">
      <c r="B15" t="inlineStr">
        <is>
          <t>INTERIOR MAINTENANCE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SUM(C15:N15)</f>
        <v/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>
        <f>SUM(P15:AA15)</f>
        <v/>
      </c>
      <c r="AC15" t="n">
        <v>7.46</v>
      </c>
      <c r="AD15" t="n">
        <v>0</v>
      </c>
      <c r="AE15" t="n">
        <v>52.78</v>
      </c>
      <c r="AF15" t="n">
        <v>131.4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45.6</v>
      </c>
      <c r="AM15" t="n">
        <v>12.63</v>
      </c>
      <c r="AN15" t="n">
        <v>0</v>
      </c>
      <c r="AO15">
        <f>SUM(AC15:AN15)</f>
        <v/>
      </c>
    </row>
    <row r="16">
      <c r="B16" t="inlineStr">
        <is>
          <t>EXTERIOR REPAIRS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>
        <f>SUM(C16:N16)</f>
        <v/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>
        <f>SUM(P16:AA16)</f>
        <v/>
      </c>
      <c r="AC16" t="n">
        <v>0</v>
      </c>
      <c r="AD16" t="n">
        <v>66.56999999999999</v>
      </c>
      <c r="AE16" t="n">
        <v>700.77</v>
      </c>
      <c r="AF16" t="n">
        <v>39.58</v>
      </c>
      <c r="AG16" t="n">
        <v>0</v>
      </c>
      <c r="AH16" t="n">
        <v>0</v>
      </c>
      <c r="AI16" t="n">
        <v>150.06</v>
      </c>
      <c r="AJ16" t="n">
        <v>16.54</v>
      </c>
      <c r="AK16" t="n">
        <v>34.87</v>
      </c>
      <c r="AL16" t="n">
        <v>76.23999999999999</v>
      </c>
      <c r="AM16" t="n">
        <v>32.33</v>
      </c>
      <c r="AN16" t="n">
        <v>0</v>
      </c>
      <c r="AO16">
        <f>SUM(AC16:AN16)</f>
        <v/>
      </c>
    </row>
    <row r="17">
      <c r="B17" t="inlineStr">
        <is>
          <t>VILLAGE WATER AND REFUSE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SUM(C17:N17)</f>
        <v/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1769.42</v>
      </c>
      <c r="AC17" t="n">
        <v>0</v>
      </c>
      <c r="AD17" t="n">
        <v>100.56</v>
      </c>
      <c r="AE17" t="n">
        <v>0</v>
      </c>
      <c r="AF17" t="n">
        <v>90.68000000000001</v>
      </c>
      <c r="AG17" t="n">
        <v>0</v>
      </c>
      <c r="AH17" t="n">
        <v>112.84</v>
      </c>
      <c r="AI17" t="n">
        <v>0</v>
      </c>
      <c r="AJ17" t="n">
        <v>137.64</v>
      </c>
      <c r="AK17" t="n">
        <v>0</v>
      </c>
      <c r="AL17" t="n">
        <v>132.77</v>
      </c>
      <c r="AM17" t="n">
        <v>0</v>
      </c>
      <c r="AN17" t="n">
        <v>0</v>
      </c>
      <c r="AO17" t="n">
        <v>0</v>
      </c>
    </row>
    <row r="18">
      <c r="B18" t="inlineStr">
        <is>
          <t>GAS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26.02</v>
      </c>
      <c r="K18" t="n">
        <v>110.08</v>
      </c>
      <c r="L18" t="n">
        <v>137.34</v>
      </c>
      <c r="M18" t="n">
        <v>31.56</v>
      </c>
      <c r="N18" t="n">
        <v>62.3</v>
      </c>
      <c r="O18">
        <f>SUM(C18:N18)</f>
        <v/>
      </c>
      <c r="P18" t="n">
        <v>62.3</v>
      </c>
      <c r="Q18" t="n">
        <v>37.13</v>
      </c>
      <c r="R18" t="n">
        <v>25.46</v>
      </c>
      <c r="S18" t="n">
        <v>28.11</v>
      </c>
      <c r="T18" t="n">
        <v>21.2</v>
      </c>
      <c r="U18" t="n">
        <v>20.5</v>
      </c>
      <c r="V18" t="n">
        <v>22.27</v>
      </c>
      <c r="W18" t="n">
        <v>21.6</v>
      </c>
      <c r="X18" t="n">
        <v>21.6</v>
      </c>
      <c r="Y18" t="n">
        <v>21.65</v>
      </c>
      <c r="Z18" t="n">
        <v>24.34</v>
      </c>
      <c r="AA18" t="n">
        <v>30.76</v>
      </c>
      <c r="AB18">
        <f>SUM(P18:AA18)</f>
        <v/>
      </c>
      <c r="AC18" t="n">
        <v>39.7</v>
      </c>
      <c r="AD18" t="n">
        <v>31.37</v>
      </c>
      <c r="AE18" t="n">
        <v>32.09</v>
      </c>
      <c r="AF18" t="n">
        <v>26.31</v>
      </c>
      <c r="AG18" t="n">
        <v>25.41</v>
      </c>
      <c r="AH18" t="n">
        <v>24.17</v>
      </c>
      <c r="AI18" t="n">
        <v>23.53</v>
      </c>
      <c r="AJ18" t="n">
        <v>22.7</v>
      </c>
      <c r="AK18" t="n">
        <v>22.71</v>
      </c>
      <c r="AL18" t="n">
        <v>22.72</v>
      </c>
      <c r="AM18" t="n">
        <v>0</v>
      </c>
      <c r="AN18" t="n">
        <v>53.71</v>
      </c>
      <c r="AO18">
        <f>SUM(AC18:AN18)</f>
        <v/>
      </c>
    </row>
    <row r="19">
      <c r="B19" t="inlineStr">
        <is>
          <t>ELECTRIC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36.38</v>
      </c>
      <c r="K19" t="n">
        <v>36.47</v>
      </c>
      <c r="L19" t="n">
        <v>34.52</v>
      </c>
      <c r="M19" t="n">
        <v>32.21</v>
      </c>
      <c r="N19" t="n">
        <v>45.6</v>
      </c>
      <c r="O19">
        <f>SUM(C19:N19)</f>
        <v/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AA19" t="n">
        <v>806.46</v>
      </c>
      <c r="AB19">
        <f>SUM(P19:AA19)</f>
        <v/>
      </c>
      <c r="AC19" t="n">
        <v>59.04</v>
      </c>
      <c r="AD19" t="n">
        <v>57.47</v>
      </c>
      <c r="AE19" t="n">
        <v>49.15</v>
      </c>
      <c r="AF19" t="n">
        <v>54.52</v>
      </c>
      <c r="AG19" t="n">
        <v>49.73</v>
      </c>
      <c r="AH19" t="n">
        <v>57.54</v>
      </c>
      <c r="AI19" t="n">
        <v>109</v>
      </c>
      <c r="AJ19" t="n">
        <v>123.54</v>
      </c>
      <c r="AK19" t="n">
        <v>106.93</v>
      </c>
      <c r="AL19" t="n">
        <v>62.88</v>
      </c>
      <c r="AM19" t="n">
        <v>46.47</v>
      </c>
      <c r="AN19" t="n">
        <v>52.88</v>
      </c>
      <c r="AO19">
        <f>SUM(AC19:AN19)</f>
        <v/>
      </c>
    </row>
    <row r="20">
      <c r="B20" t="inlineStr">
        <is>
          <t>INTERNET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>
        <f>SUM(C20:N20)</f>
        <v/>
      </c>
      <c r="P20" t="n">
        <v>50</v>
      </c>
      <c r="Q20" t="n">
        <v>50</v>
      </c>
      <c r="R20" t="n">
        <v>50</v>
      </c>
      <c r="S20" t="n">
        <v>50</v>
      </c>
      <c r="T20" t="n">
        <v>50</v>
      </c>
      <c r="U20" t="n">
        <v>50</v>
      </c>
      <c r="V20" t="n">
        <v>50</v>
      </c>
      <c r="W20" t="n">
        <v>50</v>
      </c>
      <c r="X20" t="n">
        <v>50</v>
      </c>
      <c r="Y20" t="n">
        <v>50</v>
      </c>
      <c r="Z20" t="n">
        <v>50</v>
      </c>
      <c r="AA20" t="n">
        <v>50</v>
      </c>
      <c r="AB20">
        <f>SUM(P20:AA20)</f>
        <v/>
      </c>
      <c r="AC20" t="n">
        <v>45</v>
      </c>
      <c r="AD20" t="n">
        <v>45</v>
      </c>
      <c r="AE20" t="n">
        <v>45</v>
      </c>
      <c r="AF20" t="n">
        <v>45</v>
      </c>
      <c r="AG20" t="n">
        <v>50</v>
      </c>
      <c r="AH20" t="n">
        <v>50</v>
      </c>
      <c r="AI20" t="n">
        <v>50</v>
      </c>
      <c r="AJ20" t="n">
        <v>50</v>
      </c>
      <c r="AK20" t="n">
        <v>50</v>
      </c>
      <c r="AL20" t="n">
        <v>50</v>
      </c>
      <c r="AM20" t="n">
        <v>50</v>
      </c>
      <c r="AN20" t="n">
        <v>0</v>
      </c>
      <c r="AO20">
        <f>SUM(AC20:AN20)</f>
        <v/>
      </c>
    </row>
    <row r="21">
      <c r="B21" t="inlineStr">
        <is>
          <t>CORRESPONDENCE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>
        <f>SUM(C21:N21)</f>
        <v/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>
        <f>SUM(P21:AA21)</f>
        <v/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>
        <f>SUM(AC21:AN21)</f>
        <v/>
      </c>
    </row>
    <row r="22">
      <c r="B22" t="inlineStr">
        <is>
          <t>INTERIOR DESIGNER/ ORGANIZER FEES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720</v>
      </c>
      <c r="L22" t="n">
        <v>690</v>
      </c>
      <c r="M22" t="n">
        <v>240</v>
      </c>
      <c r="N22" t="n">
        <v>240</v>
      </c>
      <c r="O22">
        <f>SUM(C22:N22)</f>
        <v/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AB22">
        <f>SUM(P22:AA22)</f>
        <v/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O22">
        <f>SUM(AC22:AN22)</f>
        <v/>
      </c>
    </row>
    <row r="23">
      <c r="B23" t="inlineStr">
        <is>
          <t>TRAVEL EXPENSES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>
        <f>SUM(C23:N23)</f>
        <v/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>
        <f>SUM(P23:AA23)</f>
        <v/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>
        <f>SUM(AC23:AN23)</f>
        <v/>
      </c>
    </row>
    <row r="24">
      <c r="B24" t="inlineStr">
        <is>
          <t>EQUIPMENT/APPLIANCE PURCHASES</t>
        </is>
      </c>
      <c r="C24" t="n">
        <v>0</v>
      </c>
      <c r="D24" t="n">
        <v>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220</v>
      </c>
      <c r="O24">
        <f>SUM(C24:N24)</f>
        <v/>
      </c>
      <c r="P24" t="n">
        <v>63.42</v>
      </c>
      <c r="Q24" t="n">
        <v>281.27</v>
      </c>
      <c r="R24" t="n">
        <v>60.49</v>
      </c>
      <c r="S24" t="n">
        <v>49.49</v>
      </c>
      <c r="T24" t="n">
        <v>76.98</v>
      </c>
      <c r="U24" t="n">
        <v>98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B24">
        <f>SUM(P24:AA24)</f>
        <v/>
      </c>
      <c r="AC24" t="n">
        <v>0</v>
      </c>
      <c r="AD24" t="n">
        <v>0</v>
      </c>
      <c r="AE24" t="n">
        <v>73.23999999999999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82.27</v>
      </c>
      <c r="AL24" t="n">
        <v>0</v>
      </c>
      <c r="AM24" t="n">
        <v>0</v>
      </c>
      <c r="AN24" t="n">
        <v>0</v>
      </c>
      <c r="AO24">
        <f>SUM(AC24:AN24)</f>
        <v/>
      </c>
    </row>
    <row r="25">
      <c r="B25" t="inlineStr">
        <is>
          <t>EQUIPMENT/APPLIANCE RENTAL FEES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>
        <f>SUM(C25:N25)</f>
        <v/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>
        <f>SUM(P25:AA25)</f>
        <v/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>
        <f>SUM(AC25:AN25)</f>
        <v/>
      </c>
    </row>
    <row r="26">
      <c r="B26" t="inlineStr">
        <is>
          <t>LAND TAX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>
        <f>SUM(C26:N26)</f>
        <v/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>
        <f>SUM(P26:AA26)</f>
        <v/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>
        <f>SUM(AC26:AN26)</f>
        <v/>
      </c>
    </row>
    <row r="27">
      <c r="B27" t="inlineStr">
        <is>
          <t>BORROWING EXPENSES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>
        <f>SUM(C27:N27)</f>
        <v/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>
        <f>SUM(P27:AA27)</f>
        <v/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>
        <f>SUM(AC27:AN27)</f>
        <v/>
      </c>
    </row>
    <row r="28">
      <c r="B28" t="inlineStr">
        <is>
          <t>LOANS INTEREST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>
        <f>SUM(C28:N28)</f>
        <v/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>
        <f>SUM(P28:AA28)</f>
        <v/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>
        <f>SUM(AC28:AN28)</f>
        <v/>
      </c>
    </row>
    <row r="29">
      <c r="B29" t="inlineStr">
        <is>
          <t>TRAVEL EXPENSES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>
        <f>SUM(C29:N29)</f>
        <v/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>
        <f>SUM(P29:AA29)</f>
        <v/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>
        <f>SUM(AC29:AN29)</f>
        <v/>
      </c>
    </row>
    <row r="30">
      <c r="B30" t="inlineStr">
        <is>
          <t>YARD STARTUP CONSTRUCTION</t>
        </is>
      </c>
      <c r="C30" t="n">
        <v>0</v>
      </c>
      <c r="D30" t="n">
        <v>0</v>
      </c>
      <c r="E30" t="n">
        <v>0</v>
      </c>
      <c r="F30" t="n">
        <v>210.36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11713.94</v>
      </c>
      <c r="M30" t="n">
        <v>35.64</v>
      </c>
      <c r="N30" t="n">
        <v>0</v>
      </c>
      <c r="O30">
        <f>SUM(C30:N30)</f>
        <v/>
      </c>
      <c r="P30" t="n">
        <v>0</v>
      </c>
      <c r="Q30" t="n">
        <v>0</v>
      </c>
      <c r="R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AA30" t="n">
        <v>0</v>
      </c>
      <c r="AB30">
        <f>SUM(P30:AA30)</f>
        <v/>
      </c>
      <c r="AC30" t="n">
        <v>0</v>
      </c>
      <c r="AD30" t="n">
        <v>0</v>
      </c>
      <c r="AE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N30" t="n">
        <v>0</v>
      </c>
      <c r="AO30">
        <f>SUM(AC30:AN30)</f>
        <v/>
      </c>
    </row>
    <row r="31">
      <c r="B31" t="inlineStr">
        <is>
          <t>YARD EQUIPMENT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1440.43</v>
      </c>
      <c r="L31" t="n">
        <v>142.99</v>
      </c>
      <c r="M31" t="n">
        <v>0</v>
      </c>
      <c r="N31" t="n">
        <v>0</v>
      </c>
      <c r="O31">
        <f>SUM(C31:N31)</f>
        <v/>
      </c>
      <c r="P31" t="n">
        <v>0</v>
      </c>
      <c r="Q31" t="n">
        <v>0</v>
      </c>
      <c r="R31" t="n">
        <v>0</v>
      </c>
      <c r="S31" t="n">
        <v>328.9</v>
      </c>
      <c r="T31" t="n">
        <v>49.96</v>
      </c>
      <c r="U31" t="n">
        <v>54.17</v>
      </c>
      <c r="V31" t="n">
        <v>75.39</v>
      </c>
      <c r="W31" t="n">
        <v>72.59</v>
      </c>
      <c r="X31" t="n">
        <v>19.79</v>
      </c>
      <c r="Y31" t="n">
        <v>89.15000000000001</v>
      </c>
      <c r="Z31" t="n">
        <v>106.99</v>
      </c>
      <c r="AA31" t="n">
        <v>152.9</v>
      </c>
      <c r="AB31">
        <f>SUM(P31:AA31)</f>
        <v/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>
        <f>SUM(AC31:AN31)</f>
        <v/>
      </c>
    </row>
    <row r="32">
      <c r="B32" t="inlineStr">
        <is>
          <t>YARD FURNITURE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2225</v>
      </c>
      <c r="M32" t="n">
        <v>13</v>
      </c>
      <c r="N32" t="n">
        <v>215</v>
      </c>
      <c r="O32">
        <f>SUM(C32:N32)</f>
        <v/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AB32">
        <f>SUM(P32:AA32)</f>
        <v/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O32">
        <f>SUM(AC32:AN32)</f>
        <v/>
      </c>
    </row>
    <row r="33">
      <c r="B33" t="inlineStr">
        <is>
          <t>YARD SERVICE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>
        <f>SUM(C33:N33)</f>
        <v/>
      </c>
      <c r="P33" t="n">
        <v>0</v>
      </c>
      <c r="Q33" t="n">
        <v>0</v>
      </c>
      <c r="R33" t="n">
        <v>0</v>
      </c>
      <c r="S33" t="n">
        <v>318.47</v>
      </c>
      <c r="T33" t="n">
        <v>0</v>
      </c>
      <c r="U33" t="n">
        <v>0</v>
      </c>
      <c r="V33" t="n">
        <v>0</v>
      </c>
      <c r="W33" t="n">
        <v>236.55</v>
      </c>
      <c r="X33" t="n">
        <v>0</v>
      </c>
      <c r="Y33" t="n">
        <v>89.87</v>
      </c>
      <c r="Z33" t="n">
        <v>0</v>
      </c>
      <c r="AA33" t="n">
        <v>0</v>
      </c>
      <c r="AB33">
        <f>SUM(P33:AA33)</f>
        <v/>
      </c>
      <c r="AC33" t="n">
        <v>0</v>
      </c>
      <c r="AD33" t="n">
        <v>0</v>
      </c>
      <c r="AE33" t="n">
        <v>60.95</v>
      </c>
      <c r="AF33" t="n">
        <v>60.95</v>
      </c>
      <c r="AG33" t="n">
        <v>445.2</v>
      </c>
      <c r="AH33" t="n">
        <v>60.95</v>
      </c>
      <c r="AI33" t="n">
        <v>60.95</v>
      </c>
      <c r="AJ33" t="n">
        <v>60.95</v>
      </c>
      <c r="AK33" t="n">
        <v>249</v>
      </c>
      <c r="AL33" t="n">
        <v>60.95</v>
      </c>
      <c r="AM33" t="n">
        <v>0</v>
      </c>
      <c r="AN33" t="n">
        <v>0</v>
      </c>
      <c r="AO33">
        <f>SUM(AC33:AN33)</f>
        <v/>
      </c>
    </row>
    <row r="34">
      <c r="B34" t="inlineStr">
        <is>
          <t>SUPPLIES (Grove Collaborative)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>
        <f>SUM(C34:N34)</f>
        <v/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>
        <f>SUM(P34:AA34)</f>
        <v/>
      </c>
      <c r="AC34" t="n">
        <v>110.8</v>
      </c>
      <c r="AD34" t="n">
        <v>0</v>
      </c>
      <c r="AE34" t="n">
        <v>92.95999999999999</v>
      </c>
      <c r="AF34" t="n">
        <v>105.25</v>
      </c>
      <c r="AG34" t="n">
        <v>0</v>
      </c>
      <c r="AH34" t="n">
        <v>68.73</v>
      </c>
      <c r="AI34" t="n">
        <v>128.37</v>
      </c>
      <c r="AJ34" t="n">
        <v>176.17</v>
      </c>
      <c r="AK34" t="n">
        <v>108.93</v>
      </c>
      <c r="AL34" t="n">
        <v>0</v>
      </c>
      <c r="AM34" t="n">
        <v>0</v>
      </c>
      <c r="AN34" t="n">
        <v>0</v>
      </c>
      <c r="AO34">
        <f>SUM(AC34:AN34)</f>
        <v/>
      </c>
    </row>
    <row r="35">
      <c r="B35" t="inlineStr">
        <is>
          <t>TOTAL EXPENSES</t>
        </is>
      </c>
      <c r="C35">
        <f>SUM(C10:C34)</f>
        <v/>
      </c>
      <c r="D35">
        <f>SUM(D10:D34)</f>
        <v/>
      </c>
      <c r="E35">
        <f>SUM(E10:E34)</f>
        <v/>
      </c>
      <c r="F35">
        <f>SUM(F10:F34)</f>
        <v/>
      </c>
      <c r="G35">
        <f>SUM(G10:G34)</f>
        <v/>
      </c>
      <c r="H35">
        <f>SUM(H10:H34)</f>
        <v/>
      </c>
      <c r="I35">
        <f>SUM(I10:I34)</f>
        <v/>
      </c>
      <c r="J35">
        <f>SUM(J10:J34)</f>
        <v/>
      </c>
      <c r="K35">
        <f>SUM(K10:K34)</f>
        <v/>
      </c>
      <c r="L35">
        <f>SUM(L10:L34)</f>
        <v/>
      </c>
      <c r="M35">
        <f>SUM(M10:M34)</f>
        <v/>
      </c>
      <c r="N35">
        <f>SUM(N10:N34)</f>
        <v/>
      </c>
      <c r="O35">
        <f>SUM(C35:N35)</f>
        <v/>
      </c>
      <c r="P35">
        <f>SUM(P10:P34)</f>
        <v/>
      </c>
      <c r="Q35">
        <f>SUM(Q10:Q34)</f>
        <v/>
      </c>
      <c r="R35">
        <f>SUM(R10:R34)</f>
        <v/>
      </c>
      <c r="S35">
        <f>SUM(S10:S34)</f>
        <v/>
      </c>
      <c r="T35">
        <f>SUM(T10:T34)</f>
        <v/>
      </c>
      <c r="U35">
        <f>SUM(U10:U34)</f>
        <v/>
      </c>
      <c r="V35">
        <f>SUM(V10:V34)</f>
        <v/>
      </c>
      <c r="W35">
        <f>SUM(W10:W34)</f>
        <v/>
      </c>
      <c r="X35">
        <f>SUM(X10:X34)</f>
        <v/>
      </c>
      <c r="Y35">
        <f>SUM(Y10:Y34)</f>
        <v/>
      </c>
      <c r="Z35">
        <f>SUM(Z10:Z34)</f>
        <v/>
      </c>
      <c r="AA35">
        <f>SUM(AA10:AA34)</f>
        <v/>
      </c>
      <c r="AB35">
        <f>SUM(P35:AA35)</f>
        <v/>
      </c>
      <c r="AC35">
        <f>SUM(AC10:AC34)</f>
        <v/>
      </c>
      <c r="AD35">
        <f>SUM(AD10:AD34)</f>
        <v/>
      </c>
      <c r="AE35">
        <f>SUM(AE10:AE34)</f>
        <v/>
      </c>
      <c r="AF35">
        <f>SUM(AF10:AF34)</f>
        <v/>
      </c>
      <c r="AG35">
        <f>SUM(AG10:AG34)</f>
        <v/>
      </c>
      <c r="AH35">
        <f>SUM(AH10:AH34)</f>
        <v/>
      </c>
      <c r="AI35">
        <f>SUM(AI10:AI34)</f>
        <v/>
      </c>
      <c r="AJ35">
        <f>SUM(AJ10:AJ34)</f>
        <v/>
      </c>
      <c r="AK35">
        <f>SUM(AK10:AK34)</f>
        <v/>
      </c>
      <c r="AL35">
        <f>SUM(AL10:AL34)</f>
        <v/>
      </c>
      <c r="AM35">
        <f>SUM(AM10:AM34)</f>
        <v/>
      </c>
      <c r="AN35">
        <f>SUM(AN10:AN34)</f>
        <v/>
      </c>
      <c r="AO35">
        <f>SUM(AC35:AN35)</f>
        <v/>
      </c>
    </row>
    <row r="36"/>
    <row r="37">
      <c r="B37" t="inlineStr">
        <is>
          <t>YEAR-TO-DATE INCOME LESS EXPENSES</t>
        </is>
      </c>
      <c r="C37">
        <f>C6-C35</f>
        <v/>
      </c>
      <c r="D37">
        <f>D6-D35</f>
        <v/>
      </c>
      <c r="E37">
        <f>E6-E35</f>
        <v/>
      </c>
      <c r="F37">
        <f>F6-F35</f>
        <v/>
      </c>
      <c r="G37">
        <f>G6-G35</f>
        <v/>
      </c>
      <c r="H37">
        <f>H6-H35</f>
        <v/>
      </c>
      <c r="I37">
        <f>I6-I35</f>
        <v/>
      </c>
      <c r="J37">
        <f>J6-J35</f>
        <v/>
      </c>
      <c r="K37">
        <f>K6-K35</f>
        <v/>
      </c>
      <c r="L37">
        <f>L6-L35</f>
        <v/>
      </c>
      <c r="M37">
        <f>M6-M35</f>
        <v/>
      </c>
      <c r="N37">
        <f>N6-N35</f>
        <v/>
      </c>
      <c r="O37">
        <f>O6-O35</f>
        <v/>
      </c>
      <c r="P37">
        <f>P6-P35</f>
        <v/>
      </c>
      <c r="Q37">
        <f>Q6-Q35</f>
        <v/>
      </c>
      <c r="R37">
        <f>R6-R35</f>
        <v/>
      </c>
      <c r="S37">
        <f>S6-S35</f>
        <v/>
      </c>
      <c r="T37">
        <f>T6-T35</f>
        <v/>
      </c>
      <c r="U37">
        <f>U6-U35</f>
        <v/>
      </c>
      <c r="V37">
        <f>V6-V35</f>
        <v/>
      </c>
      <c r="W37">
        <f>W6-W35</f>
        <v/>
      </c>
      <c r="X37">
        <f>X6-X35</f>
        <v/>
      </c>
      <c r="Y37">
        <f>Y6-Y35</f>
        <v/>
      </c>
      <c r="Z37">
        <f>Z6-Z35</f>
        <v/>
      </c>
      <c r="AA37">
        <f>AA6-AA35</f>
        <v/>
      </c>
      <c r="AB37">
        <f>AB6-AB35</f>
        <v/>
      </c>
      <c r="AC37">
        <f>AC6-AC35</f>
        <v/>
      </c>
      <c r="AD37">
        <f>AD6-AD35</f>
        <v/>
      </c>
      <c r="AE37">
        <f>AE6-AE35</f>
        <v/>
      </c>
      <c r="AF37">
        <f>AF6-AF35</f>
        <v/>
      </c>
      <c r="AG37">
        <f>AG6-AG35</f>
        <v/>
      </c>
      <c r="AH37">
        <f>AH6-AH35</f>
        <v/>
      </c>
      <c r="AI37">
        <f>AI6-AI35</f>
        <v/>
      </c>
      <c r="AJ37">
        <f>AJ6-AJ35</f>
        <v/>
      </c>
      <c r="AK37">
        <f>AK6-AK35</f>
        <v/>
      </c>
      <c r="AL37">
        <f>AL6-AL35</f>
        <v/>
      </c>
      <c r="AM37">
        <f>AM6-AM35</f>
        <v/>
      </c>
      <c r="AN37">
        <f>AN6-AN35</f>
        <v/>
      </c>
      <c r="AO37">
        <f>AO6-AO35</f>
        <v/>
      </c>
    </row>
    <row r="38"/>
    <row r="39" ht="64" customHeight="1">
      <c r="A39" s="2" t="inlineStr">
        <is>
          <t>2025: platform STR net on RENTAL INCOME (Jun–Nov). TruGreen/Alsip on YARD SERVICE (same as 2024). Grove Collaborative on SUPPLIES (≠ 827 N Grove the house). INSURANCE LOCK 2026-09-20: Travelers was prior 524 home; Geico was the cars. Only State Farm HOME share on this INSURANCE line (50/50 U1/U2). Auto + Geico $540.89 credit personal, not EPGC. Travelers leftover Jan 2025 is 524 home ($0 on cards/Monarch). Lemonade is 216 Oak Park (not 524, not 827 Grove). ELECTRIC yellow — confirm ComEd with Megan. Not tax advice.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6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B1" s="1" t="inlineStr">
        <is>
          <t>PROPERTY ADDRESS</t>
        </is>
      </c>
      <c r="C1" s="1" t="inlineStr">
        <is>
          <t>216 N. Oak Park Avenue #1Z</t>
        </is>
      </c>
    </row>
    <row r="2">
      <c r="B2" t="inlineStr">
        <is>
          <t>INCOME</t>
        </is>
      </c>
      <c r="C2" t="inlineStr">
        <is>
          <t>JAN</t>
        </is>
      </c>
      <c r="D2" t="inlineStr">
        <is>
          <t>FEB</t>
        </is>
      </c>
      <c r="E2" t="inlineStr">
        <is>
          <t>MAR</t>
        </is>
      </c>
      <c r="F2" t="inlineStr">
        <is>
          <t>APR</t>
        </is>
      </c>
      <c r="G2" t="inlineStr">
        <is>
          <t>MAY</t>
        </is>
      </c>
      <c r="H2" t="inlineStr">
        <is>
          <t>JUN</t>
        </is>
      </c>
      <c r="I2" t="inlineStr">
        <is>
          <t>JUL</t>
        </is>
      </c>
      <c r="J2" t="inlineStr">
        <is>
          <t>AUG</t>
        </is>
      </c>
      <c r="K2" t="inlineStr">
        <is>
          <t>SEPT</t>
        </is>
      </c>
      <c r="L2" t="inlineStr">
        <is>
          <t>OCT</t>
        </is>
      </c>
      <c r="M2" t="inlineStr">
        <is>
          <t>NOV</t>
        </is>
      </c>
      <c r="N2" t="inlineStr">
        <is>
          <t>DEC</t>
        </is>
      </c>
      <c r="O2" t="inlineStr">
        <is>
          <t>2023 YR TOTAL</t>
        </is>
      </c>
      <c r="P2" t="inlineStr">
        <is>
          <t>JAN</t>
        </is>
      </c>
      <c r="Q2" t="inlineStr">
        <is>
          <t>FEB</t>
        </is>
      </c>
      <c r="R2" t="inlineStr">
        <is>
          <t>MAR</t>
        </is>
      </c>
      <c r="S2" t="inlineStr">
        <is>
          <t>APR</t>
        </is>
      </c>
      <c r="T2" t="inlineStr">
        <is>
          <t>MAY</t>
        </is>
      </c>
      <c r="U2" t="inlineStr">
        <is>
          <t>JUN</t>
        </is>
      </c>
      <c r="V2" t="inlineStr">
        <is>
          <t>JUL</t>
        </is>
      </c>
      <c r="W2" t="inlineStr">
        <is>
          <t>AUG</t>
        </is>
      </c>
      <c r="X2" t="inlineStr">
        <is>
          <t>SEPT</t>
        </is>
      </c>
      <c r="Y2" t="inlineStr">
        <is>
          <t>OCT</t>
        </is>
      </c>
      <c r="Z2" t="inlineStr">
        <is>
          <t>NOV</t>
        </is>
      </c>
      <c r="AA2" t="inlineStr">
        <is>
          <t>DEC</t>
        </is>
      </c>
      <c r="AB2" t="inlineStr">
        <is>
          <t>2024 YR TOTAL</t>
        </is>
      </c>
      <c r="AC2" t="inlineStr">
        <is>
          <t>JAN</t>
        </is>
      </c>
      <c r="AD2" t="inlineStr">
        <is>
          <t>FEB</t>
        </is>
      </c>
      <c r="AE2" t="inlineStr">
        <is>
          <t>MAR</t>
        </is>
      </c>
      <c r="AF2" t="inlineStr">
        <is>
          <t>APR</t>
        </is>
      </c>
      <c r="AG2" t="inlineStr">
        <is>
          <t>MAY</t>
        </is>
      </c>
      <c r="AH2" t="inlineStr">
        <is>
          <t>JUN</t>
        </is>
      </c>
      <c r="AI2" t="inlineStr">
        <is>
          <t>JUL</t>
        </is>
      </c>
      <c r="AJ2" t="inlineStr">
        <is>
          <t>AUG</t>
        </is>
      </c>
      <c r="AK2" t="inlineStr">
        <is>
          <t>SEPT</t>
        </is>
      </c>
      <c r="AL2" t="inlineStr">
        <is>
          <t>OCT</t>
        </is>
      </c>
      <c r="AM2" t="inlineStr">
        <is>
          <t>NOV</t>
        </is>
      </c>
      <c r="AN2" t="inlineStr">
        <is>
          <t>DEC</t>
        </is>
      </c>
      <c r="AO2" t="inlineStr">
        <is>
          <t>2025 YR TOTAL</t>
        </is>
      </c>
    </row>
    <row r="3">
      <c r="B3" t="inlineStr">
        <is>
          <t>MULTI-PROPERTY INCOME OVERVIEW</t>
        </is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>
        <f>SUM(P4:AA4)</f>
        <v/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>
        <f>SUM(AC4:AN4)</f>
        <v/>
      </c>
    </row>
    <row r="5">
      <c r="B5" t="inlineStr">
        <is>
          <t>RENTAL INCOME</t>
        </is>
      </c>
      <c r="L5" t="n">
        <v>1775</v>
      </c>
      <c r="M5" t="n">
        <v>1775</v>
      </c>
      <c r="N5" t="n">
        <v>1775</v>
      </c>
      <c r="O5">
        <f>SUM(C5:N5)</f>
        <v/>
      </c>
      <c r="P5" t="n">
        <v>1775</v>
      </c>
      <c r="Q5" t="n">
        <v>1775</v>
      </c>
      <c r="R5" t="n">
        <v>1775</v>
      </c>
      <c r="S5" t="n">
        <v>1775</v>
      </c>
      <c r="T5" t="n">
        <v>1775</v>
      </c>
      <c r="U5" t="n">
        <v>1775</v>
      </c>
      <c r="V5" t="n">
        <v>1775</v>
      </c>
      <c r="W5" t="n">
        <v>1775</v>
      </c>
      <c r="X5" t="n">
        <v>1775</v>
      </c>
      <c r="Y5" t="n">
        <v>1950</v>
      </c>
      <c r="Z5" t="n">
        <v>1950</v>
      </c>
      <c r="AA5" t="n">
        <v>1950</v>
      </c>
      <c r="AB5">
        <f>SUM(P5:AA5)</f>
        <v/>
      </c>
      <c r="AC5" t="n">
        <v>1950</v>
      </c>
      <c r="AD5" t="n">
        <v>1950</v>
      </c>
      <c r="AE5" t="n">
        <v>1950</v>
      </c>
      <c r="AF5" t="n">
        <v>1950</v>
      </c>
      <c r="AG5" t="n">
        <v>1950</v>
      </c>
      <c r="AH5" t="n">
        <v>1950</v>
      </c>
      <c r="AI5" t="n">
        <v>1450</v>
      </c>
      <c r="AJ5" t="n">
        <v>2450</v>
      </c>
      <c r="AK5" t="n">
        <v>0</v>
      </c>
      <c r="AL5" t="n">
        <v>0</v>
      </c>
      <c r="AM5" t="n">
        <v>0</v>
      </c>
      <c r="AN5" t="n">
        <v>3900</v>
      </c>
      <c r="AO5">
        <f>SUM(AC5:AN5)</f>
        <v/>
      </c>
    </row>
    <row r="6">
      <c r="B6" t="inlineStr">
        <is>
          <t>GROSS RENTAL INCOME</t>
        </is>
      </c>
      <c r="C6">
        <f>SUM(C4:C5)</f>
        <v/>
      </c>
      <c r="D6">
        <f>SUM(D4:D5)</f>
        <v/>
      </c>
      <c r="E6">
        <f>SUM(E4:E5)</f>
        <v/>
      </c>
      <c r="F6">
        <f>SUM(F4:F5)</f>
        <v/>
      </c>
      <c r="G6">
        <f>SUM(G4:G5)</f>
        <v/>
      </c>
      <c r="H6">
        <f>SUM(H4:H5)</f>
        <v/>
      </c>
      <c r="I6">
        <f>SUM(I4:I5)</f>
        <v/>
      </c>
      <c r="J6">
        <f>SUM(J4:J5)</f>
        <v/>
      </c>
      <c r="K6">
        <f>SUM(K4:K5)</f>
        <v/>
      </c>
      <c r="L6">
        <f>SUM(L4:L5)</f>
        <v/>
      </c>
      <c r="M6">
        <f>SUM(M4:M5)</f>
        <v/>
      </c>
      <c r="N6">
        <f>SUM(N4:N5)</f>
        <v/>
      </c>
      <c r="O6">
        <f>SUM(C6:N6)</f>
        <v/>
      </c>
      <c r="P6">
        <f>SUM(P4:P5)</f>
        <v/>
      </c>
      <c r="Q6">
        <f>SUM(Q4:Q5)</f>
        <v/>
      </c>
      <c r="R6">
        <f>SUM(R4:R5)</f>
        <v/>
      </c>
      <c r="S6">
        <f>SUM(S4:S5)</f>
        <v/>
      </c>
      <c r="T6">
        <f>SUM(T4:T5)</f>
        <v/>
      </c>
      <c r="U6">
        <f>SUM(U4:U5)</f>
        <v/>
      </c>
      <c r="V6">
        <f>SUM(V4:V5)</f>
        <v/>
      </c>
      <c r="W6">
        <f>SUM(W4:W5)</f>
        <v/>
      </c>
      <c r="X6">
        <f>SUM(X4:X5)</f>
        <v/>
      </c>
      <c r="Y6">
        <f>SUM(Y4:Y5)</f>
        <v/>
      </c>
      <c r="Z6">
        <f>SUM(Z4:Z5)</f>
        <v/>
      </c>
      <c r="AA6">
        <f>SUM(AA4:AA5)</f>
        <v/>
      </c>
      <c r="AB6">
        <f>SUM(P6:AA6)</f>
        <v/>
      </c>
      <c r="AC6">
        <f>SUM(AC4:AC5)</f>
        <v/>
      </c>
      <c r="AD6">
        <f>SUM(AD4:AD5)</f>
        <v/>
      </c>
      <c r="AE6">
        <f>SUM(AE4:AE5)</f>
        <v/>
      </c>
      <c r="AF6">
        <f>SUM(AF4:AF5)</f>
        <v/>
      </c>
      <c r="AG6">
        <f>SUM(AG4:AG5)</f>
        <v/>
      </c>
      <c r="AH6">
        <f>SUM(AH4:AH5)</f>
        <v/>
      </c>
      <c r="AI6">
        <f>SUM(AI4:AI5)</f>
        <v/>
      </c>
      <c r="AJ6">
        <f>SUM(AJ4:AJ5)</f>
        <v/>
      </c>
      <c r="AK6">
        <f>SUM(AK4:AK5)</f>
        <v/>
      </c>
      <c r="AL6">
        <f>SUM(AL4:AL5)</f>
        <v/>
      </c>
      <c r="AM6">
        <f>SUM(AM4:AM5)</f>
        <v/>
      </c>
      <c r="AN6">
        <f>SUM(AN4:AN5)</f>
        <v/>
      </c>
      <c r="AO6">
        <f>SUM(AC6:AN6)</f>
        <v/>
      </c>
    </row>
    <row r="8">
      <c r="B8" t="inlineStr">
        <is>
          <t>EXPENSES</t>
        </is>
      </c>
      <c r="C8" t="inlineStr">
        <is>
          <t>JAN</t>
        </is>
      </c>
      <c r="D8" t="inlineStr">
        <is>
          <t>FEB</t>
        </is>
      </c>
      <c r="E8" t="inlineStr">
        <is>
          <t>MAR</t>
        </is>
      </c>
      <c r="F8" t="inlineStr">
        <is>
          <t>APR</t>
        </is>
      </c>
      <c r="G8" t="inlineStr">
        <is>
          <t>MAY</t>
        </is>
      </c>
      <c r="H8" t="inlineStr">
        <is>
          <t>JUN</t>
        </is>
      </c>
      <c r="I8" t="inlineStr">
        <is>
          <t>JUL</t>
        </is>
      </c>
      <c r="J8" t="inlineStr">
        <is>
          <t>AUG</t>
        </is>
      </c>
      <c r="K8" t="inlineStr">
        <is>
          <t>SEPT</t>
        </is>
      </c>
      <c r="L8" t="inlineStr">
        <is>
          <t>OCT</t>
        </is>
      </c>
      <c r="M8" t="inlineStr">
        <is>
          <t>NOV</t>
        </is>
      </c>
      <c r="N8" t="inlineStr">
        <is>
          <t>DEC</t>
        </is>
      </c>
      <c r="O8" t="inlineStr">
        <is>
          <t>YR TOTAL</t>
        </is>
      </c>
      <c r="P8" t="inlineStr">
        <is>
          <t>JAN</t>
        </is>
      </c>
      <c r="Q8" t="inlineStr">
        <is>
          <t>FEB</t>
        </is>
      </c>
      <c r="R8" t="inlineStr">
        <is>
          <t>MAR</t>
        </is>
      </c>
      <c r="S8" t="inlineStr">
        <is>
          <t>APR</t>
        </is>
      </c>
      <c r="T8" t="inlineStr">
        <is>
          <t>MAY</t>
        </is>
      </c>
      <c r="U8" t="inlineStr">
        <is>
          <t>JUN</t>
        </is>
      </c>
      <c r="V8" t="inlineStr">
        <is>
          <t>JUL</t>
        </is>
      </c>
      <c r="W8" t="inlineStr">
        <is>
          <t>AUG</t>
        </is>
      </c>
      <c r="X8" t="inlineStr">
        <is>
          <t>SEPT</t>
        </is>
      </c>
      <c r="Y8" t="inlineStr">
        <is>
          <t>OCT</t>
        </is>
      </c>
      <c r="Z8" t="inlineStr">
        <is>
          <t>NOV</t>
        </is>
      </c>
      <c r="AA8" t="inlineStr">
        <is>
          <t>DEC</t>
        </is>
      </c>
      <c r="AB8" t="inlineStr">
        <is>
          <t>YR TOTAL</t>
        </is>
      </c>
      <c r="AC8" t="inlineStr">
        <is>
          <t>JAN</t>
        </is>
      </c>
      <c r="AD8" t="inlineStr">
        <is>
          <t>FEB</t>
        </is>
      </c>
      <c r="AE8" t="inlineStr">
        <is>
          <t>MAR</t>
        </is>
      </c>
      <c r="AF8" t="inlineStr">
        <is>
          <t>APR</t>
        </is>
      </c>
      <c r="AG8" t="inlineStr">
        <is>
          <t>MAY</t>
        </is>
      </c>
      <c r="AH8" t="inlineStr">
        <is>
          <t>JUN</t>
        </is>
      </c>
      <c r="AI8" t="inlineStr">
        <is>
          <t>JUL</t>
        </is>
      </c>
      <c r="AJ8" t="inlineStr">
        <is>
          <t>AUG</t>
        </is>
      </c>
      <c r="AK8" t="inlineStr">
        <is>
          <t>SEPT</t>
        </is>
      </c>
      <c r="AL8" t="inlineStr">
        <is>
          <t>OCT</t>
        </is>
      </c>
      <c r="AM8" t="inlineStr">
        <is>
          <t>NOV</t>
        </is>
      </c>
      <c r="AN8" t="inlineStr">
        <is>
          <t>DEC</t>
        </is>
      </c>
      <c r="AO8" t="inlineStr">
        <is>
          <t>YR TOTAL</t>
        </is>
      </c>
    </row>
    <row r="9">
      <c r="B9">
        <f>'[1]Property Management Overview'!B10</f>
        <v/>
      </c>
    </row>
    <row r="10">
      <c r="B10" t="inlineStr">
        <is>
          <t>MULTI-PROPERTY EXPENSES OVERVIEW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>
        <f>SUM(C10:N10)</f>
        <v/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>
        <f>SUM(P10:AA10)</f>
        <v/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>
        <f>SUM(AC10:AN10)</f>
        <v/>
      </c>
    </row>
    <row r="11">
      <c r="B11" t="inlineStr">
        <is>
          <t>MARKETING / ADVERTISING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>
        <f>SUM(C11:N11)</f>
        <v/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>
        <f>SUM(P11:AA11)</f>
        <v/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>
        <f>SUM(AC11:AN11)</f>
        <v/>
      </c>
    </row>
    <row r="12">
      <c r="B12" t="inlineStr">
        <is>
          <t>SERVICE FEES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>
        <f>SUM(C12:N12)</f>
        <v/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>
        <f>SUM(P12:AA12)</f>
        <v/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>
        <f>SUM(AC12:AN12)</f>
        <v/>
      </c>
    </row>
    <row r="13">
      <c r="B13" t="inlineStr">
        <is>
          <t>REMITTED TAX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>
        <f>SUM(C13:N13)</f>
        <v/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>
        <f>SUM(P13:AA13)</f>
        <v/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>
        <f>SUM(AC13:AN13)</f>
        <v/>
      </c>
    </row>
    <row r="14">
      <c r="B14" t="inlineStr">
        <is>
          <t>RENTER'S INSURANCE</t>
        </is>
      </c>
      <c r="C14" t="n">
        <v>26.75</v>
      </c>
      <c r="D14" t="n">
        <v>26.75</v>
      </c>
      <c r="E14" t="n">
        <v>26.75</v>
      </c>
      <c r="F14" t="n">
        <v>26.75</v>
      </c>
      <c r="G14" t="n">
        <v>26.75</v>
      </c>
      <c r="H14" t="n">
        <v>26.75</v>
      </c>
      <c r="I14" t="n">
        <v>26.75</v>
      </c>
      <c r="J14" t="n">
        <v>26.75</v>
      </c>
      <c r="K14" t="n">
        <v>26.75</v>
      </c>
      <c r="L14" t="n">
        <v>26.75</v>
      </c>
      <c r="M14" t="n">
        <v>26.75</v>
      </c>
      <c r="N14" t="n">
        <v>26.75</v>
      </c>
      <c r="O14">
        <f>SUM(C14:N14)</f>
        <v/>
      </c>
      <c r="P14" t="n">
        <v>35.08</v>
      </c>
      <c r="Q14" t="n">
        <v>35.08</v>
      </c>
      <c r="R14" t="n">
        <v>35.08</v>
      </c>
      <c r="S14" t="n">
        <v>35.08</v>
      </c>
      <c r="T14" t="n">
        <v>35.08</v>
      </c>
      <c r="U14" t="n">
        <v>35.08</v>
      </c>
      <c r="V14" t="n">
        <v>35.08</v>
      </c>
      <c r="W14" t="n">
        <v>35.08</v>
      </c>
      <c r="X14" t="n">
        <v>35.08</v>
      </c>
      <c r="Y14" t="n">
        <v>35.08</v>
      </c>
      <c r="Z14" t="n">
        <v>35.08</v>
      </c>
      <c r="AA14" t="n">
        <v>35.08</v>
      </c>
      <c r="AB14">
        <f>SUM(P14:AA14)</f>
        <v/>
      </c>
      <c r="AC14" s="3" t="n">
        <v>42.84</v>
      </c>
      <c r="AD14" s="3" t="n">
        <v>42.84</v>
      </c>
      <c r="AE14" s="3" t="n">
        <v>42.84</v>
      </c>
      <c r="AF14" s="3" t="n">
        <v>42.84</v>
      </c>
      <c r="AG14" s="3" t="n">
        <v>42.84</v>
      </c>
      <c r="AH14" s="3" t="n">
        <v>42.84</v>
      </c>
      <c r="AI14" s="3" t="n">
        <v>42.84</v>
      </c>
      <c r="AJ14" s="3" t="n">
        <v>42.84</v>
      </c>
      <c r="AK14" s="3" t="n">
        <v>42.84</v>
      </c>
      <c r="AL14" s="3" t="n">
        <v>42.84</v>
      </c>
      <c r="AM14" s="3" t="n">
        <v>42.84</v>
      </c>
      <c r="AN14" s="3" t="n">
        <v>42.84</v>
      </c>
      <c r="AO14">
        <f>SUM(AC14:AN14)</f>
        <v/>
      </c>
    </row>
    <row r="15">
      <c r="B15" t="inlineStr">
        <is>
          <t>INTERIOR MAINTENANCE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SUM(C15:N15)</f>
        <v/>
      </c>
      <c r="P15" t="n">
        <v>250</v>
      </c>
      <c r="Q15" t="n">
        <v>0</v>
      </c>
      <c r="R15" t="n">
        <v>0</v>
      </c>
      <c r="S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>
        <f>SUM(P15:AA15)</f>
        <v/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150</v>
      </c>
      <c r="AK15" t="n">
        <v>0</v>
      </c>
      <c r="AL15" t="n">
        <v>0</v>
      </c>
      <c r="AM15" t="n">
        <v>0</v>
      </c>
      <c r="AN15" t="n">
        <v>11</v>
      </c>
      <c r="AO15">
        <f>SUM(AC15:AN15)</f>
        <v/>
      </c>
    </row>
    <row r="16">
      <c r="B16" t="inlineStr">
        <is>
          <t>INTERIOR REPAIR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>
        <f>SUM(C16:N16)</f>
        <v/>
      </c>
      <c r="P16" t="n">
        <v>0</v>
      </c>
      <c r="Q16" t="n">
        <v>0</v>
      </c>
      <c r="R16" t="n">
        <v>0</v>
      </c>
      <c r="S16" t="n">
        <v>0</v>
      </c>
      <c r="T16" t="n">
        <v>80</v>
      </c>
      <c r="U16" t="n">
        <v>220</v>
      </c>
      <c r="V16" t="n">
        <v>0</v>
      </c>
      <c r="W16" t="n">
        <v>0</v>
      </c>
      <c r="X16" t="n">
        <v>0</v>
      </c>
      <c r="Y16" t="n">
        <v>0</v>
      </c>
      <c r="Z16" t="n">
        <v>250</v>
      </c>
      <c r="AA16" t="n">
        <v>0</v>
      </c>
      <c r="AB16">
        <f>SUM(P16:AA16)</f>
        <v/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675</v>
      </c>
      <c r="AO16">
        <f>SUM(AC16:AN16)</f>
        <v/>
      </c>
    </row>
    <row r="17">
      <c r="B17" t="inlineStr">
        <is>
          <t> 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SUM(C17:N17)</f>
        <v/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>
        <f>SUM(P17:AA17)</f>
        <v/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>
        <f>SUM(AC17:AN17)</f>
        <v/>
      </c>
    </row>
    <row r="18">
      <c r="B18" t="inlineStr">
        <is>
          <t> 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>
        <f>SUM(C18:N18)</f>
        <v/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>
        <f>SUM(P18:AA18)</f>
        <v/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>
        <f>SUM(AC18:AN18)</f>
        <v/>
      </c>
    </row>
    <row r="19">
      <c r="B19" t="inlineStr">
        <is>
          <t> 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>
        <f>SUM(C19:N19)</f>
        <v/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>
        <f>SUM(P19:AA19)</f>
        <v/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>
        <f>SUM(AC19:AN19)</f>
        <v/>
      </c>
    </row>
    <row r="20">
      <c r="B20" t="inlineStr">
        <is>
          <t> 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>
        <f>SUM(C20:N20)</f>
        <v/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>
        <f>SUM(P20:AA20)</f>
        <v/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>
        <f>SUM(AC20:AN20)</f>
        <v/>
      </c>
    </row>
    <row r="21">
      <c r="B21" t="inlineStr">
        <is>
          <t> 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>
        <f>SUM(C21:N21)</f>
        <v/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>
        <f>SUM(P21:AA21)</f>
        <v/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>
        <f>SUM(AC21:AN21)</f>
        <v/>
      </c>
    </row>
    <row r="22">
      <c r="B22" t="inlineStr">
        <is>
          <t> 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>
        <f>SUM(C22:N22)</f>
        <v/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>
        <f>SUM(P22:AA22)</f>
        <v/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>
        <f>SUM(AC22:AN22)</f>
        <v/>
      </c>
    </row>
    <row r="23">
      <c r="B23" t="inlineStr">
        <is>
          <t> 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>
        <f>SUM(C23:N23)</f>
        <v/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>
        <f>SUM(P23:AA23)</f>
        <v/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>
        <f>SUM(AC23:AN23)</f>
        <v/>
      </c>
    </row>
    <row r="24">
      <c r="B24" t="inlineStr">
        <is>
          <t>  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>
        <f>SUM(C24:N24)</f>
        <v/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>
        <f>SUM(P24:AA24)</f>
        <v/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>
        <f>SUM(AC24:AN24)</f>
        <v/>
      </c>
    </row>
    <row r="25">
      <c r="B25" t="inlineStr">
        <is>
          <t> 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>
        <f>SUM(C25:N25)</f>
        <v/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>
        <f>SUM(P25:AA25)</f>
        <v/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>
        <f>SUM(AC25:AN25)</f>
        <v/>
      </c>
    </row>
    <row r="26">
      <c r="B26" t="inlineStr">
        <is>
          <t> 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13</v>
      </c>
      <c r="M26" t="n">
        <v>0</v>
      </c>
      <c r="N26" t="n">
        <v>0</v>
      </c>
      <c r="O26">
        <f>SUM(C26:N26)</f>
        <v/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Z26" t="n">
        <v>0</v>
      </c>
      <c r="AA26" t="n">
        <v>0</v>
      </c>
      <c r="AB26">
        <f>SUM(P26:AA26)</f>
        <v/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M26" t="n">
        <v>0</v>
      </c>
      <c r="AN26" t="n">
        <v>0</v>
      </c>
      <c r="AO26">
        <f>SUM(AC26:AN26)</f>
        <v/>
      </c>
    </row>
    <row r="27">
      <c r="B27" t="inlineStr">
        <is>
          <t>  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>
        <f>SUM(C27:N27)</f>
        <v/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>
        <f>SUM(P27:AA27)</f>
        <v/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>
        <f>SUM(AC27:AN27)</f>
        <v/>
      </c>
    </row>
    <row r="28">
      <c r="B28" t="inlineStr">
        <is>
          <t> 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>
        <f>SUM(C28:N28)</f>
        <v/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>
        <f>SUM(P28:AA28)</f>
        <v/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>
        <f>SUM(AC28:AN28)</f>
        <v/>
      </c>
    </row>
    <row r="29">
      <c r="B29" t="inlineStr">
        <is>
          <t>EQUIPMENT/APPLIANCE PURCHASES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>
        <f>SUM(C29:N29)</f>
        <v/>
      </c>
      <c r="P29" t="n">
        <v>1434.37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>
        <f>SUM(P29:AA29)</f>
        <v/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>
        <f>SUM(AC29:AN29)</f>
        <v/>
      </c>
    </row>
    <row r="30">
      <c r="B30" t="inlineStr">
        <is>
          <t> 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>
        <f>SUM(C30:N30)</f>
        <v/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>
        <f>SUM(P30:AA30)</f>
        <v/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>
        <f>SUM(AC30:AN30)</f>
        <v/>
      </c>
    </row>
    <row r="31">
      <c r="B31" t="inlineStr">
        <is>
          <t> 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>
        <f>SUM(C31:N31)</f>
        <v/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>
        <f>SUM(P31:AA31)</f>
        <v/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>
        <f>SUM(AC31:AN31)</f>
        <v/>
      </c>
    </row>
    <row r="32">
      <c r="B32" t="inlineStr">
        <is>
          <t> 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>
        <f>SUM(C32:N32)</f>
        <v/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>
        <f>SUM(P32:AA32)</f>
        <v/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>
        <f>SUM(AC32:AN32)</f>
        <v/>
      </c>
    </row>
    <row r="33">
      <c r="B33" t="inlineStr">
        <is>
          <t> 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>
        <f>SUM(C33:N33)</f>
        <v/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>
        <f>SUM(P33:AA33)</f>
        <v/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>
        <f>SUM(AC33:AN33)</f>
        <v/>
      </c>
    </row>
    <row r="34">
      <c r="B34" t="inlineStr">
        <is>
          <t> 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>
        <f>SUM(C34:N34)</f>
        <v/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>
        <f>SUM(P34:AA34)</f>
        <v/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>
        <f>SUM(AC34:AN34)</f>
        <v/>
      </c>
    </row>
    <row r="35">
      <c r="B35" t="inlineStr">
        <is>
          <t>MORTGAGE</t>
        </is>
      </c>
      <c r="C35" t="n">
        <v>1066.27</v>
      </c>
      <c r="D35" t="n">
        <v>1066.27</v>
      </c>
      <c r="E35" t="n">
        <v>1066.27</v>
      </c>
      <c r="F35" t="n">
        <v>1066.27</v>
      </c>
      <c r="G35" t="n">
        <v>1066.27</v>
      </c>
      <c r="H35" t="n">
        <v>1066.27</v>
      </c>
      <c r="I35" t="n">
        <v>1066.27</v>
      </c>
      <c r="J35" t="n">
        <v>1066.27</v>
      </c>
      <c r="K35" t="n">
        <v>1066.27</v>
      </c>
      <c r="L35" t="n">
        <v>1066.27</v>
      </c>
      <c r="M35" t="n">
        <v>1215.82</v>
      </c>
      <c r="N35" t="n">
        <v>1215.82</v>
      </c>
      <c r="O35">
        <f>SUM(C35:N35)</f>
        <v/>
      </c>
      <c r="P35" t="n">
        <v>1318.02</v>
      </c>
      <c r="Q35" t="n">
        <v>1318.02</v>
      </c>
      <c r="R35" t="n">
        <v>1318.02</v>
      </c>
      <c r="S35" t="n">
        <v>1318.02</v>
      </c>
      <c r="T35" t="n">
        <v>1318.02</v>
      </c>
      <c r="U35" t="n">
        <v>1318.02</v>
      </c>
      <c r="V35" t="n">
        <v>1318.02</v>
      </c>
      <c r="W35" t="n">
        <v>1318.02</v>
      </c>
      <c r="X35" t="n">
        <v>1318.02</v>
      </c>
      <c r="Y35" t="n">
        <v>1318.02</v>
      </c>
      <c r="Z35" t="n">
        <v>1318.02</v>
      </c>
      <c r="AA35" t="n">
        <v>1318.02</v>
      </c>
      <c r="AB35">
        <f>SUM(P35:AA35)</f>
        <v/>
      </c>
      <c r="AC35" t="n">
        <v>1226.25</v>
      </c>
      <c r="AD35" t="n">
        <v>1226.25</v>
      </c>
      <c r="AE35" t="n">
        <v>1226.25</v>
      </c>
      <c r="AF35" t="n">
        <v>1226.25</v>
      </c>
      <c r="AG35" t="n">
        <v>1226.25</v>
      </c>
      <c r="AH35" t="n">
        <v>1226.25</v>
      </c>
      <c r="AI35" t="n">
        <v>1226.25</v>
      </c>
      <c r="AJ35" t="n">
        <v>1226.25</v>
      </c>
      <c r="AK35" t="n">
        <v>1226.25</v>
      </c>
      <c r="AL35" t="n">
        <v>1226.25</v>
      </c>
      <c r="AM35" t="n">
        <v>1177.52</v>
      </c>
      <c r="AN35" t="n">
        <v>1177.52</v>
      </c>
      <c r="AO35">
        <f>SUM(AC35:AN35)</f>
        <v/>
      </c>
    </row>
    <row r="36">
      <c r="B36" t="inlineStr">
        <is>
          <t>HOA</t>
        </is>
      </c>
      <c r="C36" t="n">
        <v>397.48</v>
      </c>
      <c r="D36" t="n">
        <v>397.48</v>
      </c>
      <c r="E36" t="n">
        <v>397.48</v>
      </c>
      <c r="F36" t="n">
        <v>397.48</v>
      </c>
      <c r="G36" t="n">
        <v>397.48</v>
      </c>
      <c r="H36" t="n">
        <v>397.48</v>
      </c>
      <c r="I36" t="n">
        <v>397.48</v>
      </c>
      <c r="J36" t="n">
        <v>397.48</v>
      </c>
      <c r="K36" t="n">
        <v>397.48</v>
      </c>
      <c r="L36" t="n">
        <v>397.48</v>
      </c>
      <c r="M36" t="n">
        <v>397.48</v>
      </c>
      <c r="N36" t="n">
        <v>397.48</v>
      </c>
      <c r="O36">
        <f>SUM(C36:N36)</f>
        <v/>
      </c>
      <c r="P36" t="n">
        <v>401.46</v>
      </c>
      <c r="Q36" t="n">
        <v>401.46</v>
      </c>
      <c r="R36" t="n">
        <v>401.46</v>
      </c>
      <c r="S36" t="n">
        <v>401.46</v>
      </c>
      <c r="T36" t="n">
        <v>401.46</v>
      </c>
      <c r="U36" t="n">
        <v>401.46</v>
      </c>
      <c r="V36" t="n">
        <v>401.46</v>
      </c>
      <c r="W36" t="n">
        <v>401.46</v>
      </c>
      <c r="X36" t="n">
        <v>401.46</v>
      </c>
      <c r="Y36" t="n">
        <v>401.46</v>
      </c>
      <c r="Z36" t="n">
        <v>401.46</v>
      </c>
      <c r="AA36" t="n">
        <v>401.46</v>
      </c>
      <c r="AB36">
        <f>SUM(P36:AA36)</f>
        <v/>
      </c>
      <c r="AC36" t="n">
        <v>421.53</v>
      </c>
      <c r="AD36" t="n">
        <v>421.53</v>
      </c>
      <c r="AE36" t="n">
        <v>421.53</v>
      </c>
      <c r="AF36" t="n">
        <v>421.53</v>
      </c>
      <c r="AG36" t="n">
        <v>421.53</v>
      </c>
      <c r="AH36" t="n">
        <v>421.53</v>
      </c>
      <c r="AI36" t="n">
        <v>421.53</v>
      </c>
      <c r="AJ36" t="n">
        <v>421.53</v>
      </c>
      <c r="AK36" t="n">
        <v>421.53</v>
      </c>
      <c r="AL36" t="n">
        <v>421.53</v>
      </c>
      <c r="AM36" t="n">
        <v>421.53</v>
      </c>
      <c r="AN36" t="n">
        <v>421.53</v>
      </c>
      <c r="AO36">
        <f>SUM(AC36:AN36)</f>
        <v/>
      </c>
    </row>
    <row r="37">
      <c r="B37" t="inlineStr">
        <is>
          <t>ELECTRICAL WORK (GROUNDING, ESTIMATE, KITCHEN)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350</v>
      </c>
      <c r="M37" t="n">
        <v>0</v>
      </c>
      <c r="N37" t="n">
        <v>0</v>
      </c>
      <c r="O37">
        <f>SUM(C37:N37)</f>
        <v/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Z37" t="n">
        <v>0</v>
      </c>
      <c r="AA37" t="n">
        <v>0</v>
      </c>
      <c r="AB37">
        <f>SUM(P37:AA37)</f>
        <v/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M37" t="n">
        <v>0</v>
      </c>
      <c r="AN37" t="n">
        <v>0</v>
      </c>
      <c r="AO37">
        <f>SUM(AC37:AN37)</f>
        <v/>
      </c>
    </row>
    <row r="38">
      <c r="B38" t="inlineStr">
        <is>
          <t>MOVE OUT FEE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200</v>
      </c>
      <c r="M38" t="n">
        <v>0</v>
      </c>
      <c r="N38" t="n">
        <v>0</v>
      </c>
      <c r="O38">
        <f>SUM(C38:N38)</f>
        <v/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200</v>
      </c>
      <c r="Z38" t="n">
        <v>0</v>
      </c>
      <c r="AA38" t="n">
        <v>0</v>
      </c>
      <c r="AB38">
        <f>SUM(P38:AA38)</f>
        <v/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300</v>
      </c>
      <c r="AM38" t="n">
        <v>0</v>
      </c>
      <c r="AN38" t="n">
        <v>0</v>
      </c>
      <c r="AO38">
        <f>SUM(AC38:AN38)</f>
        <v/>
      </c>
    </row>
    <row r="39">
      <c r="B39" t="inlineStr">
        <is>
          <t> 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>
        <f>SUM(C39:N39)</f>
        <v/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>
        <f>SUM(P39:AA39)</f>
        <v/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>
        <f>SUM(AC39:AN39)</f>
        <v/>
      </c>
    </row>
    <row r="40">
      <c r="B40" t="inlineStr">
        <is>
          <t> 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>
        <f>SUM(C40:N40)</f>
        <v/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>
        <f>SUM(P40:AA40)</f>
        <v/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>
        <f>SUM(AC40:AN40)</f>
        <v/>
      </c>
    </row>
    <row r="41">
      <c r="B41" t="inlineStr">
        <is>
          <t> 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>
        <f>SUM(C41:N41)</f>
        <v/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>
        <f>SUM(P41:AA41)</f>
        <v/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>
        <f>SUM(AC41:AN41)</f>
        <v/>
      </c>
    </row>
    <row r="42">
      <c r="B42" t="inlineStr">
        <is>
          <t>TOTAL EXPENSES</t>
        </is>
      </c>
      <c r="C42">
        <f>SUM(C10:C41)</f>
        <v/>
      </c>
      <c r="D42">
        <f>SUM(D10:D41)</f>
        <v/>
      </c>
      <c r="E42">
        <f>SUM(E10:E41)</f>
        <v/>
      </c>
      <c r="F42">
        <f>SUM(F10:F41)</f>
        <v/>
      </c>
      <c r="G42">
        <f>SUM(G10:G41)</f>
        <v/>
      </c>
      <c r="H42">
        <f>SUM(H10:H41)</f>
        <v/>
      </c>
      <c r="I42">
        <f>SUM(I10:I41)</f>
        <v/>
      </c>
      <c r="J42">
        <f>SUM(J10:J41)</f>
        <v/>
      </c>
      <c r="K42">
        <f>SUM(K10:K41)</f>
        <v/>
      </c>
      <c r="L42">
        <f>SUM(L10:L41)</f>
        <v/>
      </c>
      <c r="M42">
        <f>SUM(M10:M41)</f>
        <v/>
      </c>
      <c r="N42">
        <f>SUM(N10:N41)</f>
        <v/>
      </c>
      <c r="O42">
        <f>SUM(C42:N42)</f>
        <v/>
      </c>
      <c r="P42">
        <f>SUM(P10:P41)</f>
        <v/>
      </c>
      <c r="Q42">
        <f>SUM(Q10:Q41)</f>
        <v/>
      </c>
      <c r="R42">
        <f>SUM(R10:R41)</f>
        <v/>
      </c>
      <c r="S42">
        <f>SUM(S10:S41)</f>
        <v/>
      </c>
      <c r="T42">
        <f>SUM(T10:T41)</f>
        <v/>
      </c>
      <c r="U42">
        <f>SUM(U10:U41)</f>
        <v/>
      </c>
      <c r="V42">
        <f>SUM(V10:V41)</f>
        <v/>
      </c>
      <c r="W42">
        <f>SUM(W10:W41)</f>
        <v/>
      </c>
      <c r="X42">
        <f>SUM(X10:X41)</f>
        <v/>
      </c>
      <c r="Y42">
        <f>SUM(Y10:Y41)</f>
        <v/>
      </c>
      <c r="Z42">
        <f>SUM(Z10:Z41)</f>
        <v/>
      </c>
      <c r="AA42">
        <f>SUM(AA10:AA41)</f>
        <v/>
      </c>
      <c r="AB42">
        <f>SUM(P42:AA42)</f>
        <v/>
      </c>
      <c r="AC42">
        <f>SUM(AC10:AC41)</f>
        <v/>
      </c>
      <c r="AD42">
        <f>SUM(AD10:AD41)</f>
        <v/>
      </c>
      <c r="AE42">
        <f>SUM(AE10:AE41)</f>
        <v/>
      </c>
      <c r="AF42">
        <f>SUM(AF10:AF41)</f>
        <v/>
      </c>
      <c r="AG42">
        <f>SUM(AG10:AG41)</f>
        <v/>
      </c>
      <c r="AH42">
        <f>SUM(AH10:AH41)</f>
        <v/>
      </c>
      <c r="AI42">
        <f>SUM(AI10:AI41)</f>
        <v/>
      </c>
      <c r="AJ42">
        <f>SUM(AJ10:AJ41)</f>
        <v/>
      </c>
      <c r="AK42">
        <f>SUM(AK10:AK41)</f>
        <v/>
      </c>
      <c r="AL42">
        <f>SUM(AL10:AL41)</f>
        <v/>
      </c>
      <c r="AM42">
        <f>SUM(AM10:AM41)</f>
        <v/>
      </c>
      <c r="AN42">
        <f>SUM(AN10:AN41)</f>
        <v/>
      </c>
      <c r="AO42">
        <f>SUM(AC42:AN42)</f>
        <v/>
      </c>
    </row>
    <row r="44">
      <c r="B44" t="inlineStr">
        <is>
          <t>YEAR-TO-DATE INCOME LESS EXPENSES</t>
        </is>
      </c>
      <c r="C44">
        <f>C6-C42</f>
        <v/>
      </c>
      <c r="D44">
        <f>D6-D42</f>
        <v/>
      </c>
      <c r="E44">
        <f>E6-E42</f>
        <v/>
      </c>
      <c r="F44">
        <f>F6-F42</f>
        <v/>
      </c>
      <c r="G44">
        <f>G6-G42</f>
        <v/>
      </c>
      <c r="H44">
        <f>H6-H42</f>
        <v/>
      </c>
      <c r="I44">
        <f>I6-I42</f>
        <v/>
      </c>
      <c r="J44">
        <f>J6-J42</f>
        <v/>
      </c>
      <c r="K44">
        <f>K6-K42</f>
        <v/>
      </c>
      <c r="L44">
        <f>L6-L42</f>
        <v/>
      </c>
      <c r="M44">
        <f>M6-M42</f>
        <v/>
      </c>
      <c r="N44">
        <f>N6-N42</f>
        <v/>
      </c>
      <c r="O44">
        <f>O6-O42</f>
        <v/>
      </c>
      <c r="P44">
        <f>P6-P42</f>
        <v/>
      </c>
      <c r="Q44">
        <f>Q6-Q42</f>
        <v/>
      </c>
      <c r="R44">
        <f>R6-R42</f>
        <v/>
      </c>
      <c r="S44">
        <f>S6-S42</f>
        <v/>
      </c>
      <c r="T44">
        <f>T6-T42</f>
        <v/>
      </c>
      <c r="U44">
        <f>U6-U42</f>
        <v/>
      </c>
      <c r="V44">
        <f>V6-V42</f>
        <v/>
      </c>
      <c r="W44">
        <f>W6-W42</f>
        <v/>
      </c>
      <c r="X44">
        <f>X6-X42</f>
        <v/>
      </c>
      <c r="Y44">
        <f>Y6-Y42</f>
        <v/>
      </c>
      <c r="Z44">
        <f>Z6-Z42</f>
        <v/>
      </c>
      <c r="AA44">
        <f>AA6-AA42</f>
        <v/>
      </c>
      <c r="AB44">
        <f>AB6-AB42</f>
        <v/>
      </c>
      <c r="AC44">
        <f>AC6-AC42</f>
        <v/>
      </c>
      <c r="AD44">
        <f>AD6-AD42</f>
        <v/>
      </c>
      <c r="AE44">
        <f>AE6-AE42</f>
        <v/>
      </c>
      <c r="AF44">
        <f>AF6-AF42</f>
        <v/>
      </c>
      <c r="AG44">
        <f>AG6-AG42</f>
        <v/>
      </c>
      <c r="AH44">
        <f>AH6-AH42</f>
        <v/>
      </c>
      <c r="AI44">
        <f>AI6-AI42</f>
        <v/>
      </c>
      <c r="AJ44">
        <f>AJ6-AJ42</f>
        <v/>
      </c>
      <c r="AK44">
        <f>AK6-AK42</f>
        <v/>
      </c>
      <c r="AL44">
        <f>AL6-AL42</f>
        <v/>
      </c>
      <c r="AM44">
        <f>AM6-AM42</f>
        <v/>
      </c>
      <c r="AN44">
        <f>AN6-AN42</f>
        <v/>
      </c>
      <c r="AO44">
        <f>AO6-AO42</f>
        <v/>
      </c>
    </row>
    <row r="48">
      <c r="B48" t="inlineStr">
        <is>
          <t>Purchase Price</t>
        </is>
      </c>
      <c r="C48" t="n">
        <v>175250</v>
      </c>
    </row>
    <row r="49">
      <c r="B49" t="inlineStr">
        <is>
          <t>Interest Rate</t>
        </is>
      </c>
      <c r="C49" t="n">
        <v>0.0525</v>
      </c>
    </row>
    <row r="51">
      <c r="B51" t="inlineStr">
        <is>
          <t>Closing Costs</t>
        </is>
      </c>
      <c r="C51" t="n">
        <v>36984.13</v>
      </c>
    </row>
    <row r="53">
      <c r="B53" t="inlineStr">
        <is>
          <t>2022 Expenses</t>
        </is>
      </c>
    </row>
    <row r="54">
      <c r="B54" t="inlineStr">
        <is>
          <t>earnest money to seller</t>
        </is>
      </c>
      <c r="C54" t="n">
        <v>50000</v>
      </c>
    </row>
    <row r="55">
      <c r="B55" t="inlineStr">
        <is>
          <t>inspection to Bill</t>
        </is>
      </c>
      <c r="C55" t="n">
        <v>300</v>
      </c>
    </row>
    <row r="56">
      <c r="B56" t="inlineStr">
        <is>
          <t>deposit to Rocket Mortage, which will be applied to appraisal cost once ordered</t>
        </is>
      </c>
      <c r="C56" t="n">
        <v>500</v>
      </c>
    </row>
    <row r="57">
      <c r="B57" t="inlineStr">
        <is>
          <t>electrian estimate</t>
        </is>
      </c>
      <c r="C57" t="n">
        <v>100</v>
      </c>
    </row>
    <row r="58">
      <c r="B58" t="inlineStr">
        <is>
          <t>move in fees to HOA</t>
        </is>
      </c>
      <c r="C58" t="n">
        <v>350</v>
      </c>
    </row>
    <row r="60">
      <c r="B60" t="inlineStr">
        <is>
          <t>2025 (this column) — user cost list LOCKED 2026-09-20, last-year Excel pattern.</t>
        </is>
      </c>
    </row>
    <row r="61">
      <c r="B61" t="inlineStr">
        <is>
          <t>Rent — joint 0203 (Delach $1,450 + Ava $500; Joan $1,950 Dec + prepaid Jan). Vacant Oct + half Nov. Half-Nov $975 WAIT 8507.</t>
        </is>
      </c>
    </row>
    <row r="62">
      <c r="B62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>
      <c r="B63" t="inlineStr">
        <is>
          <t>HOA — user $421.53/mo Santa Maria C326. Jun–Dec cash 8507 green. Jan–May $421.53 yellow WAIT 8507.</t>
        </is>
      </c>
    </row>
    <row r="64" ht="48" customHeight="1">
      <c r="B64" s="2" t="inlineStr">
        <is>
          <t>Insurance — Lemonade $42.84/mo × 12 = $514.08 on RENTER'S INSURANCE (amortized like 2023 $26.75 / 2024 $35.08). Cash $514.00 10/3 Megan Chase (8¢). User said “216 N Grove” — this Oak Park #1Z unit, not 827 Grove. Travelers + Geico = 524 Ferdinand (home / cars), not 216.</t>
        </is>
      </c>
    </row>
    <row r="65">
      <c r="B65" t="inlineStr">
        <is>
          <t>Interior — Chris Brennan exterminator $150 8/7 (8507 check posted 8/18) INTERIOR Aug. Ace keys $11 12/8 Megan Chase INTERIOR Dec. Same-day Ace $17 not booked.</t>
        </is>
      </c>
    </row>
    <row r="66">
      <c r="B66" t="inlineStr">
        <is>
          <t>Interior repair — Joan $675 12/1 8507 Zelle painting + repairs → INTERIOR REPAIR December (2024 used this row for Oak Park painting).</t>
        </is>
      </c>
    </row>
    <row r="67">
      <c r="B67" t="inlineStr">
        <is>
          <t>Move-out — Imelda $300 empty-apt. User 9/30; cash 10/1 joint 0203 → MOVE OUT FEE October (same month as 2023/24 $200). Other 2025 Imelda $150s not on 216.</t>
        </is>
      </c>
    </row>
    <row r="68">
      <c r="B68" t="inlineStr">
        <is>
          <t>Smoke detector Amazon — still ASK (checklist TBD). No Kidde/First Alert/detector SKU on Monarch/Prime/Sapphire/BoA. EQUIPMENT yellow $0.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" t="n">
        <v>2023</v>
      </c>
    </row>
    <row r="2">
      <c r="A2" t="inlineStr">
        <is>
          <t>INCOME</t>
        </is>
      </c>
      <c r="B2" t="inlineStr">
        <is>
          <t>JAN</t>
        </is>
      </c>
      <c r="C2" t="inlineStr">
        <is>
          <t>FEB</t>
        </is>
      </c>
      <c r="D2" t="inlineStr">
        <is>
          <t>MAR</t>
        </is>
      </c>
      <c r="E2" t="inlineStr">
        <is>
          <t>APR</t>
        </is>
      </c>
      <c r="F2" t="inlineStr">
        <is>
          <t>MAY</t>
        </is>
      </c>
      <c r="G2" t="inlineStr">
        <is>
          <t>JUN</t>
        </is>
      </c>
      <c r="H2" t="inlineStr">
        <is>
          <t>JUL</t>
        </is>
      </c>
      <c r="I2" t="inlineStr">
        <is>
          <t>AUG</t>
        </is>
      </c>
      <c r="J2" t="inlineStr">
        <is>
          <t>SEP</t>
        </is>
      </c>
      <c r="K2" t="inlineStr">
        <is>
          <t>OCT</t>
        </is>
      </c>
      <c r="L2" t="inlineStr">
        <is>
          <t>NOV</t>
        </is>
      </c>
      <c r="M2" t="inlineStr">
        <is>
          <t>DEC</t>
        </is>
      </c>
      <c r="N2" t="inlineStr">
        <is>
          <t>YEARLY</t>
        </is>
      </c>
    </row>
    <row r="3">
      <c r="A3" t="inlineStr">
        <is>
          <t>Art Sales</t>
        </is>
      </c>
      <c r="F3" t="n">
        <v>8135.65</v>
      </c>
      <c r="G3" t="n">
        <v>11661.5</v>
      </c>
      <c r="H3" t="n">
        <v>50000</v>
      </c>
      <c r="J3" t="n">
        <v>400</v>
      </c>
      <c r="L3" t="n">
        <v>10700</v>
      </c>
      <c r="M3" t="n">
        <v>3040</v>
      </c>
      <c r="N3">
        <f>SUM(B3:M3)</f>
        <v/>
      </c>
    </row>
    <row r="4">
      <c r="A4" t="inlineStr">
        <is>
          <t>Consultant</t>
        </is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</row>
    <row r="7">
      <c r="A7" t="inlineStr">
        <is>
          <t>EXPENSES</t>
        </is>
      </c>
      <c r="B7" t="inlineStr">
        <is>
          <t>JAN</t>
        </is>
      </c>
      <c r="C7" t="inlineStr">
        <is>
          <t>FEB</t>
        </is>
      </c>
      <c r="D7" t="inlineStr">
        <is>
          <t>MAR</t>
        </is>
      </c>
      <c r="E7" t="inlineStr">
        <is>
          <t>APR</t>
        </is>
      </c>
      <c r="F7" t="inlineStr">
        <is>
          <t>MAY</t>
        </is>
      </c>
      <c r="G7" t="inlineStr">
        <is>
          <t>JUN</t>
        </is>
      </c>
      <c r="H7" t="inlineStr">
        <is>
          <t>JUL</t>
        </is>
      </c>
      <c r="I7" t="inlineStr">
        <is>
          <t>AUG</t>
        </is>
      </c>
      <c r="J7" t="inlineStr">
        <is>
          <t>SEP</t>
        </is>
      </c>
      <c r="K7" t="inlineStr">
        <is>
          <t>OCT</t>
        </is>
      </c>
      <c r="L7" t="inlineStr">
        <is>
          <t>NOV</t>
        </is>
      </c>
      <c r="M7" t="inlineStr">
        <is>
          <t>DEC</t>
        </is>
      </c>
      <c r="N7" t="inlineStr">
        <is>
          <t>YEARLY</t>
        </is>
      </c>
    </row>
    <row r="8">
      <c r="A8" t="inlineStr">
        <is>
          <t>Supplies (office and operating)</t>
        </is>
      </c>
      <c r="N8">
        <f>SUM(B8:M8)</f>
        <v/>
      </c>
    </row>
    <row r="9">
      <c r="A9" t="inlineStr">
        <is>
          <t>Office Construction</t>
        </is>
      </c>
      <c r="J9" t="n">
        <v>13750</v>
      </c>
      <c r="N9">
        <f>SUM(B9:M9)</f>
        <v/>
      </c>
    </row>
    <row r="10">
      <c r="A10" t="inlineStr">
        <is>
          <t xml:space="preserve">Office Interior </t>
        </is>
      </c>
      <c r="I10" t="n">
        <v>426.52</v>
      </c>
      <c r="J10" t="n">
        <v>87.98999999999999</v>
      </c>
      <c r="K10" t="n">
        <v>87.78</v>
      </c>
      <c r="N10">
        <f>SUM(B10:M10)</f>
        <v/>
      </c>
    </row>
    <row r="11">
      <c r="A11" t="inlineStr">
        <is>
          <t>Office Furniture</t>
        </is>
      </c>
      <c r="I11" t="n">
        <v>461</v>
      </c>
      <c r="K11" t="n">
        <v>1799.5</v>
      </c>
      <c r="L11" t="n">
        <v>82.68000000000001</v>
      </c>
      <c r="N11">
        <f>SUM(B11:M11)</f>
        <v/>
      </c>
    </row>
    <row r="12">
      <c r="A12" t="inlineStr">
        <is>
          <t>Repairs and maintenance</t>
        </is>
      </c>
      <c r="N12">
        <f>SUM(B12:M12)</f>
        <v/>
      </c>
    </row>
    <row r="13">
      <c r="A13" t="inlineStr">
        <is>
          <t>Advertising</t>
        </is>
      </c>
      <c r="B13" t="n">
        <v>15</v>
      </c>
      <c r="C13" t="n">
        <v>15</v>
      </c>
      <c r="D13" t="n">
        <v>15</v>
      </c>
      <c r="E13" t="n">
        <v>15</v>
      </c>
      <c r="F13" t="n">
        <v>15</v>
      </c>
      <c r="G13" t="n">
        <v>15</v>
      </c>
      <c r="H13" t="n">
        <v>15</v>
      </c>
      <c r="I13" t="n">
        <v>15</v>
      </c>
      <c r="J13" t="n">
        <v>15</v>
      </c>
      <c r="K13" t="n">
        <v>15</v>
      </c>
      <c r="L13" t="n">
        <v>15</v>
      </c>
      <c r="M13" t="n">
        <v>15</v>
      </c>
      <c r="N13">
        <f>SUM(B13:M13)</f>
        <v/>
      </c>
    </row>
    <row r="14">
      <c r="A14" t="inlineStr">
        <is>
          <t>Travel, Meals, and Entertainment</t>
        </is>
      </c>
      <c r="C14" t="n">
        <v>1185.36</v>
      </c>
      <c r="E14" t="n">
        <v>1113.09</v>
      </c>
      <c r="H14" t="n">
        <v>50</v>
      </c>
      <c r="J14" t="n">
        <v>1351.31</v>
      </c>
      <c r="L14" t="n">
        <v>1283.75</v>
      </c>
      <c r="N14">
        <f>SUM(B14:M14)</f>
        <v/>
      </c>
    </row>
    <row r="15">
      <c r="A15" t="inlineStr">
        <is>
          <t>Accounting and legal</t>
        </is>
      </c>
      <c r="B15" t="n">
        <v>228</v>
      </c>
      <c r="C15" t="n">
        <v>20</v>
      </c>
      <c r="N15">
        <f>SUM(B15:M15)</f>
        <v/>
      </c>
    </row>
    <row r="16">
      <c r="A16" t="inlineStr">
        <is>
          <t>Cellphone and Internet</t>
        </is>
      </c>
      <c r="B16" t="n">
        <v>77.45</v>
      </c>
      <c r="C16" t="n">
        <v>77.45</v>
      </c>
      <c r="D16" t="n">
        <v>77.45</v>
      </c>
      <c r="E16" t="n">
        <v>77.45</v>
      </c>
      <c r="F16" t="n">
        <v>77.45</v>
      </c>
      <c r="G16" t="n">
        <v>77.45</v>
      </c>
      <c r="H16" t="n">
        <v>77.45</v>
      </c>
      <c r="I16" t="n">
        <v>77.45</v>
      </c>
      <c r="J16" t="n">
        <v>77.45</v>
      </c>
      <c r="K16" t="n">
        <v>77.45</v>
      </c>
      <c r="L16" t="n">
        <v>77.45</v>
      </c>
      <c r="M16" t="n">
        <v>77.45</v>
      </c>
      <c r="N16">
        <f>SUM(B16:M16)</f>
        <v/>
      </c>
    </row>
    <row r="17">
      <c r="A17" t="inlineStr">
        <is>
          <t>Software Fees</t>
        </is>
      </c>
      <c r="B17" t="n">
        <v>53</v>
      </c>
      <c r="C17" t="n">
        <v>53</v>
      </c>
      <c r="D17" t="n">
        <v>53</v>
      </c>
      <c r="E17" t="n">
        <v>53</v>
      </c>
      <c r="F17" t="n">
        <v>53</v>
      </c>
      <c r="G17" t="n">
        <v>53</v>
      </c>
      <c r="H17" t="n">
        <v>53</v>
      </c>
      <c r="I17" t="n">
        <v>53</v>
      </c>
      <c r="J17" t="n">
        <v>53</v>
      </c>
      <c r="K17" t="n">
        <v>53</v>
      </c>
      <c r="L17" t="n">
        <v>53</v>
      </c>
      <c r="M17" t="n">
        <v>53</v>
      </c>
      <c r="N17">
        <f>SUM(B17:M17)</f>
        <v/>
      </c>
    </row>
    <row r="18">
      <c r="A18" t="inlineStr">
        <is>
          <t>Tech</t>
        </is>
      </c>
      <c r="J18" t="n">
        <v>77.16</v>
      </c>
      <c r="K18" t="n">
        <v>384.99</v>
      </c>
      <c r="N18">
        <f>SUM(B18:M18)</f>
        <v/>
      </c>
    </row>
    <row r="19">
      <c r="A19" t="inlineStr">
        <is>
          <t>Art Library</t>
        </is>
      </c>
      <c r="B19" t="n">
        <v>5025.37</v>
      </c>
      <c r="N19">
        <f>SUM(B19:M19)</f>
        <v/>
      </c>
    </row>
    <row r="20">
      <c r="A20" t="inlineStr">
        <is>
          <t>Utilities</t>
        </is>
      </c>
      <c r="N20">
        <f>SUM(B20:M20)</f>
        <v/>
      </c>
    </row>
    <row r="21">
      <c r="A21" t="inlineStr">
        <is>
          <t>Insurance</t>
        </is>
      </c>
      <c r="N21">
        <f>SUM(B21:M21)</f>
        <v/>
      </c>
    </row>
    <row r="22">
      <c r="A22" t="inlineStr">
        <is>
          <t>TOTAL EXPENSES</t>
        </is>
      </c>
      <c r="B22">
        <f>SUM(B8:B21)</f>
        <v/>
      </c>
      <c r="C22">
        <f>SUM(C8:C21)</f>
        <v/>
      </c>
      <c r="D22">
        <f>SUM(D8:D21)</f>
        <v/>
      </c>
      <c r="E22">
        <f>SUM(E8:E21)</f>
        <v/>
      </c>
      <c r="F22">
        <f>SUM(F8:F21)</f>
        <v/>
      </c>
      <c r="G22">
        <f>SUM(G8:G21)</f>
        <v/>
      </c>
      <c r="H22">
        <f>SUM(H8:H21)</f>
        <v/>
      </c>
      <c r="I22">
        <f>SUM(I8:I21)</f>
        <v/>
      </c>
      <c r="J22">
        <f>SUM(J8:J21)</f>
        <v/>
      </c>
      <c r="K22">
        <f>SUM(K8:K21)</f>
        <v/>
      </c>
      <c r="L22">
        <f>SUM(L8:L21)</f>
        <v/>
      </c>
      <c r="M22">
        <f>SUM(M8:M21)</f>
        <v/>
      </c>
      <c r="N22">
        <f>SUM(N8:N21)</f>
        <v/>
      </c>
    </row>
    <row r="24">
      <c r="A24" t="inlineStr">
        <is>
          <t>YEAR TO DATE LESS EXPENSES</t>
        </is>
      </c>
      <c r="B24">
        <f>SUM(B5-B22)</f>
        <v/>
      </c>
      <c r="C24">
        <f>SUM(C5-C22)</f>
        <v/>
      </c>
      <c r="D24">
        <f>SUM(D5-D22)</f>
        <v/>
      </c>
      <c r="E24">
        <f>SUM(E5-E22)</f>
        <v/>
      </c>
      <c r="F24">
        <f>SUM(F5-F22)</f>
        <v/>
      </c>
      <c r="G24">
        <f>SUM(G5-G22)</f>
        <v/>
      </c>
      <c r="H24">
        <f>SUM(H5-H22)</f>
        <v/>
      </c>
      <c r="I24">
        <f>SUM(I5-I22)</f>
        <v/>
      </c>
      <c r="J24">
        <f>SUM(J5-J22)</f>
        <v/>
      </c>
      <c r="K24">
        <f>SUM(K5-K22)</f>
        <v/>
      </c>
      <c r="L24">
        <f>SUM(L5-L22)</f>
        <v/>
      </c>
      <c r="M24">
        <f>SUM(M5-M22)</f>
        <v/>
      </c>
      <c r="N24">
        <f>SUM(N5-N22)</f>
        <v/>
      </c>
    </row>
    <row r="26">
      <c r="A26" t="n">
        <v>2024</v>
      </c>
    </row>
    <row r="27">
      <c r="A27" t="inlineStr">
        <is>
          <t>INCOME</t>
        </is>
      </c>
      <c r="B27" t="inlineStr">
        <is>
          <t>JAN</t>
        </is>
      </c>
      <c r="C27" t="inlineStr">
        <is>
          <t>FEB</t>
        </is>
      </c>
      <c r="D27" t="inlineStr">
        <is>
          <t>MAR</t>
        </is>
      </c>
      <c r="E27" t="inlineStr">
        <is>
          <t>APR</t>
        </is>
      </c>
      <c r="F27" t="inlineStr">
        <is>
          <t>MAY</t>
        </is>
      </c>
      <c r="G27" t="inlineStr">
        <is>
          <t>JUN</t>
        </is>
      </c>
      <c r="H27" t="inlineStr">
        <is>
          <t>JUL</t>
        </is>
      </c>
      <c r="I27" t="inlineStr">
        <is>
          <t>AUG</t>
        </is>
      </c>
      <c r="J27" t="inlineStr">
        <is>
          <t>SEP</t>
        </is>
      </c>
      <c r="K27" t="inlineStr">
        <is>
          <t>OCT</t>
        </is>
      </c>
      <c r="L27" t="inlineStr">
        <is>
          <t>NOV</t>
        </is>
      </c>
      <c r="M27" t="inlineStr">
        <is>
          <t>DEC</t>
        </is>
      </c>
      <c r="N27" t="inlineStr">
        <is>
          <t>YEARLY</t>
        </is>
      </c>
    </row>
    <row r="28">
      <c r="A28" t="inlineStr">
        <is>
          <t>Art Sales</t>
        </is>
      </c>
      <c r="N28" t="n">
        <v>26294.06</v>
      </c>
    </row>
    <row r="29">
      <c r="A29" t="inlineStr">
        <is>
          <t>Consultant</t>
        </is>
      </c>
      <c r="N29">
        <f>SUM(B29:M29)</f>
        <v/>
      </c>
    </row>
    <row r="30">
      <c r="A30" t="inlineStr">
        <is>
          <t>Total</t>
        </is>
      </c>
      <c r="B30">
        <f>SUM(B28:B29)</f>
        <v/>
      </c>
      <c r="C30">
        <f>SUM(C28:C29)</f>
        <v/>
      </c>
      <c r="D30">
        <f>SUM(D28:D29)</f>
        <v/>
      </c>
      <c r="E30">
        <f>SUM(E28:E29)</f>
        <v/>
      </c>
      <c r="F30">
        <f>SUM(F28:F29)</f>
        <v/>
      </c>
      <c r="G30">
        <f>SUM(G28:G29)</f>
        <v/>
      </c>
      <c r="H30">
        <f>SUM(H28:H29)</f>
        <v/>
      </c>
      <c r="I30">
        <f>SUM(I28:I29)</f>
        <v/>
      </c>
      <c r="J30">
        <f>SUM(J28:J29)</f>
        <v/>
      </c>
      <c r="K30">
        <f>SUM(K28:K29)</f>
        <v/>
      </c>
      <c r="L30">
        <f>SUM(L28:L29)</f>
        <v/>
      </c>
      <c r="M30">
        <f>SUM(M28:M29)</f>
        <v/>
      </c>
      <c r="N30">
        <f>SUM(N28:N29)</f>
        <v/>
      </c>
    </row>
    <row r="32">
      <c r="A32" t="inlineStr">
        <is>
          <t>EXPENSES</t>
        </is>
      </c>
      <c r="B32" t="inlineStr">
        <is>
          <t>JAN</t>
        </is>
      </c>
      <c r="C32" t="inlineStr">
        <is>
          <t>FEB</t>
        </is>
      </c>
      <c r="D32" t="inlineStr">
        <is>
          <t>MAR</t>
        </is>
      </c>
      <c r="E32" t="inlineStr">
        <is>
          <t>APR</t>
        </is>
      </c>
      <c r="F32" t="inlineStr">
        <is>
          <t>MAY</t>
        </is>
      </c>
      <c r="G32" t="inlineStr">
        <is>
          <t>JUN</t>
        </is>
      </c>
      <c r="H32" t="inlineStr">
        <is>
          <t>JUL</t>
        </is>
      </c>
      <c r="I32" t="inlineStr">
        <is>
          <t>AUG</t>
        </is>
      </c>
      <c r="J32" t="inlineStr">
        <is>
          <t>SEP</t>
        </is>
      </c>
      <c r="K32" t="inlineStr">
        <is>
          <t>OCT</t>
        </is>
      </c>
      <c r="L32" t="inlineStr">
        <is>
          <t>NOV</t>
        </is>
      </c>
      <c r="M32" t="inlineStr">
        <is>
          <t>DEC</t>
        </is>
      </c>
      <c r="N32" t="inlineStr">
        <is>
          <t>YEARLY</t>
        </is>
      </c>
    </row>
    <row r="33">
      <c r="A33" t="inlineStr">
        <is>
          <t>Supplies (office and operating)</t>
        </is>
      </c>
      <c r="B33" t="n">
        <v>13.59</v>
      </c>
      <c r="C33" t="n">
        <v>5.94</v>
      </c>
      <c r="D33" t="n">
        <v>31.89</v>
      </c>
      <c r="N33">
        <f>SUM(B33:M33)</f>
        <v/>
      </c>
    </row>
    <row r="34">
      <c r="A34" t="inlineStr">
        <is>
          <t>Office Construction</t>
        </is>
      </c>
      <c r="N34">
        <f>SUM(B34:M34)</f>
        <v/>
      </c>
    </row>
    <row r="35">
      <c r="A35" t="inlineStr">
        <is>
          <t xml:space="preserve">Office Interior </t>
        </is>
      </c>
      <c r="N35">
        <f>SUM(B35:M35)</f>
        <v/>
      </c>
    </row>
    <row r="36">
      <c r="A36" t="inlineStr">
        <is>
          <t>Office Furniture</t>
        </is>
      </c>
      <c r="G36" t="n">
        <v>263.98</v>
      </c>
      <c r="H36" t="n">
        <v>165</v>
      </c>
      <c r="N36">
        <f>SUM(B36:M36)</f>
        <v/>
      </c>
    </row>
    <row r="37">
      <c r="A37" t="inlineStr">
        <is>
          <t>Repairs and maintenance</t>
        </is>
      </c>
      <c r="N37">
        <f>SUM(B37:M37)</f>
        <v/>
      </c>
    </row>
    <row r="38">
      <c r="A38" t="inlineStr">
        <is>
          <t>Advertising</t>
        </is>
      </c>
      <c r="D38" t="n">
        <v>60</v>
      </c>
      <c r="E38" t="n">
        <v>164.86</v>
      </c>
      <c r="F38" t="n">
        <v>34.91</v>
      </c>
      <c r="N38">
        <f>SUM(B38:M38)</f>
        <v/>
      </c>
    </row>
    <row r="39">
      <c r="A39" t="inlineStr">
        <is>
          <t>Travel, Meals, and Entertainment</t>
        </is>
      </c>
      <c r="C39" t="n">
        <v>1169.05</v>
      </c>
      <c r="E39" t="n">
        <v>1613.5</v>
      </c>
      <c r="J39" t="n">
        <v>923.42</v>
      </c>
      <c r="L39" t="n">
        <v>1059.45</v>
      </c>
      <c r="N39">
        <f>SUM(B39:M39)</f>
        <v/>
      </c>
    </row>
    <row r="40">
      <c r="A40" t="inlineStr">
        <is>
          <t>Accounting and legal</t>
        </is>
      </c>
      <c r="N40">
        <f>SUM(B40:M40)</f>
        <v/>
      </c>
    </row>
    <row r="41">
      <c r="A41" t="inlineStr">
        <is>
          <t>Cellphone and Internet</t>
        </is>
      </c>
      <c r="B41" t="n">
        <v>77.66</v>
      </c>
      <c r="C41" t="n">
        <v>77.45</v>
      </c>
      <c r="D41" t="n">
        <v>77.45</v>
      </c>
      <c r="E41" t="n">
        <v>77.43000000000001</v>
      </c>
      <c r="F41" t="n">
        <v>77.43000000000001</v>
      </c>
      <c r="G41" t="n">
        <v>162.86</v>
      </c>
      <c r="H41" t="n">
        <v>267.46</v>
      </c>
      <c r="I41" t="n">
        <v>88.54000000000001</v>
      </c>
      <c r="J41" t="n">
        <v>88.72</v>
      </c>
      <c r="K41" t="n">
        <v>93.61</v>
      </c>
      <c r="L41" t="n">
        <v>111.83</v>
      </c>
      <c r="M41" t="n">
        <v>106.67</v>
      </c>
      <c r="N41">
        <f>SUM(B41:M41)</f>
        <v/>
      </c>
    </row>
    <row r="42">
      <c r="A42" t="inlineStr">
        <is>
          <t>Software Fees</t>
        </is>
      </c>
      <c r="B42" t="n">
        <v>30</v>
      </c>
      <c r="C42" t="n">
        <v>30</v>
      </c>
      <c r="D42" t="n">
        <v>30</v>
      </c>
      <c r="E42" t="n">
        <v>30</v>
      </c>
      <c r="F42" t="n">
        <v>30</v>
      </c>
      <c r="G42" t="n">
        <v>30</v>
      </c>
      <c r="H42" t="n">
        <v>30</v>
      </c>
      <c r="I42" t="n">
        <v>30</v>
      </c>
      <c r="J42" t="n">
        <v>30</v>
      </c>
      <c r="K42" t="n">
        <v>50</v>
      </c>
      <c r="L42" t="n">
        <v>50</v>
      </c>
      <c r="M42" t="n">
        <v>50</v>
      </c>
      <c r="N42">
        <f>SUM(B42:M42)</f>
        <v/>
      </c>
    </row>
    <row r="43">
      <c r="A43" t="inlineStr">
        <is>
          <t>Tech</t>
        </is>
      </c>
      <c r="E43" t="n">
        <v>20</v>
      </c>
      <c r="F43" t="n">
        <v>192</v>
      </c>
      <c r="L43" t="n">
        <v>628.59</v>
      </c>
      <c r="N43">
        <f>SUM(B43:M43)</f>
        <v/>
      </c>
    </row>
    <row r="44">
      <c r="A44" t="inlineStr">
        <is>
          <t>Consultant Fees</t>
        </is>
      </c>
      <c r="J44" t="n">
        <v>316.5</v>
      </c>
      <c r="N44">
        <f>SUM(B44:M44)</f>
        <v/>
      </c>
    </row>
    <row r="45">
      <c r="A45" t="inlineStr">
        <is>
          <t>Art Library</t>
        </is>
      </c>
      <c r="M45" t="n">
        <v>197.44</v>
      </c>
      <c r="N45">
        <f>SUM(B45:M45)</f>
        <v/>
      </c>
    </row>
    <row r="46">
      <c r="A46" t="inlineStr">
        <is>
          <t>Utilities</t>
        </is>
      </c>
      <c r="N46">
        <f>SUM(B46:M46)</f>
        <v/>
      </c>
    </row>
    <row r="47">
      <c r="A47" t="inlineStr">
        <is>
          <t>Insurance</t>
        </is>
      </c>
      <c r="N47">
        <f>SUM(B47:M47)</f>
        <v/>
      </c>
    </row>
    <row r="48">
      <c r="A48" t="inlineStr">
        <is>
          <t>TOTAL EXPENSES</t>
        </is>
      </c>
      <c r="B48">
        <f>SUM(B33:B47)</f>
        <v/>
      </c>
      <c r="C48">
        <f>SUM(C33:C47)</f>
        <v/>
      </c>
      <c r="D48">
        <f>SUM(D33:D47)</f>
        <v/>
      </c>
      <c r="E48">
        <f>SUM(E33:E47)</f>
        <v/>
      </c>
      <c r="F48">
        <f>SUM(F33:F47)</f>
        <v/>
      </c>
      <c r="G48">
        <f>SUM(G33:G47)</f>
        <v/>
      </c>
      <c r="H48">
        <f>SUM(H33:H47)</f>
        <v/>
      </c>
      <c r="I48">
        <f>SUM(I33:I47)</f>
        <v/>
      </c>
      <c r="J48">
        <f>SUM(J33:J47)</f>
        <v/>
      </c>
      <c r="K48">
        <f>SUM(K33:K47)</f>
        <v/>
      </c>
      <c r="L48">
        <f>SUM(L33:L47)</f>
        <v/>
      </c>
      <c r="M48">
        <f>SUM(M33:M47)</f>
        <v/>
      </c>
      <c r="N48">
        <f>SUM(N33:N47)</f>
        <v/>
      </c>
    </row>
    <row r="50">
      <c r="A50" t="inlineStr">
        <is>
          <t>YEAR TO DATE LESS EXPENSES</t>
        </is>
      </c>
      <c r="B50">
        <f>SUM(B30-B48)</f>
        <v/>
      </c>
      <c r="C50">
        <f>SUM(C30-C48)</f>
        <v/>
      </c>
      <c r="D50">
        <f>SUM(D30-D48)</f>
        <v/>
      </c>
      <c r="E50">
        <f>SUM(E30-E48)</f>
        <v/>
      </c>
      <c r="F50">
        <f>SUM(F30-F48)</f>
        <v/>
      </c>
      <c r="G50">
        <f>SUM(G30-G48)</f>
        <v/>
      </c>
      <c r="H50">
        <f>SUM(H30-H48)</f>
        <v/>
      </c>
      <c r="I50">
        <f>SUM(I30-I48)</f>
        <v/>
      </c>
      <c r="J50">
        <f>SUM(J30-J48)</f>
        <v/>
      </c>
      <c r="K50">
        <f>SUM(K30-K48)</f>
        <v/>
      </c>
      <c r="L50">
        <f>SUM(L30-L48)</f>
        <v/>
      </c>
      <c r="M50">
        <f>SUM(M30-M48)</f>
        <v/>
      </c>
      <c r="N50">
        <f>SUM(N30-N48)</f>
        <v/>
      </c>
    </row>
    <row r="51">
      <c r="A51" t="n">
        <v>2025</v>
      </c>
    </row>
    <row r="52">
      <c r="A52" t="inlineStr">
        <is>
          <t>INCOME</t>
        </is>
      </c>
      <c r="B52" t="inlineStr">
        <is>
          <t>JAN</t>
        </is>
      </c>
      <c r="C52" t="inlineStr">
        <is>
          <t>FEB</t>
        </is>
      </c>
      <c r="D52" t="inlineStr">
        <is>
          <t>MAR</t>
        </is>
      </c>
      <c r="E52" t="inlineStr">
        <is>
          <t>APR</t>
        </is>
      </c>
      <c r="F52" t="inlineStr">
        <is>
          <t>MAY</t>
        </is>
      </c>
      <c r="G52" t="inlineStr">
        <is>
          <t>JUN</t>
        </is>
      </c>
      <c r="H52" t="inlineStr">
        <is>
          <t>JUL</t>
        </is>
      </c>
      <c r="I52" t="inlineStr">
        <is>
          <t>AUG</t>
        </is>
      </c>
      <c r="J52" t="inlineStr">
        <is>
          <t>SEP</t>
        </is>
      </c>
      <c r="K52" t="inlineStr">
        <is>
          <t>OCT</t>
        </is>
      </c>
      <c r="L52" t="inlineStr">
        <is>
          <t>NOV</t>
        </is>
      </c>
      <c r="M52" t="inlineStr">
        <is>
          <t>DEC</t>
        </is>
      </c>
      <c r="N52" t="inlineStr">
        <is>
          <t>YEARLY</t>
        </is>
      </c>
    </row>
    <row r="53">
      <c r="A53" t="inlineStr">
        <is>
          <t>Art Sales</t>
        </is>
      </c>
      <c r="B53" t="n">
        <v>14000</v>
      </c>
      <c r="C53" t="n">
        <v>136000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SUM(B53:M53)</f>
        <v/>
      </c>
    </row>
    <row r="54">
      <c r="A54" t="inlineStr">
        <is>
          <t>Consultant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13595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SUM(B54:M54)</f>
        <v/>
      </c>
    </row>
    <row r="55">
      <c r="A55" t="inlineStr">
        <is>
          <t>Total</t>
        </is>
      </c>
      <c r="B55">
        <f>SUM(B53:B54)</f>
        <v/>
      </c>
      <c r="C55">
        <f>SUM(C53:C54)</f>
        <v/>
      </c>
      <c r="D55">
        <f>SUM(D53:D54)</f>
        <v/>
      </c>
      <c r="E55">
        <f>SUM(E53:E54)</f>
        <v/>
      </c>
      <c r="F55">
        <f>SUM(F53:F54)</f>
        <v/>
      </c>
      <c r="G55">
        <f>SUM(G53:G54)</f>
        <v/>
      </c>
      <c r="H55">
        <f>SUM(H53:H54)</f>
        <v/>
      </c>
      <c r="I55">
        <f>SUM(I53:I54)</f>
        <v/>
      </c>
      <c r="J55">
        <f>SUM(J53:J54)</f>
        <v/>
      </c>
      <c r="K55">
        <f>SUM(K53:K54)</f>
        <v/>
      </c>
      <c r="L55">
        <f>SUM(L53:L54)</f>
        <v/>
      </c>
      <c r="M55">
        <f>SUM(M53:M54)</f>
        <v/>
      </c>
      <c r="N55">
        <f>SUM(N53:N54)</f>
        <v/>
      </c>
    </row>
    <row r="57">
      <c r="A57" t="inlineStr">
        <is>
          <t>EXPENSES</t>
        </is>
      </c>
      <c r="B57" t="inlineStr">
        <is>
          <t>JAN</t>
        </is>
      </c>
      <c r="C57" t="inlineStr">
        <is>
          <t>FEB</t>
        </is>
      </c>
      <c r="D57" t="inlineStr">
        <is>
          <t>MAR</t>
        </is>
      </c>
      <c r="E57" t="inlineStr">
        <is>
          <t>APR</t>
        </is>
      </c>
      <c r="F57" t="inlineStr">
        <is>
          <t>MAY</t>
        </is>
      </c>
      <c r="G57" t="inlineStr">
        <is>
          <t>JUN</t>
        </is>
      </c>
      <c r="H57" t="inlineStr">
        <is>
          <t>JUL</t>
        </is>
      </c>
      <c r="I57" t="inlineStr">
        <is>
          <t>AUG</t>
        </is>
      </c>
      <c r="J57" t="inlineStr">
        <is>
          <t>SEP</t>
        </is>
      </c>
      <c r="K57" t="inlineStr">
        <is>
          <t>OCT</t>
        </is>
      </c>
      <c r="L57" t="inlineStr">
        <is>
          <t>NOV</t>
        </is>
      </c>
      <c r="M57" t="inlineStr">
        <is>
          <t>DEC</t>
        </is>
      </c>
      <c r="N57" t="inlineStr">
        <is>
          <t>YEARLY</t>
        </is>
      </c>
    </row>
    <row r="58">
      <c r="A58" t="inlineStr">
        <is>
          <t>Supplies (office and operating)</t>
        </is>
      </c>
      <c r="B58" t="n">
        <v>0</v>
      </c>
      <c r="C58" t="n">
        <v>0</v>
      </c>
      <c r="D58" t="n">
        <v>0</v>
      </c>
      <c r="N58">
        <f>SUM(B58:M58)</f>
        <v/>
      </c>
    </row>
    <row r="59">
      <c r="A59" t="inlineStr">
        <is>
          <t>Office Construction</t>
        </is>
      </c>
      <c r="N59">
        <f>SUM(B59:M59)</f>
        <v/>
      </c>
    </row>
    <row r="60">
      <c r="A60" t="inlineStr">
        <is>
          <t xml:space="preserve">Office Interior </t>
        </is>
      </c>
      <c r="N60">
        <f>SUM(B60:M60)</f>
        <v/>
      </c>
    </row>
    <row r="61">
      <c r="A61" t="inlineStr">
        <is>
          <t>Office Furniture</t>
        </is>
      </c>
      <c r="G61" t="n">
        <v>0</v>
      </c>
      <c r="H61" t="n">
        <v>0</v>
      </c>
      <c r="N61">
        <f>SUM(B61:M61)</f>
        <v/>
      </c>
    </row>
    <row r="62">
      <c r="A62" t="inlineStr">
        <is>
          <t>Repairs and maintenance</t>
        </is>
      </c>
      <c r="N62">
        <f>SUM(B62:M62)</f>
        <v/>
      </c>
    </row>
    <row r="63">
      <c r="A63" t="inlineStr">
        <is>
          <t>Advertising</t>
        </is>
      </c>
      <c r="B63" t="n">
        <v>0</v>
      </c>
      <c r="C63" t="n">
        <v>0</v>
      </c>
      <c r="D63" t="n">
        <v>755.98</v>
      </c>
      <c r="E63" t="n">
        <v>0</v>
      </c>
      <c r="F63" t="n">
        <v>199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SUM(B63:M63)</f>
        <v/>
      </c>
    </row>
    <row r="64">
      <c r="A64" t="inlineStr">
        <is>
          <t>Travel, Meals, and Entertainment</t>
        </is>
      </c>
      <c r="B64" t="n">
        <v>0</v>
      </c>
      <c r="C64" t="n">
        <v>20</v>
      </c>
      <c r="D64" t="n">
        <v>0</v>
      </c>
      <c r="E64" t="n">
        <v>0</v>
      </c>
      <c r="F64" t="n">
        <v>20</v>
      </c>
      <c r="G64" t="n">
        <v>0</v>
      </c>
      <c r="H64" t="n">
        <v>20</v>
      </c>
      <c r="I64" t="n">
        <v>20</v>
      </c>
      <c r="J64" t="n">
        <v>0</v>
      </c>
      <c r="K64" t="n">
        <v>20</v>
      </c>
      <c r="L64" t="n">
        <v>53</v>
      </c>
      <c r="M64" t="n">
        <v>0</v>
      </c>
      <c r="N64">
        <f>SUM(B64:M64)</f>
        <v/>
      </c>
    </row>
    <row r="65">
      <c r="A65" t="inlineStr">
        <is>
          <t>Accounting and legal</t>
        </is>
      </c>
      <c r="N65">
        <f>SUM(B65:M65)</f>
        <v/>
      </c>
    </row>
    <row r="66">
      <c r="A66" t="inlineStr">
        <is>
          <t>Cellphone and Internet</t>
        </is>
      </c>
      <c r="B66" t="n">
        <v>51.12</v>
      </c>
      <c r="C66" t="n">
        <v>93.26000000000001</v>
      </c>
      <c r="D66" t="n">
        <v>98.26000000000001</v>
      </c>
      <c r="E66" t="n">
        <v>98.26000000000001</v>
      </c>
      <c r="F66" t="n">
        <v>98.26000000000001</v>
      </c>
      <c r="G66" t="n">
        <v>98.26000000000001</v>
      </c>
      <c r="H66" t="n">
        <v>98.23</v>
      </c>
      <c r="I66" t="n">
        <v>98.34</v>
      </c>
      <c r="J66" t="n">
        <v>98.34</v>
      </c>
      <c r="K66" t="n">
        <v>98.39</v>
      </c>
      <c r="L66" t="n">
        <v>98.39</v>
      </c>
      <c r="M66" t="n">
        <v>97.91</v>
      </c>
      <c r="N66">
        <f>SUM(B66:M66)</f>
        <v/>
      </c>
    </row>
    <row r="67">
      <c r="A67" t="inlineStr">
        <is>
          <t>Software Fees</t>
        </is>
      </c>
      <c r="B67" t="n">
        <v>22.17</v>
      </c>
      <c r="C67" t="n">
        <v>22.17</v>
      </c>
      <c r="D67" t="n">
        <v>22.17</v>
      </c>
      <c r="E67" t="n">
        <v>22.17</v>
      </c>
      <c r="F67" t="n">
        <v>22.17</v>
      </c>
      <c r="G67" t="n">
        <v>22.17</v>
      </c>
      <c r="H67" t="n">
        <v>22.17</v>
      </c>
      <c r="I67" t="n">
        <v>2.17</v>
      </c>
      <c r="J67" t="n">
        <v>57.17</v>
      </c>
      <c r="K67" t="n">
        <v>37.17</v>
      </c>
      <c r="L67" t="n">
        <v>17.17</v>
      </c>
      <c r="M67" t="n">
        <v>57.17</v>
      </c>
      <c r="N67">
        <f>SUM(B67:M67)</f>
        <v/>
      </c>
    </row>
    <row r="68">
      <c r="A68" t="inlineStr">
        <is>
          <t>Tech</t>
        </is>
      </c>
      <c r="B68" t="n">
        <v>0</v>
      </c>
      <c r="C68" t="n">
        <v>0</v>
      </c>
      <c r="D68" t="n">
        <v>0</v>
      </c>
      <c r="E68" t="n">
        <v>20</v>
      </c>
      <c r="F68" t="n">
        <v>192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SUM(B68:M68)</f>
        <v/>
      </c>
    </row>
    <row r="69">
      <c r="A69" t="inlineStr">
        <is>
          <t>Consultant Fees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334.17</v>
      </c>
      <c r="I69" t="n">
        <v>0</v>
      </c>
      <c r="J69" t="n">
        <v>0</v>
      </c>
      <c r="K69" t="n">
        <v>658.63</v>
      </c>
      <c r="L69" t="n">
        <v>0</v>
      </c>
      <c r="M69" t="n">
        <v>0</v>
      </c>
      <c r="N69">
        <f>SUM(B69:M69)</f>
        <v/>
      </c>
    </row>
    <row r="70">
      <c r="A70" t="inlineStr">
        <is>
          <t>Art Library</t>
        </is>
      </c>
      <c r="B70" t="n">
        <v>153.44</v>
      </c>
      <c r="C70" t="n">
        <v>78.47</v>
      </c>
      <c r="D70" t="n">
        <v>0</v>
      </c>
      <c r="E70" t="n">
        <v>63.69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SUM(B70:M70)</f>
        <v/>
      </c>
    </row>
    <row r="71">
      <c r="A71" t="inlineStr">
        <is>
          <t>Utilities</t>
        </is>
      </c>
      <c r="N71">
        <f>SUM(B71:M71)</f>
        <v/>
      </c>
    </row>
    <row r="72">
      <c r="A72" t="inlineStr">
        <is>
          <t>Insurance</t>
        </is>
      </c>
      <c r="N72">
        <f>SUM(B72:M72)</f>
        <v/>
      </c>
    </row>
    <row r="73">
      <c r="A73" t="inlineStr">
        <is>
          <t>TOTAL EXPENSES</t>
        </is>
      </c>
      <c r="B73">
        <f>SUM(B58:B72)</f>
        <v/>
      </c>
      <c r="C73">
        <f>SUM(C58:C72)</f>
        <v/>
      </c>
      <c r="D73">
        <f>SUM(D58:D72)</f>
        <v/>
      </c>
      <c r="E73">
        <f>SUM(E58:E72)</f>
        <v/>
      </c>
      <c r="F73">
        <f>SUM(F58:F72)</f>
        <v/>
      </c>
      <c r="G73">
        <f>SUM(G58:G72)</f>
        <v/>
      </c>
      <c r="H73">
        <f>SUM(H58:H72)</f>
        <v/>
      </c>
      <c r="I73">
        <f>SUM(I58:I72)</f>
        <v/>
      </c>
      <c r="J73">
        <f>SUM(J58:J72)</f>
        <v/>
      </c>
      <c r="K73">
        <f>SUM(K58:K72)</f>
        <v/>
      </c>
      <c r="L73">
        <f>SUM(L58:L72)</f>
        <v/>
      </c>
      <c r="M73">
        <f>SUM(M58:M72)</f>
        <v/>
      </c>
      <c r="N73">
        <f>SUM(N58:N72)</f>
        <v/>
      </c>
    </row>
    <row r="75">
      <c r="A75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133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2">
      <c r="A2" t="inlineStr">
        <is>
          <t>Sales 2022</t>
        </is>
      </c>
    </row>
    <row r="3">
      <c r="A3" t="inlineStr">
        <is>
          <t>Object</t>
        </is>
      </c>
      <c r="B3" t="inlineStr">
        <is>
          <t>From</t>
        </is>
      </c>
      <c r="C3" t="inlineStr">
        <is>
          <t>Cost</t>
        </is>
      </c>
      <c r="D3" t="inlineStr">
        <is>
          <t xml:space="preserve">Purchase Date </t>
        </is>
      </c>
      <c r="E3" t="inlineStr">
        <is>
          <t>To</t>
        </is>
      </c>
      <c r="F3" t="inlineStr">
        <is>
          <t>Sale Price</t>
        </is>
      </c>
      <c r="G3" t="inlineStr">
        <is>
          <t>Sale Date</t>
        </is>
      </c>
      <c r="H3" t="inlineStr">
        <is>
          <t>Net Income</t>
        </is>
      </c>
      <c r="I3" t="inlineStr">
        <is>
          <t>ROI (%)</t>
        </is>
      </c>
      <c r="J3" t="inlineStr">
        <is>
          <t xml:space="preserve">Days in Inventory </t>
        </is>
      </c>
    </row>
    <row r="4">
      <c r="A4" t="inlineStr">
        <is>
          <t>An Ashanti Wood Fertility Figure</t>
        </is>
      </c>
      <c r="B4" t="inlineStr">
        <is>
          <t>Live Auctioneers</t>
        </is>
      </c>
      <c r="C4" t="n">
        <v>450</v>
      </c>
      <c r="D4" t="inlineStr">
        <is>
          <t>2021-05-28 00:00:00</t>
        </is>
      </c>
      <c r="E4" t="inlineStr">
        <is>
          <t>Hindman</t>
        </is>
      </c>
      <c r="F4" t="n">
        <v>500</v>
      </c>
      <c r="G4" t="inlineStr">
        <is>
          <t>2022-07-13 00:00:00</t>
        </is>
      </c>
      <c r="H4">
        <f>SUM(F4-C4)</f>
        <v/>
      </c>
      <c r="I4">
        <f>H4/C4</f>
        <v/>
      </c>
      <c r="J4">
        <f>G4-D4</f>
        <v/>
      </c>
    </row>
    <row r="5">
      <c r="A5" t="inlineStr">
        <is>
          <t>A Large Maya Hardstone Celt</t>
        </is>
      </c>
      <c r="B5" t="inlineStr">
        <is>
          <t>Live Auctioneers</t>
        </is>
      </c>
      <c r="C5" t="n">
        <v>906.37</v>
      </c>
      <c r="D5" t="inlineStr">
        <is>
          <t>2021-12-05 00:00:00</t>
        </is>
      </c>
      <c r="E5" t="inlineStr">
        <is>
          <t>Hindman</t>
        </is>
      </c>
      <c r="F5" t="n">
        <v>1000</v>
      </c>
      <c r="G5" t="inlineStr">
        <is>
          <t>2022-07-13 00:00:00</t>
        </is>
      </c>
      <c r="H5">
        <f>SUM(F5-C5)</f>
        <v/>
      </c>
      <c r="I5">
        <f>H5/C5</f>
        <v/>
      </c>
      <c r="J5">
        <f>G5-D5</f>
        <v/>
      </c>
    </row>
    <row r="6">
      <c r="A6" t="inlineStr">
        <is>
          <t>A Mezcala Stone Figure</t>
        </is>
      </c>
      <c r="B6" t="inlineStr">
        <is>
          <t>Live Auctioneers</t>
        </is>
      </c>
      <c r="C6" t="n">
        <v>239</v>
      </c>
      <c r="D6" t="inlineStr">
        <is>
          <t>2021-12-18 00:00:00</t>
        </is>
      </c>
      <c r="E6" t="inlineStr">
        <is>
          <t>Hindman</t>
        </is>
      </c>
      <c r="F6" t="n">
        <v>400</v>
      </c>
      <c r="G6" t="inlineStr">
        <is>
          <t>2022-07-13 00:00:00</t>
        </is>
      </c>
      <c r="H6">
        <f>SUM(F6-C6)</f>
        <v/>
      </c>
      <c r="I6">
        <f>H6/C6</f>
        <v/>
      </c>
      <c r="J6">
        <f>G6-D6</f>
        <v/>
      </c>
    </row>
    <row r="7">
      <c r="A7" t="inlineStr">
        <is>
          <t>A Veracruz Sonriente Figure</t>
        </is>
      </c>
      <c r="B7" t="inlineStr">
        <is>
          <t>Live Auctioneers</t>
        </is>
      </c>
      <c r="C7" t="n">
        <v>900</v>
      </c>
      <c r="D7" t="inlineStr">
        <is>
          <t>2022-01-08 00:00:00</t>
        </is>
      </c>
      <c r="E7" t="inlineStr">
        <is>
          <t>Hindman</t>
        </is>
      </c>
      <c r="F7" t="n">
        <v>1100</v>
      </c>
      <c r="G7" t="inlineStr">
        <is>
          <t>2022-07-13 00:00:00</t>
        </is>
      </c>
      <c r="H7">
        <f>SUM(F7-C7)</f>
        <v/>
      </c>
      <c r="I7">
        <f>H7/C7</f>
        <v/>
      </c>
      <c r="J7">
        <f>G7-D7</f>
        <v/>
      </c>
    </row>
    <row r="8">
      <c r="A8" t="inlineStr">
        <is>
          <t>A Tairona Metal Tumbaga</t>
        </is>
      </c>
      <c r="B8" t="inlineStr">
        <is>
          <t>Live Auctioneers</t>
        </is>
      </c>
      <c r="C8" t="n">
        <v>172</v>
      </c>
      <c r="D8" t="inlineStr">
        <is>
          <t>2022-01-08 00:00:00</t>
        </is>
      </c>
      <c r="E8" t="inlineStr">
        <is>
          <t>Hindman</t>
        </is>
      </c>
      <c r="F8" t="n">
        <v>375</v>
      </c>
      <c r="G8" t="inlineStr">
        <is>
          <t>2022-07-13 00:00:00</t>
        </is>
      </c>
      <c r="H8">
        <f>SUM(F8-C8)</f>
        <v/>
      </c>
      <c r="I8">
        <f>H8/C8</f>
        <v/>
      </c>
      <c r="J8">
        <f>G8-D8</f>
        <v/>
      </c>
    </row>
    <row r="9">
      <c r="A9" t="inlineStr">
        <is>
          <t>Four Thracian Gilt-Silver Double Eagle Plaques</t>
        </is>
      </c>
      <c r="B9" t="inlineStr">
        <is>
          <t>Hindman</t>
        </is>
      </c>
      <c r="C9" t="n">
        <v>400</v>
      </c>
      <c r="D9" t="inlineStr">
        <is>
          <t>2021-05-27 00:00:00</t>
        </is>
      </c>
      <c r="E9" t="inlineStr">
        <is>
          <t>Hindman</t>
        </is>
      </c>
      <c r="F9" t="n">
        <v>500</v>
      </c>
      <c r="G9" t="inlineStr">
        <is>
          <t>2022-11-12 00:00:00</t>
        </is>
      </c>
      <c r="H9">
        <f>SUM(F9-C9)</f>
        <v/>
      </c>
      <c r="I9">
        <f>H9/C9</f>
        <v/>
      </c>
      <c r="J9">
        <f>G9-D9</f>
        <v/>
      </c>
    </row>
    <row r="10">
      <c r="A10" t="inlineStr">
        <is>
          <t>A Thracian Gilt-Silver Tondo of a Female Bust</t>
        </is>
      </c>
      <c r="B10" t="inlineStr">
        <is>
          <t>Hindman</t>
        </is>
      </c>
      <c r="C10" t="n">
        <v>375</v>
      </c>
      <c r="D10" t="inlineStr">
        <is>
          <t>2021-05-27 00:00:00</t>
        </is>
      </c>
      <c r="E10" t="inlineStr">
        <is>
          <t>Hindman</t>
        </is>
      </c>
      <c r="F10" t="n">
        <v>700</v>
      </c>
      <c r="G10" t="inlineStr">
        <is>
          <t>2022-11-12 00:00:00</t>
        </is>
      </c>
      <c r="H10">
        <f>SUM(F10-C10)</f>
        <v/>
      </c>
      <c r="I10">
        <f>H10/C10</f>
        <v/>
      </c>
      <c r="J10">
        <f>G10-D10</f>
        <v/>
      </c>
    </row>
    <row r="11">
      <c r="A11" t="inlineStr">
        <is>
          <t>A Pair of Canosan Painted Pottery Oinochoai</t>
        </is>
      </c>
      <c r="B11" t="inlineStr">
        <is>
          <t>Hindman</t>
        </is>
      </c>
      <c r="C11" t="n">
        <v>6250</v>
      </c>
      <c r="D11" t="inlineStr">
        <is>
          <t>2021-05-27 00:00:00</t>
        </is>
      </c>
      <c r="E11" t="inlineStr">
        <is>
          <t>Hindman</t>
        </is>
      </c>
      <c r="F11" t="n">
        <v>15000</v>
      </c>
      <c r="G11" t="inlineStr">
        <is>
          <t>2022-11-12 00:00:00</t>
        </is>
      </c>
      <c r="H11">
        <f>SUM(F11-C11)</f>
        <v/>
      </c>
      <c r="I11">
        <f>H11/C11</f>
        <v/>
      </c>
      <c r="J11">
        <f>G11-D11</f>
        <v/>
      </c>
    </row>
    <row r="12">
      <c r="A12" t="inlineStr">
        <is>
          <t xml:space="preserve">Thirteen Saharan Stone Bracelets and Discoidals </t>
        </is>
      </c>
      <c r="B12" t="inlineStr">
        <is>
          <t>Amyas Naegele</t>
        </is>
      </c>
      <c r="C12" t="n">
        <v>6100</v>
      </c>
      <c r="D12" t="inlineStr">
        <is>
          <t>2022-05-11 00:00:00</t>
        </is>
      </c>
      <c r="E12" t="inlineStr">
        <is>
          <t>Aquinas Hobor</t>
        </is>
      </c>
      <c r="F12" t="n">
        <v>8000</v>
      </c>
      <c r="G12" t="inlineStr">
        <is>
          <t>2022-12-13 00:00:00</t>
        </is>
      </c>
      <c r="H12">
        <f>SUM(F12-C12)</f>
        <v/>
      </c>
      <c r="I12">
        <f>H12/C12</f>
        <v/>
      </c>
      <c r="J12">
        <f>G12-D12</f>
        <v/>
      </c>
    </row>
    <row r="13">
      <c r="A13" t="inlineStr">
        <is>
          <t>A Greek Style Bronze Corinthian Helmet</t>
        </is>
      </c>
      <c r="B13" t="inlineStr">
        <is>
          <t>EBay</t>
        </is>
      </c>
      <c r="C13" t="n">
        <v>5250.97</v>
      </c>
      <c r="D13" t="inlineStr">
        <is>
          <t>2022-11-30 00:00:00</t>
        </is>
      </c>
      <c r="E13" t="inlineStr">
        <is>
          <t>Marco Mercanti</t>
        </is>
      </c>
      <c r="F13" t="n">
        <v>9000</v>
      </c>
      <c r="G13" t="inlineStr">
        <is>
          <t>2022-12-13 00:00:00</t>
        </is>
      </c>
      <c r="H13">
        <f>SUM(F13-C13)</f>
        <v/>
      </c>
      <c r="I13">
        <f>H13/C13</f>
        <v/>
      </c>
      <c r="J13">
        <f>G13-D13</f>
        <v/>
      </c>
    </row>
    <row r="14">
      <c r="A14" t="inlineStr">
        <is>
          <t>Total</t>
        </is>
      </c>
      <c r="C14">
        <f>SUM(C4:C13)</f>
        <v/>
      </c>
      <c r="F14">
        <f>SUM(F4:F13)</f>
        <v/>
      </c>
      <c r="H14">
        <f>SUM(H4:H13)</f>
        <v/>
      </c>
      <c r="I14">
        <f>H14/C14</f>
        <v/>
      </c>
      <c r="J14">
        <f>AVERAGE(J4:J13)</f>
        <v/>
      </c>
    </row>
    <row r="15">
      <c r="A15" t="inlineStr">
        <is>
          <t>Sales 2023</t>
        </is>
      </c>
    </row>
    <row r="16">
      <c r="A16" t="inlineStr">
        <is>
          <t>Object</t>
        </is>
      </c>
      <c r="B16" t="inlineStr">
        <is>
          <t>From</t>
        </is>
      </c>
      <c r="C16" t="inlineStr">
        <is>
          <t>Cost</t>
        </is>
      </c>
      <c r="D16" t="inlineStr">
        <is>
          <t xml:space="preserve">Purchase Date </t>
        </is>
      </c>
      <c r="E16" t="inlineStr">
        <is>
          <t>To</t>
        </is>
      </c>
      <c r="F16" t="inlineStr">
        <is>
          <t>Sale Price</t>
        </is>
      </c>
      <c r="G16" t="inlineStr">
        <is>
          <t>Sale Date</t>
        </is>
      </c>
      <c r="H16" t="inlineStr">
        <is>
          <t>Net Income</t>
        </is>
      </c>
    </row>
    <row r="17">
      <c r="A17" t="inlineStr">
        <is>
          <t>Greek Bronze Cheek Pieces</t>
        </is>
      </c>
      <c r="B17" t="inlineStr">
        <is>
          <t>eBay</t>
        </is>
      </c>
      <c r="C17" t="n">
        <v>2870.43</v>
      </c>
      <c r="D17" t="inlineStr">
        <is>
          <t>2022-12-23 00:00:00</t>
        </is>
      </c>
      <c r="E17" t="inlineStr">
        <is>
          <t>Hindman</t>
        </is>
      </c>
      <c r="F17" t="n">
        <v>8500</v>
      </c>
      <c r="G17" t="inlineStr">
        <is>
          <t>2023-05-25 00:00:00</t>
        </is>
      </c>
      <c r="H17">
        <f>SUM(F17-C17)</f>
        <v/>
      </c>
      <c r="I17">
        <f>H17/C17</f>
        <v/>
      </c>
      <c r="J17">
        <f>G17-D17</f>
        <v/>
      </c>
    </row>
    <row r="18">
      <c r="A18" t="inlineStr">
        <is>
          <t>Egyptian Neolithic Flint Tools (2)</t>
        </is>
      </c>
      <c r="B18" t="inlineStr">
        <is>
          <t>Arte Primitivo</t>
        </is>
      </c>
      <c r="C18" t="n">
        <v>392.14</v>
      </c>
      <c r="D18" t="inlineStr">
        <is>
          <t>2022-12-13 00:00:00</t>
        </is>
      </c>
      <c r="E18" t="inlineStr">
        <is>
          <t>Hindman</t>
        </is>
      </c>
      <c r="F18" t="n">
        <v>2500</v>
      </c>
      <c r="G18" t="inlineStr">
        <is>
          <t>2023-05-25 00:00:00</t>
        </is>
      </c>
      <c r="H18">
        <f>SUM(F18-C18)</f>
        <v/>
      </c>
      <c r="I18">
        <f>H18/C18</f>
        <v/>
      </c>
      <c r="J18">
        <f>G18-D18</f>
        <v/>
      </c>
    </row>
    <row r="19">
      <c r="A19" t="inlineStr">
        <is>
          <t>Apulian Red Figure Fragment</t>
        </is>
      </c>
      <c r="B19" t="inlineStr">
        <is>
          <t>Aaron Berk</t>
        </is>
      </c>
      <c r="C19" t="n">
        <v>750</v>
      </c>
      <c r="D19" t="inlineStr">
        <is>
          <t>2022-06-06 00:00:00</t>
        </is>
      </c>
      <c r="E19" t="inlineStr">
        <is>
          <t>Hindman</t>
        </is>
      </c>
      <c r="F19" t="n">
        <v>600</v>
      </c>
      <c r="G19" t="inlineStr">
        <is>
          <t>2023-05-25 00:00:00</t>
        </is>
      </c>
      <c r="H19">
        <f>SUM(F19-C19)</f>
        <v/>
      </c>
      <c r="I19">
        <f>H19/C19</f>
        <v/>
      </c>
      <c r="J19">
        <f>G19-D19</f>
        <v/>
      </c>
    </row>
    <row r="20">
      <c r="A20" t="inlineStr">
        <is>
          <t>A Roman-Style Rock Crystal Amphoriskos</t>
        </is>
      </c>
      <c r="B20" t="inlineStr">
        <is>
          <t>Live Auctioneers</t>
        </is>
      </c>
      <c r="C20" t="n">
        <v>1351.78</v>
      </c>
      <c r="D20" t="inlineStr">
        <is>
          <t>2022-07-28 00:00:00</t>
        </is>
      </c>
      <c r="E20" t="inlineStr">
        <is>
          <t>Hindman</t>
        </is>
      </c>
      <c r="F20" t="n">
        <v>1900</v>
      </c>
      <c r="G20" t="inlineStr">
        <is>
          <t>2023-05-25 00:00:00</t>
        </is>
      </c>
      <c r="H20">
        <f>SUM(F20-C20)</f>
        <v/>
      </c>
      <c r="I20">
        <f>H20/C20</f>
        <v/>
      </c>
      <c r="J20">
        <f>G20-D20</f>
        <v/>
      </c>
    </row>
    <row r="21">
      <c r="A21" t="inlineStr">
        <is>
          <t>A Roman Mosaic</t>
        </is>
      </c>
      <c r="B21" t="inlineStr">
        <is>
          <t>ebay</t>
        </is>
      </c>
      <c r="C21" t="n">
        <v>3938</v>
      </c>
      <c r="D21" t="inlineStr">
        <is>
          <t>2023-06-10 00:00:00</t>
        </is>
      </c>
      <c r="E21" t="inlineStr">
        <is>
          <t>Aaron Berk</t>
        </is>
      </c>
      <c r="F21" t="n">
        <v>8500</v>
      </c>
      <c r="G21" t="inlineStr">
        <is>
          <t>2023-06-22 00:00:00</t>
        </is>
      </c>
      <c r="H21">
        <f>SUM(F21-C21)</f>
        <v/>
      </c>
      <c r="I21">
        <f>H21/C21</f>
        <v/>
      </c>
      <c r="J21">
        <f>G21-D21</f>
        <v/>
      </c>
    </row>
    <row r="22">
      <c r="A22" t="inlineStr">
        <is>
          <t>Pre-Columbian Jade Earspools</t>
        </is>
      </c>
      <c r="B22" t="inlineStr">
        <is>
          <t>Live Auctioneers</t>
        </is>
      </c>
      <c r="C22" t="n">
        <v>233</v>
      </c>
      <c r="D22" t="inlineStr">
        <is>
          <t>2023-06-09 00:00:00</t>
        </is>
      </c>
      <c r="E22" t="inlineStr">
        <is>
          <t>Aaron Berk</t>
        </is>
      </c>
      <c r="F22" t="n">
        <v>500</v>
      </c>
      <c r="G22" t="inlineStr">
        <is>
          <t>2023-06-22 00:00:00</t>
        </is>
      </c>
      <c r="H22">
        <f>SUM(F22-C22)</f>
        <v/>
      </c>
      <c r="I22">
        <f>H22/C22</f>
        <v/>
      </c>
      <c r="J22">
        <f>G22-D22</f>
        <v/>
      </c>
    </row>
    <row r="23">
      <c r="A23" t="inlineStr">
        <is>
          <t>Teo Alabaster Mask</t>
        </is>
      </c>
      <c r="B23" t="inlineStr">
        <is>
          <t>Live Auctioneers</t>
        </is>
      </c>
      <c r="C23" t="n">
        <v>701.5</v>
      </c>
      <c r="D23" t="inlineStr">
        <is>
          <t>2023-06-09 00:00:00</t>
        </is>
      </c>
      <c r="E23" t="inlineStr">
        <is>
          <t>Aaron Berk</t>
        </is>
      </c>
      <c r="F23" t="n">
        <v>2000</v>
      </c>
      <c r="G23" t="inlineStr">
        <is>
          <t>2023-06-22 00:00:00</t>
        </is>
      </c>
      <c r="H23">
        <f>SUM(F23-C23)</f>
        <v/>
      </c>
      <c r="I23">
        <f>H23/C23</f>
        <v/>
      </c>
      <c r="J23">
        <f>G23-D23</f>
        <v/>
      </c>
    </row>
    <row r="24">
      <c r="A24" t="inlineStr">
        <is>
          <t>Mezcala Stone Temple</t>
        </is>
      </c>
      <c r="B24" t="inlineStr">
        <is>
          <t>Live Auctioneers</t>
        </is>
      </c>
      <c r="C24" t="n">
        <v>233</v>
      </c>
      <c r="D24" t="inlineStr">
        <is>
          <t>2023-06-09 00:00:00</t>
        </is>
      </c>
      <c r="E24" t="inlineStr">
        <is>
          <t>Aaron Berk</t>
        </is>
      </c>
      <c r="F24" t="n">
        <v>500</v>
      </c>
      <c r="G24" t="inlineStr">
        <is>
          <t>2023-06-22 00:00:00</t>
        </is>
      </c>
      <c r="H24">
        <f>SUM(F24-C24)</f>
        <v/>
      </c>
      <c r="I24">
        <f>H24/C24</f>
        <v/>
      </c>
      <c r="J24">
        <f>G24-D24</f>
        <v/>
      </c>
    </row>
    <row r="25">
      <c r="A25" t="inlineStr">
        <is>
          <t>Mezcala Stone Figure</t>
        </is>
      </c>
      <c r="B25" t="inlineStr">
        <is>
          <t>Live Auctioneers</t>
        </is>
      </c>
      <c r="C25" t="n">
        <v>233</v>
      </c>
      <c r="D25" t="inlineStr">
        <is>
          <t>2023-06-09 00:00:00</t>
        </is>
      </c>
      <c r="E25" t="inlineStr">
        <is>
          <t>Aaron Berk</t>
        </is>
      </c>
      <c r="F25" t="n">
        <v>500</v>
      </c>
      <c r="G25" t="inlineStr">
        <is>
          <t>2023-06-22 00:00:00</t>
        </is>
      </c>
      <c r="H25">
        <f>SUM(F25-C25)</f>
        <v/>
      </c>
      <c r="I25">
        <f>H25/C25</f>
        <v/>
      </c>
      <c r="J25">
        <f>G25-D25</f>
        <v/>
      </c>
    </row>
    <row r="26">
      <c r="A26" t="inlineStr">
        <is>
          <t>GREEK BRONZE HELMET OF PHRYGIAN TYPE</t>
        </is>
      </c>
      <c r="B26" t="inlineStr">
        <is>
          <t>ebay</t>
        </is>
      </c>
      <c r="C26" t="n">
        <v>2000</v>
      </c>
      <c r="D26" t="inlineStr">
        <is>
          <t>2022-12-23 00:00:00</t>
        </is>
      </c>
      <c r="E26" t="inlineStr">
        <is>
          <t>Aaron Berk</t>
        </is>
      </c>
      <c r="F26" t="n">
        <v>7000</v>
      </c>
      <c r="G26" t="inlineStr">
        <is>
          <t>2023-06-22 00:00:00</t>
        </is>
      </c>
      <c r="H26">
        <f>SUM(F26-C26)</f>
        <v/>
      </c>
      <c r="I26">
        <f>H26/C26</f>
        <v/>
      </c>
      <c r="J26">
        <f>G26-D26</f>
        <v/>
      </c>
    </row>
    <row r="27">
      <c r="A27" t="inlineStr">
        <is>
          <t>Bactrian Style Stone Votive</t>
        </is>
      </c>
      <c r="B27" t="inlineStr">
        <is>
          <t>ebay</t>
        </is>
      </c>
      <c r="C27" t="n">
        <v>990</v>
      </c>
      <c r="D27" t="inlineStr">
        <is>
          <t>2022-12-23 00:00:00</t>
        </is>
      </c>
      <c r="E27" t="inlineStr">
        <is>
          <t>Aaron Berk</t>
        </is>
      </c>
      <c r="F27" t="n">
        <v>1000</v>
      </c>
      <c r="G27" t="inlineStr">
        <is>
          <t>2023-06-22 00:00:00</t>
        </is>
      </c>
      <c r="H27">
        <f>SUM(F27-C27)</f>
        <v/>
      </c>
      <c r="I27">
        <f>H27/C27</f>
        <v/>
      </c>
      <c r="J27">
        <f>G27-D27</f>
        <v/>
      </c>
    </row>
    <row r="28">
      <c r="A28" t="inlineStr">
        <is>
          <t>A Roman Bronze Knife</t>
        </is>
      </c>
      <c r="B28" t="inlineStr">
        <is>
          <t>Ebay</t>
        </is>
      </c>
      <c r="C28" t="n">
        <v>110</v>
      </c>
      <c r="D28" t="inlineStr">
        <is>
          <t>2023-03-03 00:00:00</t>
        </is>
      </c>
      <c r="E28" t="inlineStr">
        <is>
          <t>Gift</t>
        </is>
      </c>
      <c r="F28" t="n">
        <v>100</v>
      </c>
      <c r="G28" t="inlineStr">
        <is>
          <t>2023-06-20 00:00:00</t>
        </is>
      </c>
      <c r="H28">
        <f>SUM(F28-C28)</f>
        <v/>
      </c>
      <c r="I28">
        <f>H28/C28</f>
        <v/>
      </c>
      <c r="J28">
        <f>G28-D28</f>
        <v/>
      </c>
    </row>
    <row r="29">
      <c r="A29" t="inlineStr">
        <is>
          <t>Collection of Cylinder Seals</t>
        </is>
      </c>
      <c r="B29" t="inlineStr">
        <is>
          <t>Erdal Dere</t>
        </is>
      </c>
      <c r="C29" t="n">
        <v>360000</v>
      </c>
      <c r="D29" t="inlineStr">
        <is>
          <t>2023-07-28 00:00:00</t>
        </is>
      </c>
      <c r="E29" t="inlineStr">
        <is>
          <t>Aaron Berk</t>
        </is>
      </c>
      <c r="F29" t="n">
        <v>410000</v>
      </c>
      <c r="G29" t="inlineStr">
        <is>
          <t>2023-07-28 00:00:00</t>
        </is>
      </c>
      <c r="H29">
        <f>SUM(F29-C29)</f>
        <v/>
      </c>
      <c r="I29">
        <f>H29/C29</f>
        <v/>
      </c>
      <c r="J29">
        <f>G29-D29</f>
        <v/>
      </c>
    </row>
    <row r="30">
      <c r="A30" t="inlineStr">
        <is>
          <t>An Egyptian Cylinder Seal</t>
        </is>
      </c>
      <c r="B30" t="inlineStr">
        <is>
          <t>Erdal Dere</t>
        </is>
      </c>
      <c r="C30" t="n">
        <v>3600</v>
      </c>
      <c r="D30" t="inlineStr">
        <is>
          <t>2023-09-22 00:00:00</t>
        </is>
      </c>
      <c r="E30" t="inlineStr">
        <is>
          <t>Aaron Berk</t>
        </is>
      </c>
      <c r="F30" t="n">
        <v>4000</v>
      </c>
      <c r="G30" t="inlineStr">
        <is>
          <t>2023-09-23 00:00:00</t>
        </is>
      </c>
      <c r="H30">
        <f>SUM(F30-C30)</f>
        <v/>
      </c>
      <c r="I30">
        <f>H30/C30</f>
        <v/>
      </c>
      <c r="J30">
        <f>G30-D30</f>
        <v/>
      </c>
    </row>
    <row r="31">
      <c r="A31" t="inlineStr">
        <is>
          <t>A Collection of Tablets</t>
        </is>
      </c>
      <c r="B31" t="inlineStr">
        <is>
          <t>Danny Anavian</t>
        </is>
      </c>
      <c r="C31" t="n">
        <v>45000</v>
      </c>
      <c r="D31" t="inlineStr">
        <is>
          <t>2023-11-07 00:00:00</t>
        </is>
      </c>
      <c r="E31" t="inlineStr">
        <is>
          <t>Aaron Berk</t>
        </is>
      </c>
      <c r="F31" t="n">
        <v>55000</v>
      </c>
      <c r="G31" t="inlineStr">
        <is>
          <t>2023-11-14 00:00:00</t>
        </is>
      </c>
      <c r="H31">
        <f>SUM(F31-C31)</f>
        <v/>
      </c>
      <c r="I31">
        <f>H31/C31</f>
        <v/>
      </c>
      <c r="J31">
        <f>G31-D31</f>
        <v/>
      </c>
    </row>
    <row r="32">
      <c r="A32" t="inlineStr">
        <is>
          <t>A Gold Coin</t>
        </is>
      </c>
      <c r="B32" t="inlineStr">
        <is>
          <t>Erdal Dere</t>
        </is>
      </c>
      <c r="C32" t="n">
        <v>4000</v>
      </c>
      <c r="D32" t="inlineStr">
        <is>
          <t>2023-11-16 00:00:00</t>
        </is>
      </c>
      <c r="E32" t="inlineStr">
        <is>
          <t>Felix Brejente</t>
        </is>
      </c>
      <c r="F32" t="n">
        <v>4700</v>
      </c>
      <c r="G32" t="inlineStr">
        <is>
          <t>2023-11-16 00:00:00</t>
        </is>
      </c>
      <c r="H32">
        <f>SUM(F32-C32)</f>
        <v/>
      </c>
      <c r="I32">
        <f>H32/C32</f>
        <v/>
      </c>
      <c r="J32">
        <f>G32-D32</f>
        <v/>
      </c>
    </row>
    <row r="33">
      <c r="A33" t="inlineStr">
        <is>
          <t>Bactrian Chlorite Vessel</t>
        </is>
      </c>
      <c r="B33" t="inlineStr">
        <is>
          <t>Ebay</t>
        </is>
      </c>
      <c r="C33" t="n">
        <v>10</v>
      </c>
      <c r="D33" t="inlineStr">
        <is>
          <t>2022-11-30 00:00:00</t>
        </is>
      </c>
      <c r="E33" t="inlineStr">
        <is>
          <t>Hindman</t>
        </is>
      </c>
      <c r="F33" t="n">
        <v>2000</v>
      </c>
      <c r="G33" t="inlineStr">
        <is>
          <t>2023-12-05 00:00:00</t>
        </is>
      </c>
      <c r="H33">
        <f>SUM(F33-C33)</f>
        <v/>
      </c>
      <c r="I33">
        <f>H33/C33</f>
        <v/>
      </c>
      <c r="J33">
        <f>G33-D33</f>
        <v/>
      </c>
    </row>
    <row r="34">
      <c r="A34" t="inlineStr">
        <is>
          <t>An Egyptian Limestone Head of Hathor</t>
        </is>
      </c>
      <c r="B34" t="inlineStr">
        <is>
          <t>Ebay</t>
        </is>
      </c>
      <c r="C34" t="n">
        <v>50</v>
      </c>
      <c r="D34" t="inlineStr">
        <is>
          <t>2022-12-16 00:00:00</t>
        </is>
      </c>
      <c r="E34" t="inlineStr">
        <is>
          <t>Harlan J. Berk</t>
        </is>
      </c>
      <c r="F34" t="n">
        <v>1000</v>
      </c>
      <c r="G34" t="inlineStr">
        <is>
          <t>2023-12-01 00:00:00</t>
        </is>
      </c>
      <c r="H34">
        <f>SUM(F34-C34)</f>
        <v/>
      </c>
      <c r="I34">
        <f>H34/C34</f>
        <v/>
      </c>
      <c r="J34">
        <f>G34-D34</f>
        <v/>
      </c>
    </row>
    <row r="35">
      <c r="A35" t="inlineStr">
        <is>
          <t>Native America Banner Stone (Butterfly)</t>
        </is>
      </c>
      <c r="B35" t="inlineStr">
        <is>
          <t>Amyas Naegele</t>
        </is>
      </c>
      <c r="C35" t="n">
        <v>50</v>
      </c>
      <c r="D35" t="inlineStr">
        <is>
          <t>2022-12-16 00:00:00</t>
        </is>
      </c>
      <c r="E35" t="inlineStr">
        <is>
          <t>Harlan J. Berk</t>
        </is>
      </c>
      <c r="F35" t="n">
        <v>100</v>
      </c>
      <c r="G35" t="inlineStr">
        <is>
          <t>2023-12-01 00:00:00</t>
        </is>
      </c>
      <c r="H35">
        <f>SUM(F35-C35)</f>
        <v/>
      </c>
      <c r="I35">
        <f>H35/C35</f>
        <v/>
      </c>
      <c r="J35">
        <f>G35-D35</f>
        <v/>
      </c>
    </row>
    <row r="36">
      <c r="A36" t="inlineStr">
        <is>
          <t>Native America Banner Stone (Anthro)</t>
        </is>
      </c>
      <c r="B36" t="inlineStr">
        <is>
          <t>Amyas Naegele</t>
        </is>
      </c>
      <c r="C36" t="n">
        <v>50</v>
      </c>
      <c r="D36" t="inlineStr">
        <is>
          <t>2022-12-16 00:00:00</t>
        </is>
      </c>
      <c r="E36" t="inlineStr">
        <is>
          <t>Harlan J. Berk</t>
        </is>
      </c>
      <c r="F36" t="n">
        <v>100</v>
      </c>
      <c r="G36" t="inlineStr">
        <is>
          <t>2023-12-01 00:00:00</t>
        </is>
      </c>
      <c r="H36">
        <f>SUM(F36-C36)</f>
        <v/>
      </c>
      <c r="I36">
        <f>H36/C36</f>
        <v/>
      </c>
      <c r="J36">
        <f>G36-D36</f>
        <v/>
      </c>
    </row>
    <row r="37">
      <c r="A37" t="inlineStr">
        <is>
          <t>Total</t>
        </is>
      </c>
      <c r="C37">
        <f>SUM(C17:C36)</f>
        <v/>
      </c>
      <c r="F37">
        <f>SUM(F17:F36)</f>
        <v/>
      </c>
      <c r="H37">
        <f>SUM(H17:H36)</f>
        <v/>
      </c>
      <c r="I37">
        <f>H37/C37</f>
        <v/>
      </c>
      <c r="J37">
        <f>AVERAGE(J17:J36)</f>
        <v/>
      </c>
    </row>
    <row r="38">
      <c r="A38" t="inlineStr">
        <is>
          <t>Sales 2024</t>
        </is>
      </c>
    </row>
    <row r="39">
      <c r="A39" t="inlineStr">
        <is>
          <t>Object</t>
        </is>
      </c>
      <c r="B39" t="inlineStr">
        <is>
          <t>From</t>
        </is>
      </c>
      <c r="C39" t="inlineStr">
        <is>
          <t>Cost</t>
        </is>
      </c>
      <c r="D39" t="inlineStr">
        <is>
          <t xml:space="preserve">Purchase Date </t>
        </is>
      </c>
      <c r="E39" t="inlineStr">
        <is>
          <t>To</t>
        </is>
      </c>
      <c r="F39" t="inlineStr">
        <is>
          <t>Sale Price</t>
        </is>
      </c>
      <c r="G39" t="inlineStr">
        <is>
          <t>Sale Date</t>
        </is>
      </c>
      <c r="H39" t="inlineStr">
        <is>
          <t>Net Income</t>
        </is>
      </c>
    </row>
    <row r="40">
      <c r="A40" t="inlineStr">
        <is>
          <t>A Valdivian Stone Votive Axe</t>
        </is>
      </c>
      <c r="B40" t="inlineStr">
        <is>
          <t>Arte Primitivo</t>
        </is>
      </c>
      <c r="C40" t="n">
        <v>470</v>
      </c>
      <c r="D40" t="inlineStr">
        <is>
          <t>2023-09-27 00:00:00</t>
        </is>
      </c>
      <c r="E40" t="inlineStr">
        <is>
          <t>Hindman</t>
        </is>
      </c>
      <c r="F40" t="n">
        <v>600</v>
      </c>
      <c r="G40" t="inlineStr">
        <is>
          <t>2023-03-15 00:00:00</t>
        </is>
      </c>
      <c r="H40">
        <f>SUM(F40-C40)</f>
        <v/>
      </c>
      <c r="I40">
        <f>H40/C40</f>
        <v/>
      </c>
    </row>
    <row r="41">
      <c r="A41" t="inlineStr">
        <is>
          <t>A Roman Marble Leg</t>
        </is>
      </c>
      <c r="B41" t="inlineStr">
        <is>
          <t>Harlan J. Berk</t>
        </is>
      </c>
      <c r="C41" t="n">
        <v>2500</v>
      </c>
      <c r="D41" t="inlineStr">
        <is>
          <t>2024-03-28 00:00:00</t>
        </is>
      </c>
      <c r="E41" t="inlineStr">
        <is>
          <t>WhiteCube</t>
        </is>
      </c>
      <c r="F41" t="n">
        <v>2982</v>
      </c>
      <c r="G41" t="inlineStr">
        <is>
          <t>2024-03-28 00:00:00</t>
        </is>
      </c>
      <c r="H41">
        <f>SUM(F41-C41)</f>
        <v/>
      </c>
      <c r="I41">
        <f>H41/C41</f>
        <v/>
      </c>
    </row>
    <row r="42">
      <c r="A42" t="inlineStr">
        <is>
          <t>Sword 10th Century Viking</t>
        </is>
      </c>
      <c r="B42" t="inlineStr">
        <is>
          <t>Zevantiques</t>
        </is>
      </c>
      <c r="C42" t="n">
        <v>1416.99</v>
      </c>
      <c r="D42" t="inlineStr">
        <is>
          <t>2024-01-20 00:00:00</t>
        </is>
      </c>
      <c r="E42" t="inlineStr">
        <is>
          <t>Harlan J. Berk</t>
        </is>
      </c>
      <c r="F42" t="n">
        <v>6500</v>
      </c>
      <c r="G42" t="inlineStr">
        <is>
          <t>2024-06-05 00:00:00</t>
        </is>
      </c>
      <c r="H42">
        <f>SUM(F42-C42)</f>
        <v/>
      </c>
      <c r="I42">
        <f>H42/C42</f>
        <v/>
      </c>
    </row>
    <row r="43">
      <c r="A43" t="inlineStr">
        <is>
          <t>A Collection of Cylinder Seal</t>
        </is>
      </c>
      <c r="B43" t="inlineStr">
        <is>
          <t>Erdal Dere</t>
        </is>
      </c>
      <c r="C43" t="n">
        <v>33000</v>
      </c>
      <c r="D43" t="inlineStr">
        <is>
          <t>2024-06-25 00:00:00</t>
        </is>
      </c>
      <c r="E43" t="inlineStr">
        <is>
          <t>Harlan J. Berk</t>
        </is>
      </c>
      <c r="F43" t="n">
        <v>36000</v>
      </c>
      <c r="G43" t="inlineStr">
        <is>
          <t>2024-06-25 00:00:00</t>
        </is>
      </c>
      <c r="H43">
        <f>SUM(F43-C43)</f>
        <v/>
      </c>
    </row>
    <row r="44">
      <c r="A44" t="inlineStr">
        <is>
          <t>A Roman Glass Beaker</t>
        </is>
      </c>
      <c r="B44" t="inlineStr">
        <is>
          <t>Erdal Dere</t>
        </is>
      </c>
      <c r="C44" t="n">
        <v>25000</v>
      </c>
      <c r="D44" t="inlineStr">
        <is>
          <t>2024-04-26 00:00:00</t>
        </is>
      </c>
      <c r="E44" t="inlineStr">
        <is>
          <t>Erdal Dere</t>
        </is>
      </c>
      <c r="F44" t="n">
        <v>37500</v>
      </c>
      <c r="G44" t="inlineStr">
        <is>
          <t>2024-12-30 00:00:00</t>
        </is>
      </c>
      <c r="H44">
        <f>SUM(F44-C44)</f>
        <v/>
      </c>
      <c r="I44">
        <f>H44/C44</f>
        <v/>
      </c>
    </row>
    <row r="45">
      <c r="A45" t="inlineStr">
        <is>
          <t>An Egyptian Limestone Head of a Pharaoh</t>
        </is>
      </c>
      <c r="B45" t="inlineStr">
        <is>
          <t>Live Auctioneers</t>
        </is>
      </c>
      <c r="C45" t="n">
        <v>1885.96</v>
      </c>
      <c r="D45" t="inlineStr">
        <is>
          <t>2024-05-02 00:00:00</t>
        </is>
      </c>
      <c r="E45" t="inlineStr">
        <is>
          <t>Harlan J. Berk</t>
        </is>
      </c>
      <c r="F45" t="n">
        <v>5500</v>
      </c>
      <c r="G45" t="inlineStr">
        <is>
          <t>2024-11-25 00:00:00</t>
        </is>
      </c>
      <c r="H45">
        <f>SUM(F45-C45)</f>
        <v/>
      </c>
      <c r="I45">
        <f>H45/C45</f>
        <v/>
      </c>
    </row>
    <row r="46">
      <c r="A46" t="inlineStr">
        <is>
          <t>Indus Valley Vessels</t>
        </is>
      </c>
      <c r="B46" t="inlineStr">
        <is>
          <t>Ebay</t>
        </is>
      </c>
      <c r="C46" t="n">
        <v>214.99</v>
      </c>
      <c r="D46" t="inlineStr">
        <is>
          <t>2024-02-23 00:00:00</t>
        </is>
      </c>
      <c r="E46" t="inlineStr">
        <is>
          <t>Hindman</t>
        </is>
      </c>
      <c r="F46" t="n">
        <v>1700</v>
      </c>
      <c r="G46" t="inlineStr">
        <is>
          <t>2024-05-23 00:00:00</t>
        </is>
      </c>
      <c r="H46">
        <f>SUM(F46-C46)</f>
        <v/>
      </c>
      <c r="I46">
        <f>H46/C46</f>
        <v/>
      </c>
    </row>
    <row r="47">
      <c r="A47" t="inlineStr">
        <is>
          <t>Total</t>
        </is>
      </c>
      <c r="C47">
        <f>SUM(C40:C46)</f>
        <v/>
      </c>
      <c r="F47">
        <f>SUM(F40:F46)</f>
        <v/>
      </c>
      <c r="H47">
        <f>SUM(H40:H46)</f>
        <v/>
      </c>
      <c r="I47">
        <f>H47/C47</f>
        <v/>
      </c>
      <c r="J47">
        <f>AVERAGE(J26:J46)</f>
        <v/>
      </c>
    </row>
    <row r="49">
      <c r="A49" t="inlineStr">
        <is>
          <t>Sales 2025</t>
        </is>
      </c>
    </row>
    <row r="50">
      <c r="A50" t="inlineStr">
        <is>
          <t>Object</t>
        </is>
      </c>
      <c r="B50" t="inlineStr">
        <is>
          <t>From</t>
        </is>
      </c>
      <c r="C50" t="inlineStr">
        <is>
          <t>Cost</t>
        </is>
      </c>
      <c r="D50" t="inlineStr">
        <is>
          <t xml:space="preserve">Purchase Date </t>
        </is>
      </c>
      <c r="E50" t="inlineStr">
        <is>
          <t>To</t>
        </is>
      </c>
      <c r="F50" t="inlineStr">
        <is>
          <t>Sale Price</t>
        </is>
      </c>
      <c r="G50" t="inlineStr">
        <is>
          <t>Sale Date</t>
        </is>
      </c>
      <c r="H50" t="inlineStr">
        <is>
          <t>Net Income</t>
        </is>
      </c>
    </row>
    <row r="51">
      <c r="A51" t="inlineStr">
        <is>
          <t>A Group of 10 Engraved Gems</t>
        </is>
      </c>
      <c r="B51" t="inlineStr">
        <is>
          <t>Erdal Dere</t>
        </is>
      </c>
      <c r="C51" t="n">
        <v>1000</v>
      </c>
      <c r="E51" t="inlineStr">
        <is>
          <t>Harlan J. Berk</t>
        </is>
      </c>
      <c r="G51" t="inlineStr">
        <is>
          <t>2025-02-07 00:00:00</t>
        </is>
      </c>
      <c r="H51">
        <f>IF(OR(F51="",C51=""),"",F51-C51)</f>
        <v/>
      </c>
      <c r="I51">
        <f>IF(OR(H51="",C51=0),"",H51/C51)</f>
        <v/>
      </c>
    </row>
    <row r="52">
      <c r="A52" t="inlineStr">
        <is>
          <t>A Greek Amber(?) Ram's Head Protome</t>
        </is>
      </c>
      <c r="B52" t="inlineStr">
        <is>
          <t>Erdal Dere</t>
        </is>
      </c>
      <c r="C52" t="n">
        <v>300</v>
      </c>
      <c r="E52" t="inlineStr">
        <is>
          <t>Harlan J. Berk</t>
        </is>
      </c>
      <c r="G52" t="inlineStr">
        <is>
          <t>2025-02-07 00:00:00</t>
        </is>
      </c>
      <c r="H52">
        <f>IF(OR(F52="",C52=""),"",F52-C52)</f>
        <v/>
      </c>
      <c r="I52">
        <f>IF(OR(H52="",C52=0),"",H52/C52)</f>
        <v/>
      </c>
    </row>
    <row r="53">
      <c r="A53" t="inlineStr">
        <is>
          <t>A Stone Cylinder Seal</t>
        </is>
      </c>
      <c r="B53" t="inlineStr">
        <is>
          <t>Estate Sale</t>
        </is>
      </c>
      <c r="C53" t="n">
        <v>300</v>
      </c>
      <c r="E53" t="inlineStr">
        <is>
          <t>Harlan J. Berk</t>
        </is>
      </c>
      <c r="G53" t="inlineStr">
        <is>
          <t>2025-02-07 00:00:00</t>
        </is>
      </c>
      <c r="H53">
        <f>IF(OR(F53="",C53=""),"",F53-C53)</f>
        <v/>
      </c>
      <c r="I53">
        <f>IF(OR(H53="",C53=0),"",H53/C53)</f>
        <v/>
      </c>
    </row>
    <row r="54">
      <c r="A54" t="inlineStr">
        <is>
          <t>Commission on Cypriot Head</t>
        </is>
      </c>
      <c r="B54" t="inlineStr">
        <is>
          <t>Asher Edelman</t>
        </is>
      </c>
      <c r="C54" t="n">
        <v>1000</v>
      </c>
      <c r="E54" t="inlineStr">
        <is>
          <t>Harlan J. Berk</t>
        </is>
      </c>
      <c r="G54" t="inlineStr">
        <is>
          <t>2025-02-07 00:00:00</t>
        </is>
      </c>
      <c r="H54">
        <f>IF(OR(F54="",C54=""),"",F54-C54)</f>
        <v/>
      </c>
      <c r="I54">
        <f>IF(OR(H54="",C54=0),"",H54/C54)</f>
        <v/>
      </c>
    </row>
    <row r="55">
      <c r="A55" t="inlineStr">
        <is>
          <t>Commission on Seal Collection</t>
        </is>
      </c>
      <c r="B55" t="inlineStr">
        <is>
          <t>Erdal Dere</t>
        </is>
      </c>
      <c r="C55" t="n">
        <v>1000</v>
      </c>
      <c r="E55" t="inlineStr">
        <is>
          <t>Harlan J. Berk</t>
        </is>
      </c>
      <c r="G55" t="inlineStr">
        <is>
          <t>2025-02-07 00:00:00</t>
        </is>
      </c>
      <c r="H55">
        <f>IF(OR(F55="",C55=""),"",F55-C55)</f>
        <v/>
      </c>
      <c r="I55">
        <f>IF(OR(H55="",C55=0),"",H55/C55)</f>
        <v/>
      </c>
    </row>
    <row r="56">
      <c r="A56" t="inlineStr">
        <is>
          <t>Scythian Faience Horse Plaque</t>
        </is>
      </c>
      <c r="B56" t="inlineStr">
        <is>
          <t>Estate Sale</t>
        </is>
      </c>
      <c r="C56" t="n">
        <v>1000</v>
      </c>
      <c r="E56" t="inlineStr">
        <is>
          <t>Harlan J. Berk</t>
        </is>
      </c>
      <c r="G56" t="inlineStr">
        <is>
          <t>2025-02-07 00:00:00</t>
        </is>
      </c>
      <c r="H56">
        <f>IF(OR(F56="",C56=""),"",F56-C56)</f>
        <v/>
      </c>
      <c r="I56">
        <f>IF(OR(H56="",C56=0),"",H56/C56)</f>
        <v/>
      </c>
    </row>
    <row r="57">
      <c r="A57" t="inlineStr">
        <is>
          <t>Syro-Hittite Terracotta Figure</t>
        </is>
      </c>
      <c r="B57" t="inlineStr">
        <is>
          <t>Estate Sale</t>
        </is>
      </c>
      <c r="C57" t="n">
        <v>600</v>
      </c>
      <c r="E57" t="inlineStr">
        <is>
          <t>Harlan J. Berk</t>
        </is>
      </c>
      <c r="G57" t="inlineStr">
        <is>
          <t>2025-02-07 00:00:00</t>
        </is>
      </c>
      <c r="H57">
        <f>IF(OR(F57="",C57=""),"",F57-C57)</f>
        <v/>
      </c>
      <c r="I57">
        <f>IF(OR(H57="",C57=0),"",H57/C57)</f>
        <v/>
      </c>
    </row>
    <row r="58">
      <c r="A58" t="inlineStr">
        <is>
          <t>A Group of 6 Roman Oil Lamps</t>
        </is>
      </c>
      <c r="B58" t="inlineStr">
        <is>
          <t>Estate Sale</t>
        </is>
      </c>
      <c r="C58" t="n">
        <v>600</v>
      </c>
      <c r="E58" t="inlineStr">
        <is>
          <t>Harlan J. Berk</t>
        </is>
      </c>
      <c r="G58" t="inlineStr">
        <is>
          <t>2025-02-07 00:00:00</t>
        </is>
      </c>
      <c r="H58">
        <f>IF(OR(F58="",C58=""),"",F58-C58)</f>
        <v/>
      </c>
      <c r="I58">
        <f>IF(OR(H58="",C58=0),"",H58/C58)</f>
        <v/>
      </c>
    </row>
    <row r="59">
      <c r="A59" t="inlineStr">
        <is>
          <t>A Cypriot Limestine Head</t>
        </is>
      </c>
      <c r="B59" t="inlineStr">
        <is>
          <t>Estate Sale</t>
        </is>
      </c>
      <c r="C59" t="n">
        <v>1000</v>
      </c>
      <c r="E59" t="inlineStr">
        <is>
          <t>Harlan J. Berk</t>
        </is>
      </c>
      <c r="G59" t="inlineStr">
        <is>
          <t>2025-02-07 00:00:00</t>
        </is>
      </c>
      <c r="H59">
        <f>IF(OR(F59="",C59=""),"",F59-C59)</f>
        <v/>
      </c>
      <c r="I59">
        <f>IF(OR(H59="",C59=0),"",H59/C59)</f>
        <v/>
      </c>
    </row>
    <row r="60">
      <c r="A60" t="inlineStr">
        <is>
          <t>A Roman Marble Torso</t>
        </is>
      </c>
      <c r="B60" t="inlineStr">
        <is>
          <t>William Pearlstein</t>
        </is>
      </c>
      <c r="C60" t="n">
        <v>4000</v>
      </c>
      <c r="E60" t="inlineStr">
        <is>
          <t>Harlan J. Berk</t>
        </is>
      </c>
      <c r="G60" t="inlineStr">
        <is>
          <t>2025-02-07 00:00:00</t>
        </is>
      </c>
      <c r="H60">
        <f>IF(OR(F60="",C60=""),"",F60-C60)</f>
        <v/>
      </c>
      <c r="I60">
        <f>IF(OR(H60="",C60=0),"",H60/C60)</f>
        <v/>
      </c>
    </row>
    <row r="61">
      <c r="A61" t="inlineStr">
        <is>
          <t>Cypriot Bichrome Juglet</t>
        </is>
      </c>
      <c r="B61" t="inlineStr">
        <is>
          <t>Live Auctioneers</t>
        </is>
      </c>
      <c r="C61" t="n">
        <v>600</v>
      </c>
      <c r="E61" t="inlineStr">
        <is>
          <t>Harlan J. Berk</t>
        </is>
      </c>
      <c r="G61" t="inlineStr">
        <is>
          <t>2025-02-07 00:00:00</t>
        </is>
      </c>
      <c r="H61">
        <f>IF(OR(F61="",C61=""),"",F61-C61)</f>
        <v/>
      </c>
      <c r="I61">
        <f>IF(OR(H61="",C61=0),"",H61/C61)</f>
        <v/>
      </c>
    </row>
    <row r="62">
      <c r="A62" t="inlineStr">
        <is>
          <t>An Attic Black-Figured Fragment</t>
        </is>
      </c>
      <c r="B62" t="inlineStr">
        <is>
          <t>Hindman</t>
        </is>
      </c>
      <c r="C62" t="n">
        <v>334.44</v>
      </c>
      <c r="D62" t="inlineStr">
        <is>
          <t>2023-05-25 00:00:00</t>
        </is>
      </c>
      <c r="E62" t="inlineStr">
        <is>
          <t>Harlan J. Berk</t>
        </is>
      </c>
      <c r="G62" t="inlineStr">
        <is>
          <t>2025-02-07 00:00:00</t>
        </is>
      </c>
      <c r="H62">
        <f>IF(OR(F62="",C62=""),"",F62-C62)</f>
        <v/>
      </c>
      <c r="I62">
        <f>IF(OR(H62="",C62=0),"",H62/C62)</f>
        <v/>
      </c>
    </row>
    <row r="63">
      <c r="A63" t="inlineStr">
        <is>
          <t>A Luristan Bronze Ibex</t>
        </is>
      </c>
      <c r="B63" t="inlineStr">
        <is>
          <t>Hindman</t>
        </is>
      </c>
      <c r="C63" t="n">
        <v>234.44</v>
      </c>
      <c r="D63" t="inlineStr">
        <is>
          <t>2023-05-25 00:00:00</t>
        </is>
      </c>
      <c r="E63" t="inlineStr">
        <is>
          <t>Harlan J. Berk</t>
        </is>
      </c>
      <c r="G63" t="inlineStr">
        <is>
          <t>2025-02-07 00:00:00</t>
        </is>
      </c>
      <c r="H63">
        <f>IF(OR(F63="",C63=""),"",F63-C63)</f>
        <v/>
      </c>
      <c r="I63">
        <f>IF(OR(H63="",C63=0),"",H63/C63)</f>
        <v/>
      </c>
    </row>
    <row r="64">
      <c r="A64" t="inlineStr">
        <is>
          <t>An Egyptian Swivel Ring with Scarab</t>
        </is>
      </c>
      <c r="B64" t="inlineStr">
        <is>
          <t>Live Auctioneers</t>
        </is>
      </c>
      <c r="C64" t="n">
        <v>2228.76</v>
      </c>
      <c r="E64" t="inlineStr">
        <is>
          <t>Harlan J. Berk</t>
        </is>
      </c>
      <c r="G64" t="inlineStr">
        <is>
          <t>2025-02-07 00:00:00</t>
        </is>
      </c>
      <c r="H64">
        <f>IF(OR(F64="",C64=""),"",F64-C64)</f>
        <v/>
      </c>
      <c r="I64">
        <f>IF(OR(H64="",C64=0),"",H64/C64)</f>
        <v/>
      </c>
    </row>
    <row r="65">
      <c r="A65" t="inlineStr">
        <is>
          <t>A Canosan Terracotta Horse</t>
        </is>
      </c>
      <c r="B65" t="inlineStr">
        <is>
          <t>Hindman</t>
        </is>
      </c>
      <c r="C65" t="n">
        <v>1000</v>
      </c>
      <c r="E65" t="inlineStr">
        <is>
          <t>Harlan J. Berk</t>
        </is>
      </c>
      <c r="G65" t="inlineStr">
        <is>
          <t>2025-02-07 00:00:00</t>
        </is>
      </c>
      <c r="H65">
        <f>IF(OR(F65="",C65=""),"",F65-C65)</f>
        <v/>
      </c>
      <c r="I65">
        <f>IF(OR(H65="",C65=0),"",H65/C65)</f>
        <v/>
      </c>
    </row>
    <row r="66">
      <c r="A66" t="inlineStr">
        <is>
          <t>An Attic Black-Figured Column-Krater</t>
        </is>
      </c>
      <c r="B66" t="inlineStr">
        <is>
          <t>Antiquarium/Benningson</t>
        </is>
      </c>
      <c r="C66" t="n">
        <v>4500</v>
      </c>
      <c r="D66" t="inlineStr">
        <is>
          <t>2023-12-15 00:00:00</t>
        </is>
      </c>
      <c r="E66" t="inlineStr">
        <is>
          <t>Harlan J. Berk</t>
        </is>
      </c>
      <c r="G66" t="inlineStr">
        <is>
          <t>2025-02-07 00:00:00</t>
        </is>
      </c>
      <c r="H66">
        <f>IF(OR(F66="",C66=""),"",F66-C66)</f>
        <v/>
      </c>
      <c r="I66">
        <f>IF(OR(H66="",C66=0),"",H66/C66)</f>
        <v/>
      </c>
    </row>
    <row r="67">
      <c r="A67" t="inlineStr">
        <is>
          <t>Roman Marble Base with Foot</t>
        </is>
      </c>
      <c r="B67" t="inlineStr">
        <is>
          <t>Arte Primitivo</t>
        </is>
      </c>
      <c r="C67" t="n">
        <v>500</v>
      </c>
      <c r="E67" t="inlineStr">
        <is>
          <t>Harlan J. Berk</t>
        </is>
      </c>
      <c r="G67" t="inlineStr">
        <is>
          <t>2025-02-07 00:00:00</t>
        </is>
      </c>
      <c r="H67">
        <f>IF(OR(F67="",C67=""),"",F67-C67)</f>
        <v/>
      </c>
      <c r="I67">
        <f>IF(OR(H67="",C67=0),"",H67/C67)</f>
        <v/>
      </c>
    </row>
    <row r="68">
      <c r="A68" t="inlineStr">
        <is>
          <t>Neolithic Flint Celt</t>
        </is>
      </c>
      <c r="B68" t="inlineStr">
        <is>
          <t>Arte Primitivo</t>
        </is>
      </c>
      <c r="C68" t="n">
        <v>195.78</v>
      </c>
      <c r="D68" t="inlineStr">
        <is>
          <t>2022-12-13 00:00:00</t>
        </is>
      </c>
      <c r="E68" t="inlineStr">
        <is>
          <t>Harlan J. Berk</t>
        </is>
      </c>
      <c r="G68" t="inlineStr">
        <is>
          <t>2025-02-07 00:00:00</t>
        </is>
      </c>
      <c r="H68">
        <f>IF(OR(F68="",C68=""),"",F68-C68)</f>
        <v/>
      </c>
      <c r="I68">
        <f>IF(OR(H68="",C68=0),"",H68/C68)</f>
        <v/>
      </c>
    </row>
    <row r="69">
      <c r="A69" t="inlineStr">
        <is>
          <t>Neolithic Danish Chert Adze</t>
        </is>
      </c>
      <c r="B69" t="inlineStr">
        <is>
          <t>Live Auctioneers</t>
        </is>
      </c>
      <c r="C69" t="n">
        <v>311.25</v>
      </c>
      <c r="D69" t="inlineStr">
        <is>
          <t>2021-03-29 00:00:00</t>
        </is>
      </c>
      <c r="E69" t="inlineStr">
        <is>
          <t>Harlan J. Berk</t>
        </is>
      </c>
      <c r="G69" t="inlineStr">
        <is>
          <t>2025-02-07 00:00:00</t>
        </is>
      </c>
      <c r="H69">
        <f>IF(OR(F69="",C69=""),"",F69-C69)</f>
        <v/>
      </c>
      <c r="I69">
        <f>IF(OR(H69="",C69=0),"",H69/C69)</f>
        <v/>
      </c>
    </row>
    <row r="70">
      <c r="A70" t="inlineStr">
        <is>
          <t>Three Lots from Lithics Sale</t>
        </is>
      </c>
      <c r="B70" t="inlineStr">
        <is>
          <t>Hindman</t>
        </is>
      </c>
      <c r="C70" t="n">
        <v>2240.27</v>
      </c>
      <c r="D70" t="inlineStr">
        <is>
          <t>2024-03-05 00:00:00</t>
        </is>
      </c>
      <c r="E70" t="inlineStr">
        <is>
          <t>Harlan J. Berk</t>
        </is>
      </c>
      <c r="G70" t="inlineStr">
        <is>
          <t>2025-02-07 00:00:00</t>
        </is>
      </c>
      <c r="H70">
        <f>IF(OR(F70="",C70=""),"",F70-C70)</f>
        <v/>
      </c>
      <c r="I70">
        <f>IF(OR(H70="",C70=0),"",H70/C70)</f>
        <v/>
      </c>
    </row>
    <row r="71">
      <c r="C71">
        <f>SUM(C51:C70)</f>
        <v/>
      </c>
      <c r="F71" t="n">
        <v>30000</v>
      </c>
      <c r="G71" t="inlineStr">
        <is>
          <t>2025-02-07 00:00:00</t>
        </is>
      </c>
      <c r="H71">
        <f>F71-C71</f>
        <v/>
      </c>
    </row>
    <row r="72">
      <c r="H72">
        <f>SUM(F72-C72)</f>
        <v/>
      </c>
    </row>
    <row r="73">
      <c r="A73" t="inlineStr">
        <is>
          <t>A Collection of Seals</t>
        </is>
      </c>
      <c r="B73" t="inlineStr">
        <is>
          <t>Erdal Dere</t>
        </is>
      </c>
      <c r="C73" t="n">
        <v>13000</v>
      </c>
      <c r="D73" t="inlineStr">
        <is>
          <t>2025-01-08 00:00:00</t>
        </is>
      </c>
      <c r="E73" t="inlineStr">
        <is>
          <t>Harlan J. Berk</t>
        </is>
      </c>
      <c r="F73" t="n">
        <v>14000</v>
      </c>
      <c r="G73" t="inlineStr">
        <is>
          <t>2025-01-10 00:00:00</t>
        </is>
      </c>
      <c r="H73">
        <f>SUM(F73-C73)</f>
        <v/>
      </c>
    </row>
    <row r="74">
      <c r="A74" t="inlineStr">
        <is>
          <t>Three Ancient Mosaics</t>
        </is>
      </c>
      <c r="B74" t="inlineStr">
        <is>
          <t>Jamal Rifai and Antiquarium</t>
        </is>
      </c>
      <c r="C74" t="n">
        <v>90000</v>
      </c>
      <c r="D74" t="inlineStr">
        <is>
          <t>2025-02-21 00:00:00</t>
        </is>
      </c>
      <c r="E74" t="inlineStr">
        <is>
          <t>Jonathan Yantis</t>
        </is>
      </c>
      <c r="F74" t="n">
        <v>105000</v>
      </c>
      <c r="G74" t="inlineStr">
        <is>
          <t>2025-02-21 00:00:00</t>
        </is>
      </c>
      <c r="H74">
        <f>SUM(F74-C74)</f>
        <v/>
      </c>
    </row>
    <row r="75">
      <c r="A75" t="inlineStr">
        <is>
          <t>Canosan Terracotta Horse</t>
        </is>
      </c>
      <c r="B75" t="inlineStr">
        <is>
          <t>Hindman</t>
        </is>
      </c>
      <c r="C75" t="n">
        <v>900</v>
      </c>
      <c r="E75" t="inlineStr">
        <is>
          <t>Erdal Dere</t>
        </is>
      </c>
      <c r="F75" t="n">
        <v>1000</v>
      </c>
      <c r="H75">
        <f>SUM(F75-C75)</f>
        <v/>
      </c>
    </row>
    <row r="76">
      <c r="A76" t="inlineStr">
        <is>
          <t>Sale 6428 Contract 303468 (object TBD)</t>
        </is>
      </c>
      <c r="B76" t="inlineStr">
        <is>
          <t>Cost TBD</t>
        </is>
      </c>
      <c r="E76" t="inlineStr">
        <is>
          <t>Freeman's LLC — check to Megan (joint 0203)</t>
        </is>
      </c>
      <c r="F76" t="n">
        <v>11000</v>
      </c>
      <c r="G76" t="inlineStr">
        <is>
          <t>2025-12-24</t>
        </is>
      </c>
      <c r="H76">
        <f>IF(C76="","",F76-C76)</f>
        <v/>
      </c>
    </row>
    <row r="77">
      <c r="A77" t="inlineStr">
        <is>
          <t>Books (titles TBD)</t>
        </is>
      </c>
      <c r="B77" t="inlineStr">
        <is>
          <t>Cost TBD</t>
        </is>
      </c>
      <c r="E77" t="inlineStr">
        <is>
          <t>Aquinas Hobor</t>
        </is>
      </c>
      <c r="F77" t="n">
        <v>1000</v>
      </c>
      <c r="G77" t="inlineStr">
        <is>
          <t>2025-02-04 00:00:00</t>
        </is>
      </c>
      <c r="H77">
        <f>IF(OR(F77="",C77=""),"",F77-C77)</f>
        <v/>
      </c>
      <c r="I77" t="inlineStr">
        <is>
          <t>LOCKED 2026-09-20: book SALE $1,000 on Mercury 8291. Cost TBD — not in Income I8 yet (same as Sale 6428). Titles TBD. Not tax advice.</t>
        </is>
      </c>
    </row>
    <row r="78">
      <c r="A78" t="inlineStr">
        <is>
          <t>Total</t>
        </is>
      </c>
      <c r="H78">
        <f>SUM(H51:H75)</f>
        <v/>
      </c>
    </row>
    <row r="79">
      <c r="A7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t="inlineStr">
        <is>
          <t>Art Purchases/Inventory</t>
        </is>
      </c>
    </row>
    <row r="81">
      <c r="A81" t="inlineStr">
        <is>
          <t>30 Paleothic and Neolithic Stone Tools</t>
        </is>
      </c>
      <c r="B81" t="inlineStr">
        <is>
          <t>Holestein</t>
        </is>
      </c>
      <c r="C81" t="n">
        <v>4000</v>
      </c>
    </row>
    <row r="82">
      <c r="A82" t="inlineStr">
        <is>
          <t>A Tairona Figure</t>
        </is>
      </c>
      <c r="B82" t="inlineStr">
        <is>
          <t>Live Auctioneers</t>
        </is>
      </c>
      <c r="C82" t="n">
        <v>250</v>
      </c>
      <c r="D82" t="inlineStr">
        <is>
          <t>2023-07-12 00:00:00</t>
        </is>
      </c>
    </row>
    <row r="83">
      <c r="A83" t="inlineStr">
        <is>
          <t>A Tairona Figure</t>
        </is>
      </c>
      <c r="B83" t="inlineStr">
        <is>
          <t>Live Auctioneers</t>
        </is>
      </c>
      <c r="C83" t="n">
        <v>300</v>
      </c>
      <c r="D83" t="inlineStr">
        <is>
          <t>2023-07-12 00:00:00</t>
        </is>
      </c>
    </row>
    <row r="84">
      <c r="A84" t="inlineStr">
        <is>
          <t>A Pair of Greek Bronze Greeves</t>
        </is>
      </c>
      <c r="B84" t="inlineStr">
        <is>
          <t>ebay</t>
        </is>
      </c>
      <c r="C84" t="n">
        <v>200</v>
      </c>
      <c r="D84" t="inlineStr">
        <is>
          <t>2023-08-07 00:00:00</t>
        </is>
      </c>
    </row>
    <row r="85">
      <c r="A85" t="inlineStr">
        <is>
          <t>An Illyrian Bronze Helmet</t>
        </is>
      </c>
      <c r="B85" t="inlineStr">
        <is>
          <t>ebay</t>
        </is>
      </c>
      <c r="C85" t="n">
        <v>551.25</v>
      </c>
      <c r="D85" t="inlineStr">
        <is>
          <t>2023-07-07 00:00:00</t>
        </is>
      </c>
    </row>
    <row r="86">
      <c r="A86" t="inlineStr">
        <is>
          <t>An Egyptian Faience Ibis</t>
        </is>
      </c>
      <c r="B86" t="inlineStr">
        <is>
          <t>Hindman</t>
        </is>
      </c>
      <c r="C86" t="n">
        <v>375</v>
      </c>
      <c r="D86" t="inlineStr">
        <is>
          <t>2021-05-27 00:00:00</t>
        </is>
      </c>
    </row>
    <row r="87">
      <c r="A87" t="inlineStr">
        <is>
          <t>African Stone Bracelet Upper Volta River 1 0f 4</t>
        </is>
      </c>
      <c r="B87" t="inlineStr">
        <is>
          <t>Live Auctioneers</t>
        </is>
      </c>
      <c r="C87" t="n">
        <v>293</v>
      </c>
      <c r="D87" t="inlineStr">
        <is>
          <t>2021-12-18 00:00:00</t>
        </is>
      </c>
    </row>
    <row r="88">
      <c r="A88" t="inlineStr">
        <is>
          <t>African Stone Bracelet Upper Volta River 2 0f 4</t>
        </is>
      </c>
      <c r="B88" t="inlineStr">
        <is>
          <t>Live Auctioneers</t>
        </is>
      </c>
      <c r="C88" t="n">
        <v>293</v>
      </c>
      <c r="D88" t="inlineStr">
        <is>
          <t>2021-12-18 00:00:00</t>
        </is>
      </c>
    </row>
    <row r="89">
      <c r="A89" t="inlineStr">
        <is>
          <t>African Stone Bracelet Upper Volta River 4 0f 4</t>
        </is>
      </c>
      <c r="B89" t="inlineStr">
        <is>
          <t>Live Auctioneers</t>
        </is>
      </c>
      <c r="C89" t="n">
        <v>293</v>
      </c>
      <c r="D89" t="inlineStr">
        <is>
          <t>2021-12-18 00:00:00</t>
        </is>
      </c>
    </row>
    <row r="90">
      <c r="A90" t="inlineStr">
        <is>
          <t>A Saharan Stone Discoidal</t>
        </is>
      </c>
      <c r="B90" t="inlineStr">
        <is>
          <t>Pace African Art</t>
        </is>
      </c>
      <c r="C90" t="n">
        <v>1000</v>
      </c>
      <c r="D90" t="inlineStr">
        <is>
          <t>2022-01-01 00:00:00</t>
        </is>
      </c>
    </row>
    <row r="91">
      <c r="A91" t="inlineStr">
        <is>
          <t>Carved Ostrish Egg</t>
        </is>
      </c>
      <c r="B91" t="inlineStr">
        <is>
          <t xml:space="preserve">Etsy </t>
        </is>
      </c>
      <c r="C91" t="n">
        <v>90</v>
      </c>
    </row>
    <row r="92">
      <c r="A92" t="inlineStr">
        <is>
          <t>Carved Goose Egg</t>
        </is>
      </c>
      <c r="B92" t="inlineStr">
        <is>
          <t>Etsy</t>
        </is>
      </c>
      <c r="C92" t="n">
        <v>30</v>
      </c>
    </row>
    <row r="93">
      <c r="A93" t="inlineStr">
        <is>
          <t>Carved Goose Egg</t>
        </is>
      </c>
      <c r="B93" t="inlineStr">
        <is>
          <t>Etsy</t>
        </is>
      </c>
      <c r="C93" t="n">
        <v>35</v>
      </c>
    </row>
    <row r="94">
      <c r="A94" t="inlineStr">
        <is>
          <t>Quimbaya Figure (Gift)</t>
        </is>
      </c>
      <c r="B94" t="inlineStr">
        <is>
          <t>Jeffrey Norris</t>
        </is>
      </c>
      <c r="C94" t="n">
        <v>10</v>
      </c>
      <c r="D94" t="inlineStr">
        <is>
          <t>2023-06-02 00:00:00</t>
        </is>
      </c>
    </row>
    <row r="95">
      <c r="A95" t="inlineStr">
        <is>
          <t>A Saharan Stone Discoidal (Gift)</t>
        </is>
      </c>
      <c r="B95" t="inlineStr">
        <is>
          <t>Aquinas Hobor</t>
        </is>
      </c>
      <c r="C95" t="n">
        <v>10</v>
      </c>
      <c r="D95" t="inlineStr">
        <is>
          <t>2023-06-02 00:00:00</t>
        </is>
      </c>
    </row>
    <row r="96">
      <c r="A96" t="inlineStr">
        <is>
          <t>A Saharan Stone Discoidal</t>
        </is>
      </c>
      <c r="B96" t="inlineStr">
        <is>
          <t>Aquinas Hobor</t>
        </is>
      </c>
      <c r="C96" t="n">
        <v>500</v>
      </c>
      <c r="D96" t="inlineStr">
        <is>
          <t>2023-06-02 00:00:00</t>
        </is>
      </c>
    </row>
    <row r="97">
      <c r="A97" t="inlineStr">
        <is>
          <t>Two Songye and Bozo Vessels</t>
        </is>
      </c>
      <c r="B97" t="inlineStr">
        <is>
          <t>Hindman</t>
        </is>
      </c>
      <c r="C97" t="n">
        <v>138.91</v>
      </c>
      <c r="D97" t="inlineStr">
        <is>
          <t>2023-10-12 00:00:00</t>
        </is>
      </c>
    </row>
    <row r="98">
      <c r="A98" t="inlineStr">
        <is>
          <t xml:space="preserve">Sword 9th Century </t>
        </is>
      </c>
      <c r="B98" t="inlineStr">
        <is>
          <t>Zevantiques</t>
        </is>
      </c>
      <c r="C98" t="n">
        <v>3000</v>
      </c>
      <c r="D98" t="inlineStr">
        <is>
          <t>2024-01-20 00:00:00</t>
        </is>
      </c>
    </row>
    <row r="99">
      <c r="A99" t="inlineStr">
        <is>
          <t>A Roman Marble Plaque with Insciption</t>
        </is>
      </c>
      <c r="B99" t="inlineStr">
        <is>
          <t>ebay</t>
        </is>
      </c>
      <c r="C99" t="n">
        <v>1331.41</v>
      </c>
      <c r="D99" t="inlineStr">
        <is>
          <t>2024-09-11 00:00:00</t>
        </is>
      </c>
    </row>
    <row r="100">
      <c r="A100" t="inlineStr">
        <is>
          <t>Erotic Intaglio Finger Ring</t>
        </is>
      </c>
      <c r="B100" t="inlineStr">
        <is>
          <t>ebay</t>
        </is>
      </c>
      <c r="C100" t="n">
        <v>205.07</v>
      </c>
      <c r="D100" t="inlineStr">
        <is>
          <t>2024-06-03 00:00:00</t>
        </is>
      </c>
    </row>
    <row r="102">
      <c r="A102" t="inlineStr">
        <is>
          <t>Total</t>
        </is>
      </c>
    </row>
    <row r="104">
      <c r="A104" t="inlineStr">
        <is>
          <t>Office/Business Inventory</t>
        </is>
      </c>
    </row>
    <row r="105">
      <c r="A105" t="inlineStr">
        <is>
          <t>Sofa</t>
        </is>
      </c>
    </row>
    <row r="106">
      <c r="A106" t="inlineStr">
        <is>
          <t>Space Heater</t>
        </is>
      </c>
    </row>
    <row r="107">
      <c r="A107" t="inlineStr">
        <is>
          <t>Shelving</t>
        </is>
      </c>
    </row>
    <row r="108">
      <c r="A108" t="inlineStr">
        <is>
          <t>Storage Bins</t>
        </is>
      </c>
    </row>
    <row r="109">
      <c r="A109" t="inlineStr">
        <is>
          <t>Table</t>
        </is>
      </c>
    </row>
    <row r="110">
      <c r="A110" t="inlineStr">
        <is>
          <t>Computer</t>
        </is>
      </c>
    </row>
    <row r="111">
      <c r="A111" t="inlineStr">
        <is>
          <t>Art Library</t>
        </is>
      </c>
    </row>
    <row r="112">
      <c r="A112" t="inlineStr">
        <is>
          <t>Standing Desk</t>
        </is>
      </c>
    </row>
    <row r="114">
      <c r="A114" t="inlineStr">
        <is>
          <t>2025 CC inventory (not in Cost total until object is named)</t>
        </is>
      </c>
    </row>
    <row r="115">
      <c r="A115" t="inlineStr">
        <is>
          <t>Los Angeles Modern Auctions (inventory purchase)</t>
        </is>
      </c>
      <c r="B115" t="inlineStr">
        <is>
          <t>Sapphire 5423</t>
        </is>
      </c>
      <c r="C115" t="n">
        <v>6821.06</v>
      </c>
      <c r="D115" t="inlineStr">
        <is>
          <t>2025-07-24</t>
        </is>
      </c>
    </row>
    <row r="116">
      <c r="A116" t="inlineStr">
        <is>
          <t>Hindman LLC (inventory purchase)</t>
        </is>
      </c>
      <c r="B116" t="inlineStr">
        <is>
          <t>Sapphire 5423</t>
        </is>
      </c>
      <c r="C116" t="n">
        <v>282.24</v>
      </c>
      <c r="D116" t="inlineStr">
        <is>
          <t>2025-04-03</t>
        </is>
      </c>
    </row>
    <row r="117">
      <c r="A117" t="inlineStr">
        <is>
          <t>Hindman LLC (inventory purchase)</t>
        </is>
      </c>
      <c r="B117" t="inlineStr">
        <is>
          <t>Sapphire 5423</t>
        </is>
      </c>
      <c r="C117" t="n">
        <v>403.51</v>
      </c>
      <c r="D117" t="inlineStr">
        <is>
          <t>2025-07-29</t>
        </is>
      </c>
    </row>
    <row r="118">
      <c r="A118" t="inlineStr">
        <is>
          <t>The Great Frame Up (inventory framing)</t>
        </is>
      </c>
      <c r="B118" t="inlineStr">
        <is>
          <t>Sapphire 5423</t>
        </is>
      </c>
      <c r="C118" t="n">
        <v>536.41</v>
      </c>
      <c r="D118" t="inlineStr">
        <is>
          <t>2025-02-16</t>
        </is>
      </c>
    </row>
    <row r="120">
      <c r="A120" t="inlineStr">
        <is>
          <t>2025 Mercury 8291 — David Aaron Limited is LOCKED consultant fee (not Art Sales)</t>
        </is>
      </c>
    </row>
    <row r="121">
      <c r="A121" t="inlineStr">
        <is>
          <t>NOT a 2025 art sale — David Aaron Limited consultant fee (EPGC Consultant June)</t>
        </is>
      </c>
      <c r="B121" t="inlineStr">
        <is>
          <t>David Aaron Limited</t>
        </is>
      </c>
      <c r="I121" t="inlineStr">
        <is>
          <t>LOCKED 2026-09-20: consultant fee, not a sale. $13,595 is on EPGC Consultant June. Not tax advice.</t>
        </is>
      </c>
    </row>
    <row r="123">
      <c r="A123" t="inlineStr">
        <is>
          <t>2025 Mercury COGS — Newstar Jewelers (LOCKED jewelry fabrication)</t>
        </is>
      </c>
    </row>
    <row r="124">
      <c r="A124" t="inlineStr">
        <is>
          <t>Newstar Jewelers — jewelry from intaglios / engraved gems / scarabs</t>
        </is>
      </c>
      <c r="B124" t="inlineStr">
        <is>
          <t>Mercury 8291</t>
        </is>
      </c>
      <c r="C124" t="n">
        <v>8000</v>
      </c>
      <c r="D124" t="inlineStr">
        <is>
          <t>2025-10-14</t>
        </is>
      </c>
      <c r="I124" t="inlineStr">
        <is>
          <t>LOCKED COGS fabrication. Not in sold-lot Cost total (Feb Berk lots already sold). Identify which gems/intaglios/scarabs.</t>
        </is>
      </c>
    </row>
    <row r="125">
      <c r="A125" t="inlineStr">
        <is>
          <t>Newstar Jewelers — jewelry from intaglios / engraved gems / scarabs</t>
        </is>
      </c>
      <c r="B125" t="inlineStr">
        <is>
          <t>Mercury 8291</t>
        </is>
      </c>
      <c r="C125" t="n">
        <v>8000</v>
      </c>
      <c r="D125" t="inlineStr">
        <is>
          <t>2025-11-12</t>
        </is>
      </c>
      <c r="I125" t="inlineStr">
        <is>
          <t>LOCKED COGS fabrication. Not in sold-lot Cost total (Feb Berk lots already sold). Identify which gems/intaglios/scarabs.</t>
        </is>
      </c>
    </row>
    <row r="126">
      <c r="A126" t="inlineStr">
        <is>
          <t>Newstar Jewelers — jewelry from intaglios / engraved gems / scarabs (3 of 3)</t>
        </is>
      </c>
      <c r="B126" t="inlineStr">
        <is>
          <t>Mercury 8291</t>
        </is>
      </c>
      <c r="C126" t="n">
        <v>7581</v>
      </c>
      <c r="D126" t="inlineStr">
        <is>
          <t>2025-12-24</t>
        </is>
      </c>
      <c r="I126" t="inlineStr">
        <is>
          <t>LOCKED COGS fabrication. Not in sold-lot Cost total (Feb Berk lots already sold). Identify which gems/intaglios/scarabs.</t>
        </is>
      </c>
    </row>
    <row r="127">
      <c r="A127" t="inlineStr">
        <is>
          <t>Newstar 2025 total</t>
        </is>
      </c>
      <c r="C127">
        <f>SUM(C123:C125)</f>
        <v/>
      </c>
    </row>
    <row r="129">
      <c r="A129" t="inlineStr">
        <is>
          <t>2025 Mercury Fortuna inventory — Venus + Roman Gold Belt LOCKED; Aug $20k unnamed ASK</t>
        </is>
      </c>
    </row>
    <row r="130">
      <c r="A130" t="inlineStr">
        <is>
          <t>Bronze head of a goddess, likely Venus — Fortuna inventory</t>
        </is>
      </c>
      <c r="B130" t="inlineStr">
        <is>
          <t>Mercury 8291</t>
        </is>
      </c>
      <c r="C130" t="n">
        <v>20000</v>
      </c>
      <c r="D130" t="inlineStr">
        <is>
          <t>2025-05-09</t>
        </is>
      </c>
      <c r="I130" t="inlineStr">
        <is>
          <t>LOCKED 2026-09-20 from Mercury native CSV note. Parked Cost. Not sold 2025 — not in sold-lot Cost. Not tax advice.</t>
        </is>
      </c>
    </row>
    <row r="131">
      <c r="A131" t="inlineStr">
        <is>
          <t>Roman Gold Belt — Fortuna inventory</t>
        </is>
      </c>
      <c r="B131" t="inlineStr">
        <is>
          <t>Mercury 8291</t>
        </is>
      </c>
      <c r="C131" t="n">
        <v>45000</v>
      </c>
      <c r="D131" t="inlineStr">
        <is>
          <t>2025-07-21</t>
        </is>
      </c>
      <c r="I131" t="inlineStr">
        <is>
          <t>LOCKED 2026-09-20 from Mercury native CSV note. Parked Cost. Not sold 2025 — not in sold-lot Cost. Not tax advice.</t>
        </is>
      </c>
    </row>
    <row r="132">
      <c r="A132" t="inlineStr">
        <is>
          <t>Fortuna / Erdal Dere — object still unnamed (native 8/18 = Monarch 8/15)</t>
        </is>
      </c>
      <c r="B132" t="inlineStr">
        <is>
          <t>Mercury 8291</t>
        </is>
      </c>
      <c r="C132" t="n">
        <v>20000</v>
      </c>
      <c r="D132" t="inlineStr">
        <is>
          <t>2025-08-15</t>
        </is>
      </c>
      <c r="I132" t="inlineStr">
        <is>
          <t>ASK: same $20,000 as Mercury native 2025-08-18. No object name. Do not add to sold Cost. Not a second unique txn.</t>
        </is>
      </c>
    </row>
    <row r="133">
      <c r="A133" t="inlineStr">
        <is>
          <t>Fortuna unnamed remaining 2025 (excl. seals $13,000 + Venus $20,000 + Belt $45,000)</t>
        </is>
      </c>
      <c r="C133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" t="inlineStr">
        <is>
          <t>GCM / Gates Capital 2025 — personal 1099 (NOT EPGC Consultant) — not tax advice</t>
        </is>
      </c>
    </row>
    <row r="2">
      <c r="A2" t="inlineStr">
        <is>
          <t>BOM PAYMEN $21500.00 = Form 1099-NEC $21,500 → this tab + Income E7 only. User 2026-09-18: remove GCM from the EPGC Consultant line (1099 is in Jacob’s name). JAKE C / SEFOF reimbursements $5214.69 EXCLUDED (May 22 $609.02 CONFIRMED reimbursement).</t>
        </is>
      </c>
    </row>
    <row r="4">
      <c r="A4" t="inlineStr">
        <is>
          <t>LINE</t>
        </is>
      </c>
      <c r="B4" t="inlineStr">
        <is>
          <t>JAN</t>
        </is>
      </c>
      <c r="C4" t="inlineStr">
        <is>
          <t>FEB</t>
        </is>
      </c>
      <c r="D4" t="inlineStr">
        <is>
          <t>MAR</t>
        </is>
      </c>
      <c r="E4" t="inlineStr">
        <is>
          <t>APR</t>
        </is>
      </c>
      <c r="F4" t="inlineStr">
        <is>
          <t>MAY</t>
        </is>
      </c>
      <c r="G4" t="inlineStr">
        <is>
          <t>JUN</t>
        </is>
      </c>
      <c r="H4" t="inlineStr">
        <is>
          <t>JUL</t>
        </is>
      </c>
      <c r="I4" t="inlineStr">
        <is>
          <t>AUG</t>
        </is>
      </c>
      <c r="J4" t="inlineStr">
        <is>
          <t>SEP</t>
        </is>
      </c>
      <c r="K4" t="inlineStr">
        <is>
          <t>OCT</t>
        </is>
      </c>
      <c r="L4" t="inlineStr">
        <is>
          <t>NOV</t>
        </is>
      </c>
      <c r="M4" t="inlineStr">
        <is>
          <t>DEC</t>
        </is>
      </c>
      <c r="N4" t="inlineStr">
        <is>
          <t>YR TOTAL</t>
        </is>
      </c>
    </row>
    <row r="5">
      <c r="A5" t="inlineStr">
        <is>
          <t>Board fee (BOM PAYMEN → personal 1099 / GCM tab)</t>
        </is>
      </c>
      <c r="B5" t="n">
        <v>0</v>
      </c>
      <c r="C5" t="n">
        <v>4100</v>
      </c>
      <c r="D5" t="n">
        <v>0</v>
      </c>
      <c r="E5" t="n">
        <v>9200</v>
      </c>
      <c r="F5" t="n">
        <v>0</v>
      </c>
      <c r="G5" t="n">
        <v>0</v>
      </c>
      <c r="H5" t="n">
        <v>0</v>
      </c>
      <c r="I5" t="n">
        <v>0</v>
      </c>
      <c r="J5" t="n">
        <v>4100</v>
      </c>
      <c r="K5" t="n">
        <v>0</v>
      </c>
      <c r="L5" t="n">
        <v>4100</v>
      </c>
      <c r="M5" t="n">
        <v>0</v>
      </c>
      <c r="N5">
        <f>SUM(B5:M5)</f>
        <v/>
      </c>
    </row>
    <row r="6">
      <c r="A6" t="inlineStr">
        <is>
          <t>Reimbursements (EXCLUDED from income)</t>
        </is>
      </c>
      <c r="B6" t="n">
        <v>0</v>
      </c>
      <c r="C6" t="n">
        <v>1150.99</v>
      </c>
      <c r="D6" t="n">
        <v>0</v>
      </c>
      <c r="E6" t="n">
        <v>0</v>
      </c>
      <c r="F6" t="n">
        <v>609.02</v>
      </c>
      <c r="G6" t="n">
        <v>0</v>
      </c>
      <c r="H6" t="n">
        <v>1717.41</v>
      </c>
      <c r="I6" t="n">
        <v>0</v>
      </c>
      <c r="J6" t="n">
        <v>0</v>
      </c>
      <c r="K6" t="n">
        <v>0</v>
      </c>
      <c r="L6" t="n">
        <v>1737.27</v>
      </c>
      <c r="M6" t="n">
        <v>0</v>
      </c>
      <c r="N6">
        <f>SUM(B6:M6)</f>
        <v/>
      </c>
    </row>
    <row r="8">
      <c r="A8" t="inlineStr">
        <is>
          <t>Transaction register</t>
        </is>
      </c>
    </row>
    <row r="9">
      <c r="A9" t="inlineStr">
        <is>
          <t>Date</t>
        </is>
      </c>
      <c r="B9" t="inlineStr">
        <is>
          <t>Account</t>
        </is>
      </c>
      <c r="C9" t="inlineStr">
        <is>
          <t>Amount</t>
        </is>
      </c>
      <c r="D9" t="inlineStr">
        <is>
          <t>Bucket</t>
        </is>
      </c>
      <c r="E9" t="inlineStr">
        <is>
          <t>Status</t>
        </is>
      </c>
      <c r="F9" t="inlineStr">
        <is>
          <t>Memo</t>
        </is>
      </c>
    </row>
    <row r="10">
      <c r="A10" t="inlineStr">
        <is>
          <t>2025-02-12</t>
        </is>
      </c>
      <c r="B10" t="n">
        <v>9922</v>
      </c>
      <c r="C10" t="n">
        <v>4100</v>
      </c>
      <c r="D10" t="inlineStr">
        <is>
          <t>Personal 1099 / GCM tab</t>
        </is>
      </c>
      <c r="E10" t="inlineStr">
        <is>
          <t>APPLIED</t>
        </is>
      </c>
      <c r="F10" t="inlineStr">
        <is>
          <t>BOM PAYMEN — not EPGC Consultant</t>
        </is>
      </c>
    </row>
    <row r="11">
      <c r="A11" t="inlineStr">
        <is>
          <t>2025-04-18</t>
        </is>
      </c>
      <c r="B11" t="n">
        <v>9922</v>
      </c>
      <c r="C11" t="n">
        <v>9200</v>
      </c>
      <c r="D11" t="inlineStr">
        <is>
          <t>Personal 1099 / GCM tab</t>
        </is>
      </c>
      <c r="E11" t="inlineStr">
        <is>
          <t>APPLIED</t>
        </is>
      </c>
      <c r="F11" t="inlineStr">
        <is>
          <t>BOM PAYMEN — not EPGC Consultant</t>
        </is>
      </c>
    </row>
    <row r="12">
      <c r="A12" t="inlineStr">
        <is>
          <t>2025-09-13</t>
        </is>
      </c>
      <c r="B12" t="n">
        <v>9922</v>
      </c>
      <c r="C12" t="n">
        <v>4100</v>
      </c>
      <c r="D12" t="inlineStr">
        <is>
          <t>Personal 1099 / GCM tab</t>
        </is>
      </c>
      <c r="E12" t="inlineStr">
        <is>
          <t>APPLIED</t>
        </is>
      </c>
      <c r="F12" t="inlineStr">
        <is>
          <t>BOM PAYMEN — not EPGC Consultant</t>
        </is>
      </c>
    </row>
    <row r="13">
      <c r="A13" t="inlineStr">
        <is>
          <t>2025-11-13</t>
        </is>
      </c>
      <c r="B13" t="n">
        <v>9922</v>
      </c>
      <c r="C13" t="n">
        <v>4100</v>
      </c>
      <c r="D13" t="inlineStr">
        <is>
          <t>Personal 1099 / GCM tab</t>
        </is>
      </c>
      <c r="E13" t="inlineStr">
        <is>
          <t>APPLIED</t>
        </is>
      </c>
      <c r="F13" t="inlineStr">
        <is>
          <t>BOM PAYMEN — not EPGC Consultant</t>
        </is>
      </c>
    </row>
    <row r="14">
      <c r="A14" t="inlineStr">
        <is>
          <t>2025-02-18</t>
        </is>
      </c>
      <c r="B14" t="n">
        <v>9922</v>
      </c>
      <c r="C14" t="n">
        <v>1150.99</v>
      </c>
      <c r="D14" t="inlineStr">
        <is>
          <t>Reimbursement</t>
        </is>
      </c>
      <c r="E14" t="inlineStr">
        <is>
          <t>EXCLUDED</t>
        </is>
      </c>
      <c r="F14" t="inlineStr">
        <is>
          <t>PMT INFO: BOARD MEETING EXPENSES</t>
        </is>
      </c>
    </row>
    <row r="15">
      <c r="A15" t="inlineStr">
        <is>
          <t>2025-05-22</t>
        </is>
      </c>
      <c r="B15" t="n">
        <v>9922</v>
      </c>
      <c r="C15" t="n">
        <v>609.02</v>
      </c>
      <c r="D15" t="inlineStr">
        <is>
          <t>Reimbursement</t>
        </is>
      </c>
      <c r="E15" t="inlineStr">
        <is>
          <t>EXCLUDED</t>
        </is>
      </c>
      <c r="F15" t="inlineStr">
        <is>
          <t>CONFIRMED reimbursement (JAKE C, not BOM)</t>
        </is>
      </c>
    </row>
    <row r="16">
      <c r="A16" t="inlineStr">
        <is>
          <t>2025-11-05</t>
        </is>
      </c>
      <c r="B16" t="n">
        <v>9922</v>
      </c>
      <c r="C16" t="n">
        <v>1273.82</v>
      </c>
      <c r="D16" t="inlineStr">
        <is>
          <t>Reimbursement</t>
        </is>
      </c>
      <c r="E16" t="inlineStr">
        <is>
          <t>EXCLUDED</t>
        </is>
      </c>
      <c r="F16" t="inlineStr">
        <is>
          <t>Monarch tag Reimburse; statement JAKE C (not BOM)</t>
        </is>
      </c>
    </row>
    <row r="17">
      <c r="A17" t="inlineStr">
        <is>
          <t>2025-07-25</t>
        </is>
      </c>
      <c r="B17" t="n">
        <v>8507</v>
      </c>
      <c r="C17" t="n">
        <v>462.48</v>
      </c>
      <c r="D17" t="inlineStr">
        <is>
          <t>Reimbursement</t>
        </is>
      </c>
      <c r="E17" t="inlineStr">
        <is>
          <t>EXCLUDED</t>
        </is>
      </c>
      <c r="F17" t="inlineStr">
        <is>
          <t>SEFOF WHARTON EXPENSES — WAIT 8507 statements</t>
        </is>
      </c>
    </row>
    <row r="18">
      <c r="A18" t="inlineStr">
        <is>
          <t>2025-07-31</t>
        </is>
      </c>
      <c r="B18" t="n">
        <v>8507</v>
      </c>
      <c r="C18" t="n">
        <v>1254.93</v>
      </c>
      <c r="D18" t="inlineStr">
        <is>
          <t>Reimbursement</t>
        </is>
      </c>
      <c r="E18" t="inlineStr">
        <is>
          <t>EXCLUDED</t>
        </is>
      </c>
      <c r="F18" t="inlineStr">
        <is>
          <t>SEFOF ANNUAL CONFERENCE EXPENSES — WAIT 8507 statements</t>
        </is>
      </c>
    </row>
    <row r="19">
      <c r="A19" t="inlineStr">
        <is>
          <t>2025-11-05</t>
        </is>
      </c>
      <c r="B19" t="n">
        <v>8507</v>
      </c>
      <c r="C19" t="n">
        <v>463.45</v>
      </c>
      <c r="D19" t="inlineStr">
        <is>
          <t>Reimbursement</t>
        </is>
      </c>
      <c r="E19" t="inlineStr">
        <is>
          <t>EXCLUDED</t>
        </is>
      </c>
      <c r="F19" t="inlineStr">
        <is>
          <t>SEFOF EDUCATION COMMITTEE — WAIT 8507 statements</t>
        </is>
      </c>
    </row>
    <row r="21">
      <c r="A21" t="inlineStr">
        <is>
          <t>1099-NEC Gates Capital Management LLC TIN 84-1331261 box 1 = $21,500. BOM sum ties. Reimbursements are not on the 1099. EPGC Consultant is $0.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t="inlineStr">
        <is>
          <t>ML</t>
        </is>
      </c>
      <c r="B2" t="inlineStr">
        <is>
          <t>UTMA EMMA COLEY</t>
        </is>
      </c>
    </row>
    <row r="3">
      <c r="A3" t="inlineStr">
        <is>
          <t>ML</t>
        </is>
      </c>
      <c r="B3" t="inlineStr">
        <is>
          <t>UTMA PHOEBE COLEY</t>
        </is>
      </c>
    </row>
    <row r="5">
      <c r="A5" t="inlineStr">
        <is>
          <t>Coinbase (ACH from Mercury 8291)</t>
        </is>
      </c>
      <c r="B5" t="inlineStr">
        <is>
          <t>Investment transfers — not EPGC Art Sales, not advisory. Distinct from Coinbase 6108 card.</t>
        </is>
      </c>
    </row>
    <row r="6">
      <c r="B6" t="inlineStr">
        <is>
          <t>JAN</t>
        </is>
      </c>
      <c r="C6" t="inlineStr">
        <is>
          <t>FEB</t>
        </is>
      </c>
      <c r="D6" t="inlineStr">
        <is>
          <t>MAR</t>
        </is>
      </c>
      <c r="E6" t="inlineStr">
        <is>
          <t>APR</t>
        </is>
      </c>
      <c r="F6" t="inlineStr">
        <is>
          <t>MAY</t>
        </is>
      </c>
      <c r="G6" t="inlineStr">
        <is>
          <t>JUN</t>
        </is>
      </c>
      <c r="H6" t="inlineStr">
        <is>
          <t>JUL</t>
        </is>
      </c>
      <c r="I6" t="inlineStr">
        <is>
          <t>AUG</t>
        </is>
      </c>
      <c r="J6" t="inlineStr">
        <is>
          <t>SEP</t>
        </is>
      </c>
      <c r="K6" t="inlineStr">
        <is>
          <t>OCT</t>
        </is>
      </c>
      <c r="L6" t="inlineStr">
        <is>
          <t>NOV</t>
        </is>
      </c>
      <c r="M6" t="inlineStr">
        <is>
          <t>DEC</t>
        </is>
      </c>
      <c r="N6" t="inlineStr">
        <is>
          <t>2025 NET</t>
        </is>
      </c>
    </row>
    <row r="7">
      <c r="A7" t="inlineStr">
        <is>
          <t>To Coinbase (funding)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-9000</v>
      </c>
      <c r="K7" t="n">
        <v>-10000</v>
      </c>
      <c r="L7" t="n">
        <v>-35000</v>
      </c>
      <c r="M7" t="n">
        <v>-5000</v>
      </c>
      <c r="N7">
        <f>SUM(B7:M7)</f>
        <v/>
      </c>
    </row>
    <row r="8">
      <c r="A8" t="inlineStr">
        <is>
          <t>From Coinbase (back to 8291)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8000</v>
      </c>
      <c r="N8">
        <f>SUM(B8:M8)</f>
        <v/>
      </c>
    </row>
    <row r="9">
      <c r="A9" t="inlineStr">
        <is>
          <t>Net transfer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-9000</v>
      </c>
      <c r="K9" t="n">
        <v>-10000</v>
      </c>
      <c r="L9" t="n">
        <v>-35000</v>
      </c>
      <c r="M9" t="n">
        <v>3000</v>
      </c>
      <c r="N9">
        <f>SUM(B9:M9)</f>
        <v/>
      </c>
    </row>
    <row r="11">
      <c r="A11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B1" s="1" t="inlineStr">
        <is>
          <t>PROPERTY ADDRESS</t>
        </is>
      </c>
      <c r="C1" s="1" t="inlineStr">
        <is>
          <t>524 Ferdinand Avenue, Unit 1</t>
        </is>
      </c>
      <c r="P1" s="1" t="inlineStr">
        <is>
          <t>524 Ferdinand Avenue, Unit 1</t>
        </is>
      </c>
    </row>
    <row r="2">
      <c r="B2" t="inlineStr">
        <is>
          <t>INCOME</t>
        </is>
      </c>
      <c r="C2" t="inlineStr">
        <is>
          <t>JAN</t>
        </is>
      </c>
      <c r="D2" t="inlineStr">
        <is>
          <t>FEB</t>
        </is>
      </c>
      <c r="E2" t="inlineStr">
        <is>
          <t>MAR</t>
        </is>
      </c>
      <c r="F2" t="inlineStr">
        <is>
          <t>APR</t>
        </is>
      </c>
      <c r="G2" t="inlineStr">
        <is>
          <t>MAY</t>
        </is>
      </c>
      <c r="H2" t="inlineStr">
        <is>
          <t>JUN</t>
        </is>
      </c>
      <c r="I2" t="inlineStr">
        <is>
          <t>JUL</t>
        </is>
      </c>
      <c r="J2" t="inlineStr">
        <is>
          <t>AUG</t>
        </is>
      </c>
      <c r="K2" t="inlineStr">
        <is>
          <t>SEPT</t>
        </is>
      </c>
      <c r="L2" t="inlineStr">
        <is>
          <t>OCT</t>
        </is>
      </c>
      <c r="M2" t="inlineStr">
        <is>
          <t>NOV</t>
        </is>
      </c>
      <c r="N2" t="inlineStr">
        <is>
          <t>DEC</t>
        </is>
      </c>
      <c r="O2" t="inlineStr">
        <is>
          <t>2023 YR TOTAL</t>
        </is>
      </c>
      <c r="P2" t="inlineStr">
        <is>
          <t>JAN</t>
        </is>
      </c>
      <c r="Q2" t="inlineStr">
        <is>
          <t>FEB</t>
        </is>
      </c>
      <c r="R2" t="inlineStr">
        <is>
          <t>MAR</t>
        </is>
      </c>
      <c r="S2" t="inlineStr">
        <is>
          <t>APR</t>
        </is>
      </c>
      <c r="T2" t="inlineStr">
        <is>
          <t>MAY</t>
        </is>
      </c>
      <c r="U2" t="inlineStr">
        <is>
          <t>JUN</t>
        </is>
      </c>
      <c r="V2" t="inlineStr">
        <is>
          <t>JUL</t>
        </is>
      </c>
      <c r="W2" t="inlineStr">
        <is>
          <t>AUG</t>
        </is>
      </c>
      <c r="X2" t="inlineStr">
        <is>
          <t>SEPT</t>
        </is>
      </c>
      <c r="Y2" t="inlineStr">
        <is>
          <t>OCT</t>
        </is>
      </c>
      <c r="Z2" t="inlineStr">
        <is>
          <t>NOV</t>
        </is>
      </c>
      <c r="AA2" t="inlineStr">
        <is>
          <t>DEC</t>
        </is>
      </c>
      <c r="AB2" t="inlineStr">
        <is>
          <t>2025 YR TOTAL</t>
        </is>
      </c>
    </row>
    <row r="3">
      <c r="B3" t="inlineStr">
        <is>
          <t>MULTI-PROPERTY INCOME OVERVIEW</t>
        </is>
      </c>
    </row>
    <row r="4">
      <c r="B4" t="inlineStr">
        <is>
          <t>MULTI-PROPERTY INCOME OVERVIEW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>
        <f>SUM(P4:AA4)</f>
        <v/>
      </c>
    </row>
    <row r="5">
      <c r="B5" t="inlineStr">
        <is>
          <t>RENTAL INCOME</t>
        </is>
      </c>
      <c r="O5">
        <f>SUM(C5:N5)</f>
        <v/>
      </c>
      <c r="AB5">
        <f>SUM(P5:AA5)</f>
        <v/>
      </c>
    </row>
    <row r="6">
      <c r="B6" t="inlineStr">
        <is>
          <t>GROSS RENTAL INCOME</t>
        </is>
      </c>
      <c r="C6">
        <f>SUM(C4:C5)</f>
        <v/>
      </c>
      <c r="D6">
        <f>SUM(D4:D5)</f>
        <v/>
      </c>
      <c r="E6">
        <f>SUM(E4:E5)</f>
        <v/>
      </c>
      <c r="F6">
        <f>SUM(F4:F5)</f>
        <v/>
      </c>
      <c r="G6">
        <f>SUM(G4:G5)</f>
        <v/>
      </c>
      <c r="H6">
        <f>SUM(H4:H5)</f>
        <v/>
      </c>
      <c r="I6">
        <f>SUM(I4:I5)</f>
        <v/>
      </c>
      <c r="J6">
        <f>SUM(J4:J5)</f>
        <v/>
      </c>
      <c r="K6">
        <f>SUM(K4:K5)</f>
        <v/>
      </c>
      <c r="L6">
        <f>SUM(L4:L5)</f>
        <v/>
      </c>
      <c r="M6">
        <f>SUM(M4:M5)</f>
        <v/>
      </c>
      <c r="N6">
        <f>SUM(N4:N5)</f>
        <v/>
      </c>
      <c r="O6">
        <f>SUM(C6:N6)</f>
        <v/>
      </c>
      <c r="P6">
        <f>SUM(P4:P5)</f>
        <v/>
      </c>
      <c r="Q6">
        <f>SUM(Q4:Q5)</f>
        <v/>
      </c>
      <c r="R6">
        <f>SUM(R4:R5)</f>
        <v/>
      </c>
      <c r="S6">
        <f>SUM(S4:S5)</f>
        <v/>
      </c>
      <c r="T6">
        <f>SUM(T4:T5)</f>
        <v/>
      </c>
      <c r="U6">
        <f>SUM(U4:U5)</f>
        <v/>
      </c>
      <c r="V6">
        <f>SUM(V4:V5)</f>
        <v/>
      </c>
      <c r="W6">
        <f>SUM(W4:W5)</f>
        <v/>
      </c>
      <c r="X6">
        <f>SUM(X4:X5)</f>
        <v/>
      </c>
      <c r="Y6">
        <f>SUM(Y4:Y5)</f>
        <v/>
      </c>
      <c r="Z6">
        <f>SUM(Z4:Z5)</f>
        <v/>
      </c>
      <c r="AA6">
        <f>SUM(AA4:AA5)</f>
        <v/>
      </c>
      <c r="AB6">
        <f>SUM(P6:AA6)</f>
        <v/>
      </c>
    </row>
    <row r="7"/>
    <row r="8">
      <c r="B8" t="inlineStr">
        <is>
          <t>EXPENSES</t>
        </is>
      </c>
      <c r="C8" t="inlineStr">
        <is>
          <t>JAN</t>
        </is>
      </c>
      <c r="D8" t="inlineStr">
        <is>
          <t>FEB</t>
        </is>
      </c>
      <c r="E8" t="inlineStr">
        <is>
          <t>MAR</t>
        </is>
      </c>
      <c r="F8" t="inlineStr">
        <is>
          <t>APR</t>
        </is>
      </c>
      <c r="G8" t="inlineStr">
        <is>
          <t>MAY</t>
        </is>
      </c>
      <c r="H8" t="inlineStr">
        <is>
          <t>JUN</t>
        </is>
      </c>
      <c r="I8" t="inlineStr">
        <is>
          <t>JUL</t>
        </is>
      </c>
      <c r="J8" t="inlineStr">
        <is>
          <t>AUG</t>
        </is>
      </c>
      <c r="K8" t="inlineStr">
        <is>
          <t>SEPT</t>
        </is>
      </c>
      <c r="L8" t="inlineStr">
        <is>
          <t>OCT</t>
        </is>
      </c>
      <c r="M8" t="inlineStr">
        <is>
          <t>NOV</t>
        </is>
      </c>
      <c r="N8" t="inlineStr">
        <is>
          <t>DEC</t>
        </is>
      </c>
      <c r="O8" t="inlineStr">
        <is>
          <t>YR TOTAL</t>
        </is>
      </c>
      <c r="P8" t="inlineStr">
        <is>
          <t>JAN</t>
        </is>
      </c>
      <c r="Q8" t="inlineStr">
        <is>
          <t>FEB</t>
        </is>
      </c>
      <c r="R8" t="inlineStr">
        <is>
          <t>MAR</t>
        </is>
      </c>
      <c r="S8" t="inlineStr">
        <is>
          <t>APR</t>
        </is>
      </c>
      <c r="T8" t="inlineStr">
        <is>
          <t>MAY</t>
        </is>
      </c>
      <c r="U8" t="inlineStr">
        <is>
          <t>JUN</t>
        </is>
      </c>
      <c r="V8" t="inlineStr">
        <is>
          <t>JUL</t>
        </is>
      </c>
      <c r="W8" t="inlineStr">
        <is>
          <t>AUG</t>
        </is>
      </c>
      <c r="X8" t="inlineStr">
        <is>
          <t>SEPT</t>
        </is>
      </c>
      <c r="Y8" t="inlineStr">
        <is>
          <t>OCT</t>
        </is>
      </c>
      <c r="Z8" t="inlineStr">
        <is>
          <t>NOV</t>
        </is>
      </c>
      <c r="AA8" t="inlineStr">
        <is>
          <t>DEC</t>
        </is>
      </c>
      <c r="AB8" t="inlineStr">
        <is>
          <t>YR TOTAL</t>
        </is>
      </c>
    </row>
    <row r="9">
      <c r="B9" t="inlineStr">
        <is>
          <t> </t>
        </is>
      </c>
    </row>
    <row r="10">
      <c r="B10" t="inlineStr">
        <is>
          <t>MULTI-PROPERTY EXPENSES OVERVIEW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>
        <f>SUM(C10:N10)</f>
        <v/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>
        <f>SUM(P10:AA10)</f>
        <v/>
      </c>
    </row>
    <row r="11">
      <c r="B11" t="inlineStr">
        <is>
          <t>MARKETING / ADVERTISING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>
        <f>SUM(C11:N11)</f>
        <v/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>
        <f>SUM(P11:AA11)</f>
        <v/>
      </c>
    </row>
    <row r="12">
      <c r="B12" t="inlineStr">
        <is>
          <t>SERVICE FEES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>
        <f>SUM(C12:N12)</f>
        <v/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>
        <f>SUM(P12:AA12)</f>
        <v/>
      </c>
    </row>
    <row r="13">
      <c r="B13" t="inlineStr">
        <is>
          <t>REMITTED TAX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>
        <f>SUM(C13:N13)</f>
        <v/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>
        <f>SUM(P13:AA13)</f>
        <v/>
      </c>
    </row>
    <row r="14">
      <c r="B14" t="inlineStr">
        <is>
          <t>INSURANCE</t>
        </is>
      </c>
      <c r="N14" t="n">
        <v>1455.09</v>
      </c>
      <c r="O14">
        <f>SUM(C14:N14)</f>
        <v/>
      </c>
      <c r="P14" t="n">
        <v>0</v>
      </c>
      <c r="Q14" t="n">
        <v>78.76000000000001</v>
      </c>
      <c r="R14" t="n">
        <v>78.75</v>
      </c>
      <c r="S14" t="n">
        <v>78.75</v>
      </c>
      <c r="T14" t="n">
        <v>78.75</v>
      </c>
      <c r="U14" t="n">
        <v>78.75</v>
      </c>
      <c r="V14" t="n">
        <v>78.75</v>
      </c>
      <c r="W14" t="n">
        <v>80.19</v>
      </c>
      <c r="X14" t="n">
        <v>0</v>
      </c>
      <c r="Y14" t="n">
        <v>0</v>
      </c>
      <c r="Z14" t="n">
        <v>0</v>
      </c>
      <c r="AA14" t="n">
        <v>0</v>
      </c>
      <c r="AB14">
        <f>SUM(P14:AA14)</f>
        <v/>
      </c>
    </row>
    <row r="15">
      <c r="B15" t="inlineStr">
        <is>
          <t>INTERIOR MAINTENANCE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SUM(C15:N15)</f>
        <v/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>
        <f>SUM(P15:AA15)</f>
        <v/>
      </c>
    </row>
    <row r="16">
      <c r="B16" t="inlineStr">
        <is>
          <t>EXTERIOR REPAIRS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851.3200000000001</v>
      </c>
      <c r="K16" t="n">
        <v>0</v>
      </c>
      <c r="L16" t="n">
        <v>0</v>
      </c>
      <c r="M16" t="n">
        <v>0</v>
      </c>
      <c r="N16" t="n">
        <v>0</v>
      </c>
      <c r="O16">
        <f>SUM(C16:N16)</f>
        <v/>
      </c>
      <c r="P16" t="n">
        <v>0</v>
      </c>
      <c r="Q16" t="n">
        <v>66.56</v>
      </c>
      <c r="R16" t="n">
        <v>688.6</v>
      </c>
      <c r="S16" t="n">
        <v>39.57</v>
      </c>
      <c r="T16" t="n">
        <v>0</v>
      </c>
      <c r="U16" t="n">
        <v>0</v>
      </c>
      <c r="V16" t="n">
        <v>50.99</v>
      </c>
      <c r="W16" t="n">
        <v>0</v>
      </c>
      <c r="X16" t="n">
        <v>34.86</v>
      </c>
      <c r="Y16" t="n">
        <v>68.48</v>
      </c>
      <c r="Z16" t="n">
        <v>32.33</v>
      </c>
      <c r="AA16" t="n">
        <v>0</v>
      </c>
      <c r="AB16">
        <f>SUM(P16:AA16)</f>
        <v/>
      </c>
    </row>
    <row r="17">
      <c r="B17" t="inlineStr">
        <is>
          <t>GROUNDSKEEPING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O17">
        <f>SUM(C17:N17)</f>
        <v/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B17">
        <f>SUM(P17:AA17)</f>
        <v/>
      </c>
    </row>
    <row r="18">
      <c r="B18" t="inlineStr">
        <is>
          <t> 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>
        <f>SUM(C18:N18)</f>
        <v/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>
        <f>SUM(P18:AA18)</f>
        <v/>
      </c>
    </row>
    <row r="19">
      <c r="B19" t="inlineStr">
        <is>
          <t> 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>
        <f>SUM(C19:N19)</f>
        <v/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>
        <f>SUM(P19:AA19)</f>
        <v/>
      </c>
    </row>
    <row r="20">
      <c r="B20" t="inlineStr">
        <is>
          <t> 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>
        <f>SUM(C20:N20)</f>
        <v/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>
        <f>SUM(P20:AA20)</f>
        <v/>
      </c>
    </row>
    <row r="21">
      <c r="B21" t="inlineStr">
        <is>
          <t>VILLAGE WATER AND REFUSE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118</v>
      </c>
      <c r="K21" t="n">
        <v>118</v>
      </c>
      <c r="L21" t="n">
        <v>118</v>
      </c>
      <c r="M21" t="n">
        <v>118</v>
      </c>
      <c r="N21" t="n">
        <v>118.29</v>
      </c>
      <c r="O21">
        <f>SUM(C21:N21)</f>
        <v/>
      </c>
      <c r="P21" t="n">
        <v>0</v>
      </c>
      <c r="Q21" t="n">
        <v>100.55</v>
      </c>
      <c r="R21" t="n">
        <v>0</v>
      </c>
      <c r="S21" t="n">
        <v>90.67</v>
      </c>
      <c r="T21" t="n">
        <v>0</v>
      </c>
      <c r="U21" t="n">
        <v>112.83</v>
      </c>
      <c r="V21" t="n">
        <v>0</v>
      </c>
      <c r="W21" t="n">
        <v>137.63</v>
      </c>
      <c r="X21" t="n">
        <v>0</v>
      </c>
      <c r="Y21" t="n">
        <v>132.76</v>
      </c>
      <c r="Z21" t="n">
        <v>0</v>
      </c>
      <c r="AA21" t="n">
        <v>0</v>
      </c>
      <c r="AB21">
        <f>SUM(P21:AA21)</f>
        <v/>
      </c>
    </row>
    <row r="22">
      <c r="B22" t="inlineStr">
        <is>
          <t>GAS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31.58</v>
      </c>
      <c r="K22" t="n">
        <v>66.56</v>
      </c>
      <c r="L22" t="n">
        <v>125.88</v>
      </c>
      <c r="M22" t="n">
        <v>86.68000000000001</v>
      </c>
      <c r="N22" t="n">
        <v>182.89</v>
      </c>
      <c r="O22">
        <f>SUM(C22:N22)</f>
        <v/>
      </c>
      <c r="P22" t="n">
        <v>98.56999999999999</v>
      </c>
      <c r="Q22" t="n">
        <v>133.33</v>
      </c>
      <c r="R22" t="n">
        <v>115.82</v>
      </c>
      <c r="S22" t="n">
        <v>77.8</v>
      </c>
      <c r="T22" t="n">
        <v>79.95</v>
      </c>
      <c r="U22" t="n">
        <v>48.08</v>
      </c>
      <c r="V22" t="n">
        <v>0</v>
      </c>
      <c r="W22" t="n">
        <v>79.33</v>
      </c>
      <c r="X22" t="n">
        <v>36.25</v>
      </c>
      <c r="Y22" t="n">
        <v>38.22</v>
      </c>
      <c r="Z22" t="n">
        <v>0</v>
      </c>
      <c r="AA22" t="n">
        <v>139.35</v>
      </c>
      <c r="AB22">
        <f>SUM(P22:AA22)</f>
        <v/>
      </c>
    </row>
    <row r="23">
      <c r="B23" t="inlineStr">
        <is>
          <t>ELECTRIC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98</v>
      </c>
      <c r="K23" t="n">
        <v>131.28</v>
      </c>
      <c r="L23" t="n">
        <v>71.5</v>
      </c>
      <c r="M23" t="n">
        <v>58.77</v>
      </c>
      <c r="N23" t="n">
        <v>84.62</v>
      </c>
      <c r="O23">
        <f>SUM(C23:N23)</f>
        <v/>
      </c>
      <c r="P23" t="n">
        <v>132.94</v>
      </c>
      <c r="Q23" t="n">
        <v>216.44</v>
      </c>
      <c r="R23" t="n">
        <v>184.09</v>
      </c>
      <c r="S23" t="n">
        <v>60.95</v>
      </c>
      <c r="T23" t="n">
        <v>83.76000000000001</v>
      </c>
      <c r="U23" t="n">
        <v>69.69</v>
      </c>
      <c r="V23" t="n">
        <v>164.88</v>
      </c>
      <c r="W23" t="n">
        <v>203.43</v>
      </c>
      <c r="X23" t="n">
        <v>187.63</v>
      </c>
      <c r="Y23" t="n">
        <v>139.78</v>
      </c>
      <c r="Z23" t="n">
        <v>71.29000000000001</v>
      </c>
      <c r="AA23" t="n">
        <v>50.38</v>
      </c>
      <c r="AB23">
        <f>SUM(P23:AA23)</f>
        <v/>
      </c>
    </row>
    <row r="24">
      <c r="B24" t="inlineStr">
        <is>
          <t>INTERNET</t>
        </is>
      </c>
      <c r="C24" t="n">
        <v>45</v>
      </c>
      <c r="D24" t="n">
        <v>45</v>
      </c>
      <c r="E24" t="n">
        <v>45</v>
      </c>
      <c r="F24" t="n">
        <v>45</v>
      </c>
      <c r="G24" t="n">
        <v>45</v>
      </c>
      <c r="H24" t="n">
        <v>45</v>
      </c>
      <c r="I24" t="n">
        <v>45</v>
      </c>
      <c r="J24" t="n">
        <v>45</v>
      </c>
      <c r="K24" t="n">
        <v>45</v>
      </c>
      <c r="L24" t="n">
        <v>45</v>
      </c>
      <c r="M24" t="n">
        <v>45</v>
      </c>
      <c r="N24" t="n">
        <v>45</v>
      </c>
      <c r="O24">
        <f>SUM(C24:N24)</f>
        <v/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>
        <f>SUM(P24:AA24)</f>
        <v/>
      </c>
    </row>
    <row r="25">
      <c r="B25" t="inlineStr">
        <is>
          <t>CORRESPONCES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>
        <f>SUM(C25:N25)</f>
        <v/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>
        <f>SUM(P25:AA25)</f>
        <v/>
      </c>
    </row>
    <row r="26">
      <c r="B26" t="inlineStr">
        <is>
          <t>INTERIOR DESINGOR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>
        <f>SUM(C26:N26)</f>
        <v/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>
        <f>SUM(P26:AA26)</f>
        <v/>
      </c>
    </row>
    <row r="27">
      <c r="B27" t="inlineStr">
        <is>
          <t>TRAVEL EXPENSES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>
        <f>SUM(C27:N27)</f>
        <v/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>
        <f>SUM(P27:AA27)</f>
        <v/>
      </c>
    </row>
    <row r="28">
      <c r="B28" t="inlineStr">
        <is>
          <t>EQUIPMENT/APPLIANCE PURCHASES</t>
        </is>
      </c>
      <c r="C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3000</v>
      </c>
      <c r="K28" t="n">
        <v>0</v>
      </c>
      <c r="L28" t="n">
        <v>0</v>
      </c>
      <c r="M28" t="n">
        <v>0</v>
      </c>
      <c r="O28">
        <f>SUM(C28:N28)</f>
        <v/>
      </c>
      <c r="P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B28">
        <f>SUM(P28:AA28)</f>
        <v/>
      </c>
    </row>
    <row r="29">
      <c r="B29" t="inlineStr">
        <is>
          <t>EQUIPMENT/APPLIANCE RENTAL FEES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>
        <f>SUM(C29:N29)</f>
        <v/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>
        <f>SUM(P29:AA29)</f>
        <v/>
      </c>
    </row>
    <row r="30">
      <c r="B30" t="inlineStr">
        <is>
          <t>LAND TAX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>
        <f>SUM(C30:N30)</f>
        <v/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>
        <f>SUM(P30:AA30)</f>
        <v/>
      </c>
    </row>
    <row r="31">
      <c r="B31" t="inlineStr">
        <is>
          <t>BORROWING EXPENSES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>
        <f>SUM(C31:N31)</f>
        <v/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>
        <f>SUM(P31:AA31)</f>
        <v/>
      </c>
    </row>
    <row r="32">
      <c r="B32" t="inlineStr">
        <is>
          <t>LOANS INTEREST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>
        <f>SUM(C32:N32)</f>
        <v/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>
        <f>SUM(P32:AA32)</f>
        <v/>
      </c>
    </row>
    <row r="33">
      <c r="B33" t="inlineStr">
        <is>
          <t>TRAVEL EXPENSES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>
        <f>SUM(C33:N33)</f>
        <v/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>
        <f>SUM(P33:AA33)</f>
        <v/>
      </c>
    </row>
    <row r="34">
      <c r="B34" t="inlineStr">
        <is>
          <t>MORTGAGE</t>
        </is>
      </c>
      <c r="L34" t="n">
        <v>3920.64</v>
      </c>
      <c r="M34" t="n">
        <v>3920.64</v>
      </c>
      <c r="N34" t="n">
        <v>3920.64</v>
      </c>
      <c r="O34">
        <f>SUM(C34:N34)</f>
        <v/>
      </c>
      <c r="P34" t="n">
        <v>4287.51</v>
      </c>
      <c r="Q34" t="n">
        <v>4287.51</v>
      </c>
      <c r="R34" t="n">
        <v>4287.51</v>
      </c>
      <c r="S34" t="n">
        <v>4287.51</v>
      </c>
      <c r="T34" t="n">
        <v>4287.51</v>
      </c>
      <c r="U34" t="n">
        <v>4287.51</v>
      </c>
      <c r="V34" t="n">
        <v>4287.51</v>
      </c>
      <c r="W34" t="n">
        <v>5089.77</v>
      </c>
      <c r="X34" t="n">
        <v>5089.77</v>
      </c>
      <c r="Y34" t="n">
        <v>4438.69</v>
      </c>
      <c r="Z34" t="n">
        <v>4438.69</v>
      </c>
      <c r="AA34" t="n">
        <v>4377.54</v>
      </c>
      <c r="AB34">
        <f>SUM(P34:AA34)</f>
        <v/>
      </c>
    </row>
    <row r="35">
      <c r="B35" t="inlineStr">
        <is>
          <t>HOA</t>
        </is>
      </c>
      <c r="O35">
        <f>SUM(C35:N35)</f>
        <v/>
      </c>
      <c r="AB35">
        <f>SUM(P35:AA35)</f>
        <v/>
      </c>
    </row>
    <row r="36">
      <c r="B36" t="inlineStr">
        <is>
          <t>TERMITE INSPECTION</t>
        </is>
      </c>
      <c r="C36" t="n">
        <v>0</v>
      </c>
      <c r="D36" t="n">
        <v>0</v>
      </c>
      <c r="E36" t="n">
        <v>0</v>
      </c>
      <c r="G36" t="n">
        <v>0</v>
      </c>
      <c r="H36" t="n">
        <v>0</v>
      </c>
      <c r="I36" t="n">
        <v>0</v>
      </c>
      <c r="J36" t="n">
        <v>145</v>
      </c>
      <c r="K36" t="n">
        <v>0</v>
      </c>
      <c r="L36" t="n">
        <v>0</v>
      </c>
      <c r="N36" t="n">
        <v>0</v>
      </c>
      <c r="O36">
        <f>SUM(C36:N36)</f>
        <v/>
      </c>
      <c r="P36" t="n">
        <v>0</v>
      </c>
      <c r="Q36" t="n">
        <v>0</v>
      </c>
      <c r="R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AA36" t="n">
        <v>0</v>
      </c>
      <c r="AB36">
        <f>SUM(P36:AA36)</f>
        <v/>
      </c>
    </row>
    <row r="37">
      <c r="B37" t="inlineStr">
        <is>
          <t>OTHER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M37" t="n">
        <v>0</v>
      </c>
      <c r="N37" t="n">
        <v>0</v>
      </c>
      <c r="O37">
        <f>SUM(C37:N37)</f>
        <v/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Z37" t="n">
        <v>0</v>
      </c>
      <c r="AA37" t="n">
        <v>0</v>
      </c>
      <c r="AB37">
        <f>SUM(P37:AA37)</f>
        <v/>
      </c>
    </row>
    <row r="38">
      <c r="B38" t="inlineStr">
        <is>
          <t>OTHER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O38">
        <f>SUM(C38:N38)</f>
        <v/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AB38">
        <f>SUM(P38:AA38)</f>
        <v/>
      </c>
    </row>
    <row r="39">
      <c r="B39" t="inlineStr">
        <is>
          <t> 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>
        <f>SUM(C39:N39)</f>
        <v/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>
        <f>SUM(P39:AA39)</f>
        <v/>
      </c>
    </row>
    <row r="40">
      <c r="B40" t="inlineStr">
        <is>
          <t> 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>
        <f>SUM(C40:N40)</f>
        <v/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>
        <f>SUM(P40:AA40)</f>
        <v/>
      </c>
    </row>
    <row r="41">
      <c r="B41" t="inlineStr">
        <is>
          <t>TOTAL EXPENSES</t>
        </is>
      </c>
      <c r="C41">
        <f>SUM(C10:C40)</f>
        <v/>
      </c>
      <c r="D41">
        <f>SUM(D10:D40)</f>
        <v/>
      </c>
      <c r="E41">
        <f>SUM(E10:E40)</f>
        <v/>
      </c>
      <c r="F41">
        <f>SUM(F10:F40)</f>
        <v/>
      </c>
      <c r="G41">
        <f>SUM(G10:G40)</f>
        <v/>
      </c>
      <c r="H41">
        <f>SUM(H10:H40)</f>
        <v/>
      </c>
      <c r="I41">
        <f>SUM(I10:I40)</f>
        <v/>
      </c>
      <c r="J41">
        <f>SUM(J10:J40)</f>
        <v/>
      </c>
      <c r="K41">
        <f>SUM(K10:K40)</f>
        <v/>
      </c>
      <c r="L41">
        <f>SUM(L10:L40)</f>
        <v/>
      </c>
      <c r="M41">
        <f>SUM(M10:M40)</f>
        <v/>
      </c>
      <c r="N41">
        <f>SUM(N10:N40)</f>
        <v/>
      </c>
      <c r="O41">
        <f>SUM(C41:N41)</f>
        <v/>
      </c>
      <c r="P41">
        <f>SUM(P10:P40)</f>
        <v/>
      </c>
      <c r="Q41">
        <f>SUM(Q10:Q40)</f>
        <v/>
      </c>
      <c r="R41">
        <f>SUM(R10:R40)</f>
        <v/>
      </c>
      <c r="S41">
        <f>SUM(S10:S40)</f>
        <v/>
      </c>
      <c r="T41">
        <f>SUM(T10:T40)</f>
        <v/>
      </c>
      <c r="U41">
        <f>SUM(U10:U40)</f>
        <v/>
      </c>
      <c r="V41">
        <f>SUM(V10:V40)</f>
        <v/>
      </c>
      <c r="W41">
        <f>SUM(W10:W40)</f>
        <v/>
      </c>
      <c r="X41">
        <f>SUM(X10:X40)</f>
        <v/>
      </c>
      <c r="Y41">
        <f>SUM(Y10:Y40)</f>
        <v/>
      </c>
      <c r="Z41">
        <f>SUM(Z10:Z40)</f>
        <v/>
      </c>
      <c r="AA41">
        <f>SUM(AA10:AA40)</f>
        <v/>
      </c>
      <c r="AB41">
        <f>SUM(P41:AA41)</f>
        <v/>
      </c>
    </row>
    <row r="42"/>
    <row r="43">
      <c r="B43" t="inlineStr">
        <is>
          <t>YEAR-TO-DATE INCOME LESS EXPENSES</t>
        </is>
      </c>
      <c r="C43">
        <f>C6-C41</f>
        <v/>
      </c>
      <c r="D43">
        <f>D6-D41</f>
        <v/>
      </c>
      <c r="E43">
        <f>E6-E41</f>
        <v/>
      </c>
      <c r="F43">
        <f>F6-F41</f>
        <v/>
      </c>
      <c r="G43">
        <f>G6-G41</f>
        <v/>
      </c>
      <c r="H43">
        <f>H6-H41</f>
        <v/>
      </c>
      <c r="I43">
        <f>I6-I41</f>
        <v/>
      </c>
      <c r="J43">
        <f>J6-J41</f>
        <v/>
      </c>
      <c r="K43">
        <f>K6-K41</f>
        <v/>
      </c>
      <c r="L43">
        <f>L6-L41</f>
        <v/>
      </c>
      <c r="M43">
        <f>M6-M41</f>
        <v/>
      </c>
      <c r="N43">
        <f>N6-N41</f>
        <v/>
      </c>
      <c r="O43">
        <f>O6-O41</f>
        <v/>
      </c>
      <c r="P43">
        <f>P6-P41</f>
        <v/>
      </c>
      <c r="Q43">
        <f>Q6-Q41</f>
        <v/>
      </c>
      <c r="R43">
        <f>R6-R41</f>
        <v/>
      </c>
      <c r="S43">
        <f>S6-S41</f>
        <v/>
      </c>
      <c r="T43">
        <f>T6-T41</f>
        <v/>
      </c>
      <c r="U43">
        <f>U6-U41</f>
        <v/>
      </c>
      <c r="V43">
        <f>V6-V41</f>
        <v/>
      </c>
      <c r="W43">
        <f>W6-W41</f>
        <v/>
      </c>
      <c r="X43">
        <f>X6-X41</f>
        <v/>
      </c>
      <c r="Y43">
        <f>Y6-Y41</f>
        <v/>
      </c>
      <c r="Z43">
        <f>Z6-Z41</f>
        <v/>
      </c>
      <c r="AA43">
        <f>AA6-AA41</f>
        <v/>
      </c>
      <c r="AB43">
        <f>AB6-AB41</f>
        <v/>
      </c>
    </row>
    <row r="44"/>
    <row r="45" ht="64" customHeight="1">
      <c r="A45" s="2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Lemonade is 216 Oak Park (not 524</t>
        </is>
      </c>
      <c r="B45" t="inlineStr">
        <is>
          <t xml:space="preserve"> not 827 Grove). Not tax advice.</t>
        </is>
      </c>
      <c r="C45" t="inlineStr">
        <is>
          <t>https://forst.tax/tax-deductions-owner-occupied-multi-family-property/</t>
        </is>
      </c>
    </row>
    <row r="46">
      <c r="B46" t="inlineStr">
        <is>
          <t>https://www.realtor.com/realestateandhomes-detail/524-Ferdinand-Ave_Forest-Park_IL_60130_M81246-00338</t>
        </is>
      </c>
    </row>
    <row r="47"/>
    <row r="48">
      <c r="B48" t="inlineStr">
        <is>
          <t>Purchase Price</t>
        </is>
      </c>
      <c r="C48" t="n">
        <v>575000</v>
      </c>
    </row>
    <row r="49">
      <c r="B49" t="inlineStr">
        <is>
          <t>Interest Rate</t>
        </is>
      </c>
      <c r="C49" t="n">
        <v>0.06275</v>
      </c>
    </row>
    <row r="50"/>
    <row r="51">
      <c r="B51" t="inlineStr">
        <is>
          <t>Misc Closing Costs</t>
        </is>
      </c>
    </row>
    <row r="52">
      <c r="B52" t="inlineStr">
        <is>
          <t>Clear View Home Inspection</t>
        </is>
      </c>
    </row>
    <row r="53">
      <c r="B53" t="inlineStr">
        <is>
          <t>Closing Costs</t>
        </is>
      </c>
      <c r="C53" t="inlineStr">
        <is>
          <t>~15000</t>
        </is>
      </c>
    </row>
    <row r="54"/>
    <row r="55"/>
    <row r="56">
      <c r="B56" t="inlineStr">
        <is>
          <t xml:space="preserve">Deductions as Investment </t>
        </is>
      </c>
    </row>
    <row r="57">
      <c r="B57" t="inlineStr">
        <is>
          <t>Mortgage interest</t>
        </is>
      </c>
    </row>
    <row r="58">
      <c r="B58" t="inlineStr">
        <is>
          <t>Property tax</t>
        </is>
      </c>
    </row>
    <row r="59">
      <c r="B59" t="inlineStr">
        <is>
          <t>Operating expenses</t>
        </is>
      </c>
    </row>
    <row r="60">
      <c r="B60" t="inlineStr">
        <is>
          <t>Depreciation</t>
        </is>
      </c>
    </row>
    <row r="61">
      <c r="B61" t="inlineStr">
        <is>
          <t>Repairs</t>
        </is>
      </c>
    </row>
    <row r="62"/>
    <row r="63">
      <c r="B63" t="inlineStr">
        <is>
          <t>Deductions as Primary Residence</t>
        </is>
      </c>
    </row>
    <row r="64">
      <c r="B64" t="inlineStr">
        <is>
          <t>Mortgage interest</t>
        </is>
      </c>
    </row>
    <row r="65">
      <c r="B65" t="inlineStr">
        <is>
          <t>Property tax</t>
        </is>
      </c>
    </row>
    <row r="66">
      <c r="B66" t="inlineStr">
        <is>
          <t xml:space="preserve">First time home owner tax credit </t>
        </is>
      </c>
    </row>
    <row r="67"/>
    <row r="68">
      <c r="B68" t="inlineStr">
        <is>
          <t>Questions for Advisor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" t="inlineStr">
        <is>
          <t>ASK — remaining Mercury 8291 questions. Q6 consultant, Q7 Wise expertise, Q8 pass-through, Q9 Aquinas books LOCKED (green). Q1/Q2 mixed pattern CONFIRMED (blue) — remainder dollars unallocated until invoice split. Not tax advice.</t>
        </is>
      </c>
    </row>
    <row r="3">
      <c r="A3" t="inlineStr">
        <is>
          <t>Question</t>
        </is>
      </c>
      <c r="B3" t="inlineStr">
        <is>
          <t>What I need</t>
        </is>
      </c>
    </row>
    <row r="4">
      <c r="A4" t="inlineStr">
        <is>
          <t>1. EOEB LLC remainder after mosaics — MIXED PATTERN CONFIRMED, dollars unallocated</t>
        </is>
      </c>
      <c r="B4" t="inlineStr">
        <is>
          <t>$130,270.00 of EOEB IN is not mosaics $105,000 and not Wise reimburse $565.75. User 2026-09-20: EOEB is mixed art sales AND advisory/consultant fees. Do NOT dump this remainder onto Consultant or Art Sales. Mark each invoice sale vs advisory: 1/16 $1,000 (Canosan-horse STILL OPEN — Art Sales horse is to Erdal, this cash is EOEB); 3/10 $14,000; 5/1 $21,000; 5/13 $16,200; 6/12 $25,000 + $3,300; 7/8 $2,000; 8/29 $10,000; 9/19 $5,000; 9/25 $3,100; 10/1 $10,000; 10/15 $16,000; 10/24 $1,500; 10/31 $2,170.</t>
        </is>
      </c>
    </row>
    <row r="5">
      <c r="A5" t="inlineStr">
        <is>
          <t>2. L5 (all seven invoices) — MIXED PATTERN CONFIRMED, dollars unallocated</t>
        </is>
      </c>
      <c r="B5" t="inlineStr">
        <is>
          <t>$87,396.32. User 2026-09-20: L5 is mixed art sales AND advisory/consultant fees. Do NOT dump onto Consultant or Art Sales. Mark each invoice sale vs advisory: 7/11 $8,534.79; 7/15 $50,000 + $2,500 (same week as Aysel $50k / Fortuna $45k); 9/2 $5,042; 9/23 $9,119.27; 10/21 $7,500; 12/4 $4,700.26.</t>
        </is>
      </c>
    </row>
    <row r="6">
      <c r="A6" t="inlineStr">
        <is>
          <t>3. Fortuna / Erdal $20,000 Aug — object still unnamed</t>
        </is>
      </c>
      <c r="B6" t="inlineStr">
        <is>
          <t>$20,000.00. Monarch posted 8/15 = Mercury native initiated 8/18 (same cash, not a second unique txn). Native memo has no object name. Venus $20,000 (5/9) and Roman Gold Belt $45,000 (7/21) are LOCKED inventory below — not this question.</t>
        </is>
      </c>
    </row>
    <row r="7">
      <c r="A7" t="inlineStr">
        <is>
          <t>4. Erdal Dere IN</t>
        </is>
      </c>
      <c r="B7" t="inlineStr">
        <is>
          <t>$57,000.00 (7/24 $26k, 10/9 $25k, 11/7 $6k ‘FORTUNA PAYMENT’). Sales to Erdal, refunds of Fortuna purchases, or other?</t>
        </is>
      </c>
    </row>
    <row r="8">
      <c r="A8" t="inlineStr">
        <is>
          <t>5. Aysel Dere $50,000 — Monarch IN vs native Failed OUT</t>
        </is>
      </c>
      <c r="B8" t="inlineStr">
        <is>
          <t>Monarch 7/18 +$50,000 IN is in the 64. Mercury native CSV has NO Sent Aysel cash — only Failed $50,000 OUT 7/17 'Recipient account does not exist'. Is the Monarch IN a phantom of the failed send, or a real incoming the export omitted? Do not dump onto Art Sales or Consultant until confirmed.</t>
        </is>
      </c>
    </row>
    <row r="9">
      <c r="A9" t="inlineStr">
        <is>
          <t>6. David Aaron Limited $13,595 IN (6/24) — LOCKED consultant fee</t>
        </is>
      </c>
      <c r="B9" t="inlineStr">
        <is>
          <t>CONFIRMED 2026-09-20: consultant fee, not a sale. Booked EPGC Consultant June $13,595 (peach). Not Art Sales. Not Income I8.</t>
        </is>
      </c>
    </row>
    <row r="10">
      <c r="A10" t="inlineStr">
        <is>
          <t>7. Wise $334.17 (7/9) and $658.63 (10/30) — LOCKED expertise write-ups</t>
        </is>
      </c>
      <c r="B10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t="inlineStr">
        <is>
          <t>8. Jack Koziol &amp; Tracy Hoffman $150,000 IN (10/20) / Ariadne Demirjian $150,000 OUT (10/21) — LOCKED pass-through</t>
        </is>
      </c>
      <c r="B11" t="inlineStr">
        <is>
          <t>CONFIRMED 2026-09-20: pass-through, not P&amp;L. Not a sale, not a purchase, not COGS, not Consultant.</t>
        </is>
      </c>
    </row>
    <row r="12">
      <c r="A12" t="inlineStr">
        <is>
          <t>9. Aquinas Hobor $1,000 IN (2/4) — LOCKED book sale</t>
        </is>
      </c>
      <c r="B12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t="inlineStr">
        <is>
          <t>10. Mosaics Cost $90,000 vs Mercury $50,000</t>
        </is>
      </c>
      <c r="B13" t="inlineStr">
        <is>
          <t>Plutus &amp; Mnemosyne paid $50,000 in February. Where is the other $40,000 of Cost (other account / 2024 / still owed)?</t>
        </is>
      </c>
    </row>
    <row r="15">
      <c r="A15" t="inlineStr">
        <is>
          <t>LOCKED / MATCHED this pass (do not recast without saying so)</t>
        </is>
      </c>
    </row>
    <row r="16">
      <c r="A16" t="inlineStr">
        <is>
          <t>Coinbase ACH net</t>
        </is>
      </c>
      <c r="B16" t="inlineStr">
        <is>
          <t>$-51,000.00  (OUT $-59,000.00 / IN $8,000.00) — Investments tab, not EPGC</t>
        </is>
      </c>
    </row>
    <row r="17">
      <c r="A17" t="inlineStr">
        <is>
          <t>Newstar Jewelers</t>
        </is>
      </c>
      <c r="B17" t="inlineStr">
        <is>
          <t>$23,581.00 jewelry fabrication COGS (10/14 $8,000 + 11/12 $8,000 + 12/24 $7,581)</t>
        </is>
      </c>
    </row>
    <row r="18">
      <c r="A18" t="inlineStr">
        <is>
          <t>Berk sales</t>
        </is>
      </c>
      <c r="B18" t="inlineStr">
        <is>
          <t>$14,000 seals (1/10) + $30,000 lots (2/7) = $44,000 Art Sales</t>
        </is>
      </c>
    </row>
    <row r="19">
      <c r="A19" t="inlineStr">
        <is>
          <t>Mosaics</t>
        </is>
      </c>
      <c r="B19" t="inlineStr">
        <is>
          <t>EOEB $105,000 sale (2/21) / Plutus $50,000 of $90,000 Cost</t>
        </is>
      </c>
    </row>
    <row r="20">
      <c r="A20" t="inlineStr">
        <is>
          <t>BoA 9922 draws</t>
        </is>
      </c>
      <c r="B20" t="inlineStr">
        <is>
          <t>$261,172.00 owner transfer — not P&amp;L</t>
        </is>
      </c>
    </row>
    <row r="21">
      <c r="A21" t="inlineStr">
        <is>
          <t>Wise/EOEB 12/2</t>
        </is>
      </c>
      <c r="B21" t="inlineStr">
        <is>
          <t>$565.75 reimbursed — not income, not expense</t>
        </is>
      </c>
    </row>
    <row r="22">
      <c r="A22" t="inlineStr">
        <is>
          <t>$10 test wires</t>
        </is>
      </c>
      <c r="B22" t="inlineStr">
        <is>
          <t>Jamal Rifai / EPGC / Plutus tests — not P&amp;L</t>
        </is>
      </c>
    </row>
    <row r="23">
      <c r="A23" t="inlineStr">
        <is>
          <t>David Aaron Limited</t>
        </is>
      </c>
      <c r="B23" t="inlineStr">
        <is>
          <t>$13,595 (6/24) consultant fee → EPGC Consultant June. Not a sale.</t>
        </is>
      </c>
    </row>
    <row r="24">
      <c r="A24" t="inlineStr">
        <is>
          <t>Koziol / Ariadne</t>
        </is>
      </c>
      <c r="B24" t="inlineStr">
        <is>
          <t>$150,000 IN 10/20 + $150,000 OUT 10/21 LOCKED pass-through — not P&amp;L</t>
        </is>
      </c>
    </row>
    <row r="25">
      <c r="A25" t="inlineStr">
        <is>
          <t>Wise expertise write-ups</t>
        </is>
      </c>
      <c r="B25" t="inlineStr">
        <is>
          <t>$334.17 (7/9) + $658.63 (10/30) = $992.80 → EPGC Consultant Fees expense. Dec $565.75 still reimbursed / not P&amp;L.</t>
        </is>
      </c>
    </row>
    <row r="26">
      <c r="A26" t="inlineStr">
        <is>
          <t>Aquinas Hobor books</t>
        </is>
      </c>
      <c r="B26" t="inlineStr">
        <is>
          <t>$1,000 IN 2/4 LOCKED book sale → EPGC Art Sales February +$1,000 (Feb $136,000; matched cash $150,000). Cost / titles TBD (not in I8 until Cost, same as Sale 6428).</t>
        </is>
      </c>
    </row>
    <row r="27">
      <c r="A27" t="inlineStr">
        <is>
          <t>EOEB / L5 mixed pattern</t>
        </is>
      </c>
      <c r="B27" t="inlineStr">
        <is>
          <t>CONFIRMED mixed art sales AND advisory/consultant. Remainder $130,270 / $87,396.32 unallocated — not on P&amp;L until invoice split. Jan 16 $1,000 Canosan-horse still open.</t>
        </is>
      </c>
    </row>
    <row r="28">
      <c r="A28" t="inlineStr">
        <is>
          <t>Fortuna Venus inventory</t>
        </is>
      </c>
      <c r="B28" t="inlineStr">
        <is>
          <t>$20,000 OUT 5/9 LOCKED. Mercury native note: bronze head of a goddess, likely Venus. Parked Cost — not sold 2025, not dumped onto Art Sales/Consultant.</t>
        </is>
      </c>
    </row>
    <row r="29">
      <c r="A29" t="inlineStr">
        <is>
          <t>Fortuna Roman Gold Belt</t>
        </is>
      </c>
      <c r="B29" t="inlineStr">
        <is>
          <t>$45,000 OUT 7/21 LOCKED. Mercury native note: Roman Gold Belt. Parked Cost — not sold 2025, not dumped onto Art Sales/Consultant.</t>
        </is>
      </c>
    </row>
    <row r="30">
      <c r="A30" t="inlineStr">
        <is>
          <t>Native CSV 2026-09-20</t>
        </is>
      </c>
      <c r="B30" t="inlineStr">
        <is>
          <t>epgc-llc-transactions-2025-jan-01-to-2025-dec-31.csv is account 8291, same 2025 year already classified. 0 new unique Sent cash vs the 64. Failed Aysel 7/17 and Cancelled Erdal 1/8 are not cash.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" t="inlineStr">
        <is>
          <t>Carrier</t>
        </is>
      </c>
      <c r="B1" s="1" t="inlineStr">
        <is>
          <t>Property</t>
        </is>
      </c>
      <c r="C1" s="1" t="inlineStr">
        <is>
          <t>Status</t>
        </is>
      </c>
      <c r="D1" s="1" t="inlineStr">
        <is>
          <t>Where the dollars are</t>
        </is>
      </c>
      <c r="E1" s="1" t="inlineStr">
        <is>
          <t>Not</t>
        </is>
      </c>
    </row>
    <row r="2">
      <c r="A2" t="inlineStr">
        <is>
          <t>Lemonade</t>
        </is>
      </c>
      <c r="B2" t="inlineStr">
        <is>
          <t>216 N. Oak Park Avenue #1Z (LTR)</t>
        </is>
      </c>
      <c r="C2" t="inlineStr">
        <is>
          <t>LOCKED 2026-09-20</t>
        </is>
      </c>
      <c r="D2" t="inlineStr">
        <is>
          <t>216 RENTER'S INSURANCE $42.84/mo × 12 = $514.08 (cash $514.00 10/3 Megan Chase)</t>
        </is>
      </c>
      <c r="E2" t="inlineStr">
        <is>
          <t>Not 524. Not 827 N Grove. Not Grove Collaborative.</t>
        </is>
      </c>
    </row>
    <row r="3">
      <c r="A3" t="inlineStr">
        <is>
          <t>Travelers</t>
        </is>
      </c>
      <c r="B3" t="inlineStr">
        <is>
          <t>524 Ferdinand (home)</t>
        </is>
      </c>
      <c r="C3" t="inlineStr">
        <is>
          <t>LOCKED 2026-09-20</t>
        </is>
      </c>
      <c r="D3" t="inlineStr">
        <is>
          <t>524 INSURANCE leftover Jan 2025 $0.00 on cards/Monarch. Units 1 &amp; 2 keep 50/50 home-share.</t>
        </is>
      </c>
      <c r="E3" t="inlineStr">
        <is>
          <t>Not 216. Not Geico (cars). Not Lemonade.</t>
        </is>
      </c>
    </row>
    <row r="4">
      <c r="A4" t="inlineStr">
        <is>
          <t>Geico</t>
        </is>
      </c>
      <c r="B4" t="inlineStr">
        <is>
          <t>524 Ferdinand household cars</t>
        </is>
      </c>
      <c r="C4" t="inlineStr">
        <is>
          <t>LOCKED 2026-09-20</t>
        </is>
      </c>
      <c r="D4" t="inlineStr">
        <is>
          <t>Personal auto. 2025-02-11 *AUTO credit $540.89 EXCLUDED. Not on 524 home INSURANCE line.</t>
        </is>
      </c>
      <c r="E4" t="inlineStr">
        <is>
          <t>Not 216. Not EPGC. Not Lemonade.</t>
        </is>
      </c>
    </row>
    <row r="5">
      <c r="A5" t="inlineStr">
        <is>
          <t>State Farm 2025 bundle</t>
        </is>
      </c>
      <c r="B5" t="inlineStr">
        <is>
          <t>524 Ferdinand car+home (replaced Travelers/Geico)</t>
        </is>
      </c>
      <c r="C5" t="inlineStr">
        <is>
          <t>LOCKED 2026-09-18 / 2026-09-20</t>
        </is>
      </c>
      <c r="D5" t="inlineStr">
        <is>
          <t>HOME share $1,105.46 on 524 INSURANCE 50/50 U1/U2. AUTO $1,019.33 personal.</t>
        </is>
      </c>
      <c r="E5" t="inlineStr">
        <is>
          <t>Not 216.</t>
        </is>
      </c>
    </row>
    <row r="6">
      <c r="A6" t="inlineStr">
        <is>
          <t>827 N Grove the house</t>
        </is>
      </c>
      <c r="B6" t="inlineStr">
        <is>
          <t>Closed 2025-12-18</t>
        </is>
      </c>
      <c r="C6" t="inlineStr">
        <is>
          <t>NOT Lemonade</t>
        </is>
      </c>
      <c r="D6" t="inlineStr">
        <is>
          <t>CapEx $53,660 locked. HD 1/3 $604.12 pre-close materials.</t>
        </is>
      </c>
      <c r="E6" t="inlineStr">
        <is>
          <t>User said “216 N Grove” — that is Oak Park #1Z, not this purchase.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2026-09-20T17:10:12Z</dcterms:created>
  <dcterms:modified xsi:type="dcterms:W3CDTF">2026-09-20T17:10:12Z</dcterms:modified>
</cp:coreProperties>
</file>