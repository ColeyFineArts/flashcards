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216 N. Oak Park Ave" sheetId="2" state="visible" r:id="rId2"/>
    <sheet name="524 Ferdinand Ave, Unit 2" sheetId="3" state="visible" r:id="rId3"/>
    <sheet name="524 Ferdinand Ave, Unit 1" sheetId="4" state="visible" r:id="rId4"/>
    <sheet name="EPGC LLC" sheetId="5" state="visible" r:id="rId5"/>
    <sheet name="Art Sales and Purchases" sheetId="6" state="visible" r:id="rId6"/>
    <sheet name="GCM" sheetId="7" state="visible" r:id="rId7"/>
    <sheet name="Investments" sheetId="8" state="visible" r:id="rId8"/>
    <sheet name="ASK Mercu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9" max="9"/>
  </cols>
  <sheetData>
    <row r="1">
      <c r="A1" s="1" t="n"/>
      <c r="B1" t="n">
        <v>2022</v>
      </c>
      <c r="C1" t="n">
        <v>2022</v>
      </c>
      <c r="D1" t="n">
        <v>2023</v>
      </c>
      <c r="E1" t="n">
        <v>2023</v>
      </c>
      <c r="F1" t="n">
        <v>2024</v>
      </c>
      <c r="G1" t="n">
        <v>2024</v>
      </c>
      <c r="H1" t="n">
        <v>2025</v>
      </c>
      <c r="I1" t="n">
        <v>2025</v>
      </c>
    </row>
    <row r="2">
      <c r="B2" t="inlineStr">
        <is>
          <t xml:space="preserve">Projected </t>
        </is>
      </c>
      <c r="C2" t="inlineStr">
        <is>
          <t>Actual</t>
        </is>
      </c>
      <c r="D2" t="inlineStr">
        <is>
          <t xml:space="preserve">Projected </t>
        </is>
      </c>
      <c r="E2" t="inlineStr">
        <is>
          <t>Actual</t>
        </is>
      </c>
      <c r="F2" t="inlineStr">
        <is>
          <t>Projected</t>
        </is>
      </c>
      <c r="G2" t="inlineStr">
        <is>
          <t>Actual</t>
        </is>
      </c>
      <c r="H2" t="inlineStr">
        <is>
          <t>Projected</t>
        </is>
      </c>
      <c r="I2" t="inlineStr">
        <is>
          <t>Actual</t>
        </is>
      </c>
    </row>
    <row r="3">
      <c r="A3" t="inlineStr">
        <is>
          <t>Income</t>
        </is>
      </c>
    </row>
    <row r="4">
      <c r="A4" t="inlineStr">
        <is>
          <t xml:space="preserve">Hindman </t>
        </is>
      </c>
      <c r="B4" t="n">
        <v>92000</v>
      </c>
      <c r="C4" t="n">
        <v>97876.85000000001</v>
      </c>
      <c r="D4" t="n">
        <v>110000</v>
      </c>
      <c r="E4" t="n">
        <v>115000</v>
      </c>
      <c r="F4" t="n">
        <v>110000</v>
      </c>
      <c r="H4" t="n">
        <v>110000</v>
      </c>
      <c r="I4" t="n">
        <v>70618</v>
      </c>
    </row>
    <row r="5">
      <c r="A5" t="inlineStr">
        <is>
          <t>216 N. Oak Park Ave</t>
        </is>
      </c>
      <c r="B5" t="n">
        <v>0</v>
      </c>
      <c r="C5" t="n">
        <v>125</v>
      </c>
      <c r="D5" t="n">
        <v>1500</v>
      </c>
      <c r="F5" t="n">
        <v>1500</v>
      </c>
      <c r="H5" t="n">
        <v>19500</v>
      </c>
      <c r="I5" t="n">
        <v>19500</v>
      </c>
    </row>
    <row r="6">
      <c r="A6" t="inlineStr">
        <is>
          <t>524 Ferdinand Ave #2</t>
        </is>
      </c>
      <c r="F6" t="n">
        <v>20000</v>
      </c>
      <c r="H6" t="n">
        <v>17000</v>
      </c>
      <c r="I6" t="n">
        <v>17086.94</v>
      </c>
    </row>
    <row r="7">
      <c r="A7" t="inlineStr">
        <is>
          <t>GCM Boards</t>
        </is>
      </c>
      <c r="B7" t="n">
        <v>14000</v>
      </c>
      <c r="C7" t="n">
        <v>25875</v>
      </c>
      <c r="D7" t="n">
        <v>14700</v>
      </c>
      <c r="E7" t="n">
        <v>14700</v>
      </c>
      <c r="F7" t="n">
        <v>16000</v>
      </c>
      <c r="H7" t="n">
        <v>21500</v>
      </c>
      <c r="I7" t="n">
        <v>21500</v>
      </c>
    </row>
    <row r="8">
      <c r="A8" t="inlineStr">
        <is>
          <t>Art Sales</t>
        </is>
      </c>
      <c r="B8" t="n">
        <v>10000</v>
      </c>
      <c r="C8" t="n">
        <v>15000</v>
      </c>
      <c r="D8" t="n">
        <v>15000</v>
      </c>
      <c r="E8" t="n">
        <v>54777.25</v>
      </c>
      <c r="F8" t="n">
        <v>20000</v>
      </c>
      <c r="H8" t="n">
        <v>20000</v>
      </c>
      <c r="I8" t="n">
        <v>23055.06</v>
      </c>
    </row>
    <row r="9">
      <c r="A9" t="inlineStr">
        <is>
          <t>Megan's Income</t>
        </is>
      </c>
      <c r="B9" t="n">
        <v>67000</v>
      </c>
      <c r="C9" t="n">
        <v>67000</v>
      </c>
      <c r="D9" t="n">
        <v>74000</v>
      </c>
      <c r="F9" t="n">
        <v>0</v>
      </c>
      <c r="H9" t="n">
        <v>0</v>
      </c>
      <c r="I9" t="n">
        <v>0</v>
      </c>
    </row>
    <row r="10">
      <c r="A10" t="inlineStr">
        <is>
          <t>EBITDA</t>
        </is>
      </c>
      <c r="B10">
        <f>SUM(B4:B9)</f>
        <v/>
      </c>
      <c r="C10">
        <f>SUM(C4:C9)</f>
        <v/>
      </c>
      <c r="D10">
        <f>SUM(D4:D9)</f>
        <v/>
      </c>
      <c r="E10">
        <f>SUM(E4:E9)</f>
        <v/>
      </c>
      <c r="F10">
        <f>SUM(F4:F9)</f>
        <v/>
      </c>
      <c r="G10">
        <f>SUM(G4:G9)</f>
        <v/>
      </c>
      <c r="H10">
        <f>SUM(H4:H9)</f>
        <v/>
      </c>
      <c r="I10">
        <f>SUM(I4:I9)</f>
        <v/>
      </c>
    </row>
    <row r="12">
      <c r="A12" t="inlineStr">
        <is>
          <t>2025 Actual: I4 Monarch paycheck cash ≠ W-2 Box 1. I5 216 LTR cash $19,500. I6 524 #2 STR platform net LOCKED. I7 GCM 1099-NEC $21,500. I8 Art net $23,055.06 = MATCHED Mercury deals only (Berk lots $30,000 − $22,944.94 Cost) + seals $1,000 + mosaics $15,000. Excludes Sale 6428 $11,000 until Cost. Excludes Aquinas books $1,000 until Cost. David Aaron $13,595 is EPGC Consultant June (not I8). Erdal/Aysel/EOEB/L5 ASK. Not tax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216 N. Oak Park Avenue #1Z (LTR)</t>
        </is>
      </c>
    </row>
    <row r="2">
      <c r="B2" t="inlineStr">
        <is>
          <t>INCOME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SEPT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2025 YR TOTAL</t>
        </is>
      </c>
    </row>
    <row r="3">
      <c r="B3" t="inlineStr">
        <is>
          <t>STR / RENTAL INCOME</t>
        </is>
      </c>
      <c r="C3" t="n">
        <v>1950</v>
      </c>
      <c r="D3" t="n">
        <v>1950</v>
      </c>
      <c r="E3" t="n">
        <v>1950</v>
      </c>
      <c r="F3" t="n">
        <v>1950</v>
      </c>
      <c r="G3" t="n">
        <v>1950</v>
      </c>
      <c r="H3" t="n">
        <v>1950</v>
      </c>
      <c r="I3" t="n">
        <v>1450</v>
      </c>
      <c r="J3" t="n">
        <v>2450</v>
      </c>
      <c r="K3" t="n">
        <v>0</v>
      </c>
      <c r="L3" t="n">
        <v>0</v>
      </c>
      <c r="M3" t="n">
        <v>0</v>
      </c>
      <c r="N3" t="n">
        <v>3900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t="inlineStr">
        <is>
          <t>JAN</t>
        </is>
      </c>
      <c r="D7" t="inlineStr">
        <is>
          <t>FEB</t>
        </is>
      </c>
      <c r="E7" t="inlineStr">
        <is>
          <t>MAR</t>
        </is>
      </c>
      <c r="F7" t="inlineStr">
        <is>
          <t>APR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AUG</t>
        </is>
      </c>
      <c r="K7" t="inlineStr">
        <is>
          <t>SEPT</t>
        </is>
      </c>
      <c r="L7" t="inlineStr">
        <is>
          <t>OCT</t>
        </is>
      </c>
      <c r="M7" t="inlineStr">
        <is>
          <t>NOV</t>
        </is>
      </c>
      <c r="N7" t="inlineStr">
        <is>
          <t>DEC</t>
        </is>
      </c>
      <c r="O7" t="inlineStr">
        <is>
          <t>2025 YR TOTAL</t>
        </is>
      </c>
    </row>
    <row r="8">
      <c r="B8" t="inlineStr">
        <is>
          <t>MARKETING / ADVERTISING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>
        <f>SUM(C8:N8)</f>
        <v/>
      </c>
    </row>
    <row r="9">
      <c r="B9" t="inlineStr">
        <is>
          <t>SERVICE FEES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>
        <f>SUM(C9:N9)</f>
        <v/>
      </c>
    </row>
    <row r="10">
      <c r="B10" t="inlineStr">
        <is>
          <t>REMITTED TAX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>
        <f>SUM(C10:N10)</f>
        <v/>
      </c>
    </row>
    <row r="11">
      <c r="B11" t="inlineStr">
        <is>
          <t>RENTER'S INSURANCE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s="2" t="n">
        <v>514</v>
      </c>
      <c r="M11" t="n">
        <v>0</v>
      </c>
      <c r="N11" t="n">
        <v>0</v>
      </c>
      <c r="O11">
        <f>SUM(C11:N11)</f>
        <v/>
      </c>
    </row>
    <row r="12">
      <c r="B12" t="inlineStr">
        <is>
          <t>INTERIOR MAINTENANCE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675</v>
      </c>
      <c r="O12">
        <f>SUM(C12:N12)</f>
        <v/>
      </c>
    </row>
    <row r="13">
      <c r="B13" t="inlineStr">
        <is>
          <t>EXTERIOR REPAIRS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>
        <f>SUM(C13:N13)</f>
        <v/>
      </c>
    </row>
    <row r="14">
      <c r="B14" t="inlineStr">
        <is>
          <t>VILLAGE WATER AND REFUSE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>
        <f>SUM(C14:N14)</f>
        <v/>
      </c>
    </row>
    <row r="15">
      <c r="B15" t="inlineStr">
        <is>
          <t>GAS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>
        <f>SUM(C15:N15)</f>
        <v/>
      </c>
    </row>
    <row r="16">
      <c r="B16" t="inlineStr">
        <is>
          <t>ELECTRIC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>
        <f>SUM(C16:N16)</f>
        <v/>
      </c>
    </row>
    <row r="17">
      <c r="B17" t="inlineStr">
        <is>
          <t>INTERNET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>
        <f>SUM(C17:N17)</f>
        <v/>
      </c>
    </row>
    <row r="18">
      <c r="B18" t="inlineStr">
        <is>
          <t>CLEANING / TURNOVER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>
        <f>SUM(C18:N18)</f>
        <v/>
      </c>
    </row>
    <row r="19">
      <c r="B19" t="inlineStr">
        <is>
          <t>SUPPLIES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>
        <f>SUM(C19:N19)</f>
        <v/>
      </c>
    </row>
    <row r="20">
      <c r="B20" t="inlineStr">
        <is>
          <t>EQUIPMENT/APPLIANCE PURCHASES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>
        <f>SUM(C20:N20)</f>
        <v/>
      </c>
    </row>
    <row r="21">
      <c r="B21" t="inlineStr">
        <is>
          <t>LAND TAX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>
        <f>SUM(C21:N21)</f>
        <v/>
      </c>
    </row>
    <row r="22">
      <c r="B22" t="inlineStr">
        <is>
          <t>LOANS INTEREST (from 1098)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>
        <f>SUM(C22:N22)</f>
        <v/>
      </c>
    </row>
    <row r="23">
      <c r="B23" t="inlineStr">
        <is>
          <t>MORTGAGE (cash P+I — memo only)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1226.25</v>
      </c>
      <c r="J23" t="n">
        <v>1226.25</v>
      </c>
      <c r="K23" t="n">
        <v>1226.25</v>
      </c>
      <c r="L23" t="n">
        <v>1226.25</v>
      </c>
      <c r="M23" t="n">
        <v>1177.52</v>
      </c>
      <c r="N23" t="n">
        <v>1177.52</v>
      </c>
      <c r="O23">
        <f>SUM(C23:N23)</f>
        <v/>
      </c>
    </row>
    <row r="24">
      <c r="B24" t="inlineStr">
        <is>
          <t>HOA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421.53</v>
      </c>
      <c r="I24" t="n">
        <v>421.53</v>
      </c>
      <c r="J24" t="n">
        <v>421.53</v>
      </c>
      <c r="K24" t="n">
        <v>421.53</v>
      </c>
      <c r="L24" t="n">
        <v>421.53</v>
      </c>
      <c r="M24" t="n">
        <v>421.53</v>
      </c>
      <c r="N24" t="n">
        <v>421.53</v>
      </c>
      <c r="O24">
        <f>SUM(C24:N24)</f>
        <v/>
      </c>
    </row>
    <row r="25">
      <c r="B25" t="inlineStr">
        <is>
          <t>OTHER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 ht="72" customHeight="1">
      <c r="B30" s="3" t="inlineStr">
        <is>
          <t>LOCKED 2026-09-20: Lemonade $514 cash 2025-10-03 Megan Chase 1702 is 216 LTR RENTER'S INSURANCE (October cash, not amortized). 2023 $321 / 2024 $421 same Oct 3 Lemonade. Travelers=524 home, Geico=cars, State Farm home share=524 only. Not tax advice.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2 (STR)</t>
        </is>
      </c>
    </row>
    <row r="2">
      <c r="B2" t="inlineStr">
        <is>
          <t>INCOME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SEPT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2025 YR TOTAL</t>
        </is>
      </c>
    </row>
    <row r="3">
      <c r="B3" t="inlineStr">
        <is>
          <t>STR / RENTAL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3479.6</v>
      </c>
      <c r="I3" t="n">
        <v>3180.81</v>
      </c>
      <c r="J3" t="n">
        <v>1757.5</v>
      </c>
      <c r="K3" t="n">
        <v>2690.16</v>
      </c>
      <c r="L3" t="n">
        <v>1261.64</v>
      </c>
      <c r="M3" t="n">
        <v>1509.84</v>
      </c>
      <c r="N3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t="inlineStr">
        <is>
          <t>JAN</t>
        </is>
      </c>
      <c r="D7" t="inlineStr">
        <is>
          <t>FEB</t>
        </is>
      </c>
      <c r="E7" t="inlineStr">
        <is>
          <t>MAR</t>
        </is>
      </c>
      <c r="F7" t="inlineStr">
        <is>
          <t>APR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AUG</t>
        </is>
      </c>
      <c r="K7" t="inlineStr">
        <is>
          <t>SEPT</t>
        </is>
      </c>
      <c r="L7" t="inlineStr">
        <is>
          <t>OCT</t>
        </is>
      </c>
      <c r="M7" t="inlineStr">
        <is>
          <t>NOV</t>
        </is>
      </c>
      <c r="N7" t="inlineStr">
        <is>
          <t>DEC</t>
        </is>
      </c>
      <c r="O7" t="inlineStr">
        <is>
          <t>2025 YR TOTAL</t>
        </is>
      </c>
    </row>
    <row r="8">
      <c r="B8" t="inlineStr">
        <is>
          <t>MARKETING / ADVERTISING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>
        <f>SUM(C8:N8)</f>
        <v/>
      </c>
    </row>
    <row r="9">
      <c r="B9" t="inlineStr">
        <is>
          <t>SERVICE FEES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>
        <f>SUM(C9:N9)</f>
        <v/>
      </c>
    </row>
    <row r="10">
      <c r="B10" t="inlineStr">
        <is>
          <t>REMITTED TAX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>
        <f>SUM(C10:N10)</f>
        <v/>
      </c>
    </row>
    <row r="11">
      <c r="B11" t="inlineStr">
        <is>
          <t>INSURANCE</t>
        </is>
      </c>
      <c r="C11" t="n">
        <v>0</v>
      </c>
      <c r="D11" s="2" t="n">
        <v>78.77</v>
      </c>
      <c r="E11" s="2" t="n">
        <v>78.76000000000001</v>
      </c>
      <c r="F11" s="2" t="n">
        <v>78.76000000000001</v>
      </c>
      <c r="G11" s="2" t="n">
        <v>78.76000000000001</v>
      </c>
      <c r="H11" s="2" t="n">
        <v>78.76000000000001</v>
      </c>
      <c r="I11" s="2" t="n">
        <v>78.76000000000001</v>
      </c>
      <c r="J11" s="2" t="n">
        <v>80.19</v>
      </c>
      <c r="K11" t="n">
        <v>0</v>
      </c>
      <c r="L11" t="n">
        <v>0</v>
      </c>
      <c r="M11" t="n">
        <v>0</v>
      </c>
      <c r="N11" t="n">
        <v>0</v>
      </c>
      <c r="O11">
        <f>SUM(C11:N11)</f>
        <v/>
      </c>
    </row>
    <row r="12">
      <c r="B12" t="inlineStr">
        <is>
          <t>INTERIOR MAINTENANCE</t>
        </is>
      </c>
      <c r="C12" t="n">
        <v>7.46</v>
      </c>
      <c r="D12" t="n">
        <v>0</v>
      </c>
      <c r="E12" t="n">
        <v>52.78</v>
      </c>
      <c r="F12" t="n">
        <v>131.4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45.6</v>
      </c>
      <c r="M12" t="n">
        <v>12.63</v>
      </c>
      <c r="N12" t="n">
        <v>0</v>
      </c>
      <c r="O12">
        <f>SUM(C12:N12)</f>
        <v/>
      </c>
    </row>
    <row r="13">
      <c r="B13" t="inlineStr">
        <is>
          <t>EXTERIOR REPAIRS</t>
        </is>
      </c>
      <c r="C13" t="n">
        <v>0</v>
      </c>
      <c r="D13" t="n">
        <v>66.56999999999999</v>
      </c>
      <c r="E13" t="n">
        <v>761.72</v>
      </c>
      <c r="F13" t="n">
        <v>100.53</v>
      </c>
      <c r="G13" t="n">
        <v>445.2</v>
      </c>
      <c r="H13" t="n">
        <v>60.95</v>
      </c>
      <c r="I13" t="n">
        <v>211.01</v>
      </c>
      <c r="J13" t="n">
        <v>77.48999999999999</v>
      </c>
      <c r="K13" t="n">
        <v>283.87</v>
      </c>
      <c r="L13" t="n">
        <v>137.19</v>
      </c>
      <c r="M13" t="n">
        <v>32.33</v>
      </c>
      <c r="N13" t="n">
        <v>0</v>
      </c>
      <c r="O13">
        <f>SUM(C13:N13)</f>
        <v/>
      </c>
    </row>
    <row r="14">
      <c r="B14" t="inlineStr">
        <is>
          <t>VILLAGE WATER AND REFUSE</t>
        </is>
      </c>
      <c r="C14" t="n">
        <v>0</v>
      </c>
      <c r="D14" t="n">
        <v>100.56</v>
      </c>
      <c r="E14" t="n">
        <v>0</v>
      </c>
      <c r="F14" t="n">
        <v>90.68000000000001</v>
      </c>
      <c r="G14" t="n">
        <v>0</v>
      </c>
      <c r="H14" t="n">
        <v>112.84</v>
      </c>
      <c r="I14" t="n">
        <v>0</v>
      </c>
      <c r="J14" t="n">
        <v>137.64</v>
      </c>
      <c r="K14" t="n">
        <v>0</v>
      </c>
      <c r="L14" t="n">
        <v>132.77</v>
      </c>
      <c r="M14" t="n">
        <v>0</v>
      </c>
      <c r="N14" t="n">
        <v>0</v>
      </c>
      <c r="O14">
        <f>SUM(C14:N14)</f>
        <v/>
      </c>
    </row>
    <row r="15">
      <c r="B15" t="inlineStr">
        <is>
          <t>GAS</t>
        </is>
      </c>
      <c r="C15" t="n">
        <v>39.7</v>
      </c>
      <c r="D15" t="n">
        <v>31.37</v>
      </c>
      <c r="E15" t="n">
        <v>32.09</v>
      </c>
      <c r="F15" t="n">
        <v>26.31</v>
      </c>
      <c r="G15" t="n">
        <v>25.41</v>
      </c>
      <c r="H15" t="n">
        <v>24.17</v>
      </c>
      <c r="I15" t="n">
        <v>23.53</v>
      </c>
      <c r="J15" t="n">
        <v>22.7</v>
      </c>
      <c r="K15" t="n">
        <v>22.71</v>
      </c>
      <c r="L15" t="n">
        <v>22.72</v>
      </c>
      <c r="M15" t="n">
        <v>0</v>
      </c>
      <c r="N15" t="n">
        <v>53.71</v>
      </c>
      <c r="O15">
        <f>SUM(C15:N15)</f>
        <v/>
      </c>
    </row>
    <row r="16">
      <c r="B16" t="inlineStr">
        <is>
          <t>ELECTRIC</t>
        </is>
      </c>
      <c r="C16" t="n">
        <v>59.04</v>
      </c>
      <c r="D16" t="n">
        <v>57.47</v>
      </c>
      <c r="E16" t="n">
        <v>49.15</v>
      </c>
      <c r="F16" t="n">
        <v>54.52</v>
      </c>
      <c r="G16" t="n">
        <v>49.73</v>
      </c>
      <c r="H16" t="n">
        <v>57.54</v>
      </c>
      <c r="I16" t="n">
        <v>109</v>
      </c>
      <c r="J16" t="n">
        <v>123.54</v>
      </c>
      <c r="K16" t="n">
        <v>106.93</v>
      </c>
      <c r="L16" t="n">
        <v>62.88</v>
      </c>
      <c r="M16" t="n">
        <v>46.47</v>
      </c>
      <c r="N16" t="n">
        <v>52.88</v>
      </c>
      <c r="O16">
        <f>SUM(C16:N16)</f>
        <v/>
      </c>
    </row>
    <row r="17">
      <c r="B17" t="inlineStr">
        <is>
          <t>INTERNET</t>
        </is>
      </c>
      <c r="C17" t="n">
        <v>45</v>
      </c>
      <c r="D17" t="n">
        <v>45</v>
      </c>
      <c r="E17" t="n">
        <v>45</v>
      </c>
      <c r="F17" t="n">
        <v>45</v>
      </c>
      <c r="G17" t="n">
        <v>50</v>
      </c>
      <c r="H17" t="n">
        <v>50</v>
      </c>
      <c r="I17" t="n">
        <v>50</v>
      </c>
      <c r="J17" t="n">
        <v>50</v>
      </c>
      <c r="K17" t="n">
        <v>50</v>
      </c>
      <c r="L17" t="n">
        <v>50</v>
      </c>
      <c r="M17" t="n">
        <v>50</v>
      </c>
      <c r="N17" t="n">
        <v>0</v>
      </c>
      <c r="O17">
        <f>SUM(C17:N17)</f>
        <v/>
      </c>
    </row>
    <row r="18">
      <c r="B18" t="inlineStr">
        <is>
          <t>CLEANING / TURNOVER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>
        <f>SUM(C18:N18)</f>
        <v/>
      </c>
    </row>
    <row r="19">
      <c r="B19" t="inlineStr">
        <is>
          <t>SUPPLIES</t>
        </is>
      </c>
      <c r="C19" t="n">
        <v>110.8</v>
      </c>
      <c r="D19" t="n">
        <v>0</v>
      </c>
      <c r="E19" t="n">
        <v>92.95999999999999</v>
      </c>
      <c r="F19" t="n">
        <v>105.25</v>
      </c>
      <c r="G19" t="n">
        <v>0</v>
      </c>
      <c r="H19" t="n">
        <v>68.73</v>
      </c>
      <c r="I19" t="n">
        <v>128.37</v>
      </c>
      <c r="J19" t="n">
        <v>176.17</v>
      </c>
      <c r="K19" t="n">
        <v>108.93</v>
      </c>
      <c r="L19" t="n">
        <v>0</v>
      </c>
      <c r="M19" t="n">
        <v>0</v>
      </c>
      <c r="N19" t="n">
        <v>0</v>
      </c>
      <c r="O19">
        <f>SUM(C19:N19)</f>
        <v/>
      </c>
    </row>
    <row r="20">
      <c r="B20" t="inlineStr">
        <is>
          <t>EQUIPMENT/APPLIANCE PURCHASES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>
        <f>SUM(C20:N20)</f>
        <v/>
      </c>
    </row>
    <row r="21">
      <c r="B21" t="inlineStr">
        <is>
          <t>LAND TAX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>
        <f>SUM(C21:N21)</f>
        <v/>
      </c>
    </row>
    <row r="22">
      <c r="B22" t="inlineStr">
        <is>
          <t>LOANS INTEREST (from 1098)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>
        <f>SUM(C22:N22)</f>
        <v/>
      </c>
    </row>
    <row r="23">
      <c r="B23" t="inlineStr">
        <is>
          <t>MORTGAGE (cash P+I — memo only)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>
        <f>SUM(C23:N23)</f>
        <v/>
      </c>
    </row>
    <row r="24">
      <c r="B24" t="inlineStr">
        <is>
          <t>HOA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>
        <f>SUM(C24:N24)</f>
        <v/>
      </c>
    </row>
    <row r="25">
      <c r="B25" t="inlineStr">
        <is>
          <t>OTHER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 ht="72" customHeight="1">
      <c r="B30" s="3" t="inlineStr">
        <is>
          <t>INSURANCE = State Farm HOME share only (Travelers was prior 524 home / Geico = cars). Not 216. Not tax advice.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30"/>
  <sheetViews>
    <sheetView workbookViewId="0">
      <selection activeCell="A1" sqref="A1"/>
    </sheetView>
  </sheetViews>
  <sheetFormatPr baseColWidth="8" defaultRowHeight="15"/>
  <cols>
    <col width="36" customWidth="1" min="2" max="2"/>
  </cols>
  <sheetData>
    <row r="1">
      <c r="B1" t="inlineStr">
        <is>
          <t>PROPERTY ADDRESS</t>
        </is>
      </c>
      <c r="C1" t="inlineStr">
        <is>
          <t>524 Ferdinand Avenue, Unit 1 (residence through sale 2025-12-18)</t>
        </is>
      </c>
    </row>
    <row r="2">
      <c r="B2" t="inlineStr">
        <is>
          <t>INCOME</t>
        </is>
      </c>
      <c r="C2" t="inlineStr">
        <is>
          <t>JAN</t>
        </is>
      </c>
      <c r="D2" t="inlineStr">
        <is>
          <t>FEB</t>
        </is>
      </c>
      <c r="E2" t="inlineStr">
        <is>
          <t>MAR</t>
        </is>
      </c>
      <c r="F2" t="inlineStr">
        <is>
          <t>APR</t>
        </is>
      </c>
      <c r="G2" t="inlineStr">
        <is>
          <t>MAY</t>
        </is>
      </c>
      <c r="H2" t="inlineStr">
        <is>
          <t>JUN</t>
        </is>
      </c>
      <c r="I2" t="inlineStr">
        <is>
          <t>JUL</t>
        </is>
      </c>
      <c r="J2" t="inlineStr">
        <is>
          <t>AUG</t>
        </is>
      </c>
      <c r="K2" t="inlineStr">
        <is>
          <t>SEPT</t>
        </is>
      </c>
      <c r="L2" t="inlineStr">
        <is>
          <t>OCT</t>
        </is>
      </c>
      <c r="M2" t="inlineStr">
        <is>
          <t>NOV</t>
        </is>
      </c>
      <c r="N2" t="inlineStr">
        <is>
          <t>DEC</t>
        </is>
      </c>
      <c r="O2" t="inlineStr">
        <is>
          <t>2025 YR TOTAL</t>
        </is>
      </c>
    </row>
    <row r="3">
      <c r="B3" t="inlineStr">
        <is>
          <t>STR / RENTAL INCOME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>
        <f>SUM(C3:N3)</f>
        <v/>
      </c>
    </row>
    <row r="4">
      <c r="B4" t="inlineStr">
        <is>
          <t>OTHER INCOME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>
        <f>SUM(C4:N4)</f>
        <v/>
      </c>
    </row>
    <row r="5">
      <c r="B5" t="inlineStr">
        <is>
          <t>GROSS RENTAL INCOME</t>
        </is>
      </c>
      <c r="C5">
        <f>SUM(C3:C4)</f>
        <v/>
      </c>
      <c r="D5">
        <f>SUM(D3:D4)</f>
        <v/>
      </c>
      <c r="E5">
        <f>SUM(E3:E4)</f>
        <v/>
      </c>
      <c r="F5">
        <f>SUM(F3:F4)</f>
        <v/>
      </c>
      <c r="G5">
        <f>SUM(G3:G4)</f>
        <v/>
      </c>
      <c r="H5">
        <f>SUM(H3:H4)</f>
        <v/>
      </c>
      <c r="I5">
        <f>SUM(I3:I4)</f>
        <v/>
      </c>
      <c r="J5">
        <f>SUM(J3:J4)</f>
        <v/>
      </c>
      <c r="K5">
        <f>SUM(K3:K4)</f>
        <v/>
      </c>
      <c r="L5">
        <f>SUM(L3:L4)</f>
        <v/>
      </c>
      <c r="M5">
        <f>SUM(M3:M4)</f>
        <v/>
      </c>
      <c r="N5">
        <f>SUM(N3:N4)</f>
        <v/>
      </c>
      <c r="O5">
        <f>SUM(C5:N5)</f>
        <v/>
      </c>
    </row>
    <row r="7">
      <c r="B7" t="inlineStr">
        <is>
          <t>EXPENSES</t>
        </is>
      </c>
      <c r="C7" t="inlineStr">
        <is>
          <t>JAN</t>
        </is>
      </c>
      <c r="D7" t="inlineStr">
        <is>
          <t>FEB</t>
        </is>
      </c>
      <c r="E7" t="inlineStr">
        <is>
          <t>MAR</t>
        </is>
      </c>
      <c r="F7" t="inlineStr">
        <is>
          <t>APR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AUG</t>
        </is>
      </c>
      <c r="K7" t="inlineStr">
        <is>
          <t>SEPT</t>
        </is>
      </c>
      <c r="L7" t="inlineStr">
        <is>
          <t>OCT</t>
        </is>
      </c>
      <c r="M7" t="inlineStr">
        <is>
          <t>NOV</t>
        </is>
      </c>
      <c r="N7" t="inlineStr">
        <is>
          <t>DEC</t>
        </is>
      </c>
      <c r="O7" t="inlineStr">
        <is>
          <t>2025 YR TOTAL</t>
        </is>
      </c>
    </row>
    <row r="8">
      <c r="B8" t="inlineStr">
        <is>
          <t>MARKETING / ADVERTISING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>
        <f>SUM(C8:N8)</f>
        <v/>
      </c>
    </row>
    <row r="9">
      <c r="B9" t="inlineStr">
        <is>
          <t>SERVICE FEES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>
        <f>SUM(C9:N9)</f>
        <v/>
      </c>
    </row>
    <row r="10">
      <c r="B10" t="inlineStr">
        <is>
          <t>REMITTED TAX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>
        <f>SUM(C10:N10)</f>
        <v/>
      </c>
    </row>
    <row r="11">
      <c r="B11" t="inlineStr">
        <is>
          <t>INSURANCE</t>
        </is>
      </c>
      <c r="C11" t="n">
        <v>0</v>
      </c>
      <c r="D11" s="2" t="n">
        <v>78.76000000000001</v>
      </c>
      <c r="E11" s="2" t="n">
        <v>78.75</v>
      </c>
      <c r="F11" s="2" t="n">
        <v>78.75</v>
      </c>
      <c r="G11" s="2" t="n">
        <v>78.75</v>
      </c>
      <c r="H11" s="2" t="n">
        <v>78.75</v>
      </c>
      <c r="I11" s="2" t="n">
        <v>78.75</v>
      </c>
      <c r="J11" s="2" t="n">
        <v>80.19</v>
      </c>
      <c r="K11" t="n">
        <v>0</v>
      </c>
      <c r="L11" t="n">
        <v>0</v>
      </c>
      <c r="M11" t="n">
        <v>0</v>
      </c>
      <c r="N11" t="n">
        <v>0</v>
      </c>
      <c r="O11">
        <f>SUM(C11:N11)</f>
        <v/>
      </c>
    </row>
    <row r="12">
      <c r="B12" t="inlineStr">
        <is>
          <t>INTERIOR MAINTENANCE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>
        <f>SUM(C12:N12)</f>
        <v/>
      </c>
    </row>
    <row r="13">
      <c r="B13" t="inlineStr">
        <is>
          <t>EXTERIOR REPAIRS</t>
        </is>
      </c>
      <c r="C13" t="n">
        <v>0</v>
      </c>
      <c r="D13" t="n">
        <v>66.56</v>
      </c>
      <c r="E13" t="n">
        <v>688.6</v>
      </c>
      <c r="F13" t="n">
        <v>39.57</v>
      </c>
      <c r="G13" t="n">
        <v>0</v>
      </c>
      <c r="H13" t="n">
        <v>0</v>
      </c>
      <c r="I13" t="n">
        <v>50.99</v>
      </c>
      <c r="J13" t="n">
        <v>0</v>
      </c>
      <c r="K13" t="n">
        <v>34.86</v>
      </c>
      <c r="L13" t="n">
        <v>68.48</v>
      </c>
      <c r="M13" t="n">
        <v>32.33</v>
      </c>
      <c r="N13" t="n">
        <v>0</v>
      </c>
      <c r="O13">
        <f>SUM(C13:N13)</f>
        <v/>
      </c>
    </row>
    <row r="14">
      <c r="B14" t="inlineStr">
        <is>
          <t>VILLAGE WATER AND REFUSE</t>
        </is>
      </c>
      <c r="C14" t="n">
        <v>0</v>
      </c>
      <c r="D14" t="n">
        <v>100.55</v>
      </c>
      <c r="E14" t="n">
        <v>0</v>
      </c>
      <c r="F14" t="n">
        <v>90.67</v>
      </c>
      <c r="G14" t="n">
        <v>0</v>
      </c>
      <c r="H14" t="n">
        <v>112.83</v>
      </c>
      <c r="I14" t="n">
        <v>0</v>
      </c>
      <c r="J14" t="n">
        <v>137.63</v>
      </c>
      <c r="K14" t="n">
        <v>0</v>
      </c>
      <c r="L14" t="n">
        <v>132.76</v>
      </c>
      <c r="M14" t="n">
        <v>0</v>
      </c>
      <c r="N14" t="n">
        <v>0</v>
      </c>
      <c r="O14">
        <f>SUM(C14:N14)</f>
        <v/>
      </c>
    </row>
    <row r="15">
      <c r="B15" t="inlineStr">
        <is>
          <t>GAS</t>
        </is>
      </c>
      <c r="C15" t="n">
        <v>98.56999999999999</v>
      </c>
      <c r="D15" t="n">
        <v>133.33</v>
      </c>
      <c r="E15" t="n">
        <v>115.82</v>
      </c>
      <c r="F15" t="n">
        <v>77.8</v>
      </c>
      <c r="G15" t="n">
        <v>79.95</v>
      </c>
      <c r="H15" t="n">
        <v>48.08</v>
      </c>
      <c r="I15" t="n">
        <v>0</v>
      </c>
      <c r="J15" t="n">
        <v>79.33</v>
      </c>
      <c r="K15" t="n">
        <v>36.25</v>
      </c>
      <c r="L15" t="n">
        <v>38.22</v>
      </c>
      <c r="M15" t="n">
        <v>0</v>
      </c>
      <c r="N15" t="n">
        <v>139.35</v>
      </c>
      <c r="O15">
        <f>SUM(C15:N15)</f>
        <v/>
      </c>
    </row>
    <row r="16">
      <c r="B16" t="inlineStr">
        <is>
          <t>ELECTRIC</t>
        </is>
      </c>
      <c r="C16" t="n">
        <v>132.94</v>
      </c>
      <c r="D16" t="n">
        <v>216.44</v>
      </c>
      <c r="E16" t="n">
        <v>184.09</v>
      </c>
      <c r="F16" t="n">
        <v>60.95</v>
      </c>
      <c r="G16" t="n">
        <v>83.76000000000001</v>
      </c>
      <c r="H16" t="n">
        <v>69.69</v>
      </c>
      <c r="I16" t="n">
        <v>164.88</v>
      </c>
      <c r="J16" t="n">
        <v>203.43</v>
      </c>
      <c r="K16" t="n">
        <v>187.63</v>
      </c>
      <c r="L16" t="n">
        <v>139.78</v>
      </c>
      <c r="M16" t="n">
        <v>71.29000000000001</v>
      </c>
      <c r="N16" t="n">
        <v>50.38</v>
      </c>
      <c r="O16">
        <f>SUM(C16:N16)</f>
        <v/>
      </c>
    </row>
    <row r="17">
      <c r="B17" t="inlineStr">
        <is>
          <t>INTERNET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>
        <f>SUM(C17:N17)</f>
        <v/>
      </c>
    </row>
    <row r="18">
      <c r="B18" t="inlineStr">
        <is>
          <t>CLEANING / TURNOVER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>
        <f>SUM(C18:N18)</f>
        <v/>
      </c>
    </row>
    <row r="19">
      <c r="B19" t="inlineStr">
        <is>
          <t>SUPPLIES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>
        <f>SUM(C19:N19)</f>
        <v/>
      </c>
    </row>
    <row r="20">
      <c r="B20" t="inlineStr">
        <is>
          <t>EQUIPMENT/APPLIANCE PURCHASES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>
        <f>SUM(C20:N20)</f>
        <v/>
      </c>
    </row>
    <row r="21">
      <c r="B21" t="inlineStr">
        <is>
          <t>LAND TAX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>
        <f>SUM(C21:N21)</f>
        <v/>
      </c>
    </row>
    <row r="22">
      <c r="B22" t="inlineStr">
        <is>
          <t>LOANS INTEREST (from 1098)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>
        <f>SUM(C22:N22)</f>
        <v/>
      </c>
    </row>
    <row r="23">
      <c r="B23" t="inlineStr">
        <is>
          <t>MORTGAGE (cash P+I — memo only)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>
        <f>SUM(C23:N23)</f>
        <v/>
      </c>
    </row>
    <row r="24">
      <c r="B24" t="inlineStr">
        <is>
          <t>HOA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>
        <f>SUM(C24:N24)</f>
        <v/>
      </c>
    </row>
    <row r="25">
      <c r="B25" t="inlineStr">
        <is>
          <t>OTHER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>
        <f>SUM(C25:N25)</f>
        <v/>
      </c>
    </row>
    <row r="26">
      <c r="B26" t="inlineStr">
        <is>
          <t>TOTAL EXPENSES</t>
        </is>
      </c>
      <c r="C26">
        <f>SUM(C8:C25)</f>
        <v/>
      </c>
      <c r="D26">
        <f>SUM(D8:D25)</f>
        <v/>
      </c>
      <c r="E26">
        <f>SUM(E8:E25)</f>
        <v/>
      </c>
      <c r="F26">
        <f>SUM(F8:F25)</f>
        <v/>
      </c>
      <c r="G26">
        <f>SUM(G8:G25)</f>
        <v/>
      </c>
      <c r="H26">
        <f>SUM(H8:H25)</f>
        <v/>
      </c>
      <c r="I26">
        <f>SUM(I8:I25)</f>
        <v/>
      </c>
      <c r="J26">
        <f>SUM(J8:J25)</f>
        <v/>
      </c>
      <c r="K26">
        <f>SUM(K8:K25)</f>
        <v/>
      </c>
      <c r="L26">
        <f>SUM(L8:L25)</f>
        <v/>
      </c>
      <c r="M26">
        <f>SUM(M8:M25)</f>
        <v/>
      </c>
      <c r="N26">
        <f>SUM(N8:N25)</f>
        <v/>
      </c>
      <c r="O26">
        <f>SUM(C26:N26)</f>
        <v/>
      </c>
    </row>
    <row r="28">
      <c r="B28" t="inlineStr">
        <is>
          <t>YEAR-TO-DATE INCOME LESS EXPENSES</t>
        </is>
      </c>
      <c r="C28">
        <f>C5-C26</f>
        <v/>
      </c>
      <c r="D28">
        <f>D5-D26</f>
        <v/>
      </c>
      <c r="E28">
        <f>E5-E26</f>
        <v/>
      </c>
      <c r="F28">
        <f>F5-F26</f>
        <v/>
      </c>
      <c r="G28">
        <f>G5-G26</f>
        <v/>
      </c>
      <c r="H28">
        <f>H5-H26</f>
        <v/>
      </c>
      <c r="I28">
        <f>I5-I26</f>
        <v/>
      </c>
      <c r="J28">
        <f>J5-J26</f>
        <v/>
      </c>
      <c r="K28">
        <f>K5-K26</f>
        <v/>
      </c>
      <c r="L28">
        <f>L5-L26</f>
        <v/>
      </c>
      <c r="M28">
        <f>M5-M26</f>
        <v/>
      </c>
      <c r="N28">
        <f>N5-N26</f>
        <v/>
      </c>
      <c r="O28">
        <f>SUM(C28:N28)</f>
        <v/>
      </c>
    </row>
    <row r="30" ht="72" customHeight="1">
      <c r="B30" s="3" t="inlineStr">
        <is>
          <t>INSURANCE = State Farm HOME share only (Travelers was prior 524 home / Geico = cars). Not 216. Not tax advice.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t="inlineStr">
        <is>
          <t>2025</t>
        </is>
      </c>
    </row>
    <row r="2">
      <c r="A2" t="inlineStr">
        <is>
          <t>INCOME</t>
        </is>
      </c>
      <c r="B2" t="inlineStr">
        <is>
          <t>JAN</t>
        </is>
      </c>
      <c r="C2" t="inlineStr">
        <is>
          <t>FEB</t>
        </is>
      </c>
      <c r="D2" t="inlineStr">
        <is>
          <t>MAR</t>
        </is>
      </c>
      <c r="E2" t="inlineStr">
        <is>
          <t>APR</t>
        </is>
      </c>
      <c r="F2" t="inlineStr">
        <is>
          <t>MAY</t>
        </is>
      </c>
      <c r="G2" t="inlineStr">
        <is>
          <t>JUN</t>
        </is>
      </c>
      <c r="H2" t="inlineStr">
        <is>
          <t>JUL</t>
        </is>
      </c>
      <c r="I2" t="inlineStr">
        <is>
          <t>AUG</t>
        </is>
      </c>
      <c r="J2" t="inlineStr">
        <is>
          <t>SEPT</t>
        </is>
      </c>
      <c r="K2" t="inlineStr">
        <is>
          <t>OCT</t>
        </is>
      </c>
      <c r="L2" t="inlineStr">
        <is>
          <t>NOV</t>
        </is>
      </c>
      <c r="M2" t="inlineStr">
        <is>
          <t>DEC</t>
        </is>
      </c>
      <c r="N2" t="inlineStr">
        <is>
          <t>YEARLY</t>
        </is>
      </c>
    </row>
    <row r="3">
      <c r="A3" t="inlineStr">
        <is>
          <t>Art Sales</t>
        </is>
      </c>
      <c r="B3" t="n">
        <v>14000</v>
      </c>
      <c r="C3" t="n">
        <v>136000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>
        <f>SUM(B3:M3)</f>
        <v/>
      </c>
    </row>
    <row r="4">
      <c r="A4" t="inlineStr">
        <is>
          <t>Consultant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s="2" t="n">
        <v>13595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>
        <f>SUM(B4:M4)</f>
        <v/>
      </c>
    </row>
    <row r="6">
      <c r="A6" t="inlineStr">
        <is>
          <t>EXPENSES</t>
        </is>
      </c>
    </row>
    <row r="7">
      <c r="A7" t="inlineStr">
        <is>
          <t>Consultant Fees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s="2" t="n">
        <v>334.17</v>
      </c>
      <c r="I7" t="n">
        <v>0</v>
      </c>
      <c r="J7" t="n">
        <v>0</v>
      </c>
      <c r="K7" s="2" t="n">
        <v>658.63</v>
      </c>
      <c r="L7" t="n">
        <v>0</v>
      </c>
      <c r="M7" t="n">
        <v>0</v>
      </c>
      <c r="N7">
        <f>SUM(B7:M7)</f>
        <v/>
      </c>
    </row>
    <row r="9" ht="60" customHeight="1">
      <c r="A9" s="3" t="inlineStr">
        <is>
          <t>LOCKED: Art Sales cash $150,000 (Jan $14,000 / Feb $136,000). David Aaron Consultant June $13,595. Wise Consultant Fees $992.80. Koziol/Ariadne $150k pass-through. Aquinas books $1,000 in Feb cash / Cost TBD. EOEB $130,270 and L5 $87,396.32 mixed unallocated (not dumped on P&amp;L). Coinbase is Investments. Newstar $23,581 is jewelry COGS. Not tax advice.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8" max="8"/>
  </cols>
  <sheetData>
    <row r="1">
      <c r="A1" t="inlineStr">
        <is>
          <t>2025 Art Sales (matched cash $150,000) + Cost-TBD rows. Full object register is in git xlsx.</t>
        </is>
      </c>
    </row>
    <row r="2">
      <c r="A2" t="inlineStr">
        <is>
          <t>Object</t>
        </is>
      </c>
      <c r="B2" t="inlineStr">
        <is>
          <t>From</t>
        </is>
      </c>
      <c r="C2" t="inlineStr">
        <is>
          <t>Cost</t>
        </is>
      </c>
      <c r="D2" t="inlineStr">
        <is>
          <t>Purchase Date</t>
        </is>
      </c>
      <c r="E2" t="inlineStr">
        <is>
          <t>To</t>
        </is>
      </c>
      <c r="F2" t="inlineStr">
        <is>
          <t>Sale Price</t>
        </is>
      </c>
      <c r="G2" t="inlineStr">
        <is>
          <t>Sale Date</t>
        </is>
      </c>
      <c r="H2" t="inlineStr">
        <is>
          <t>Note</t>
        </is>
      </c>
    </row>
    <row r="3">
      <c r="A3" t="inlineStr">
        <is>
          <t>A Collection of Seals</t>
        </is>
      </c>
      <c r="B3" t="inlineStr">
        <is>
          <t>Erdal Dere</t>
        </is>
      </c>
      <c r="C3" t="n">
        <v>13000</v>
      </c>
      <c r="D3" t="inlineStr">
        <is>
          <t>2025-01-08</t>
        </is>
      </c>
      <c r="E3" t="inlineStr">
        <is>
          <t>Harlan J. Berk</t>
        </is>
      </c>
      <c r="F3" t="n">
        <v>14000</v>
      </c>
      <c r="G3" t="inlineStr">
        <is>
          <t>2025-01-10</t>
        </is>
      </c>
      <c r="H3" t="inlineStr">
        <is>
          <t>MATCHED</t>
        </is>
      </c>
    </row>
    <row r="4">
      <c r="A4" t="inlineStr">
        <is>
          <t>Berk lots (Feb 7)</t>
        </is>
      </c>
      <c r="B4" t="inlineStr">
        <is>
          <t>Hindman et al.</t>
        </is>
      </c>
      <c r="C4" t="n">
        <v>22944.94</v>
      </c>
      <c r="D4" t="inlineStr">
        <is>
          <t>2024/2025</t>
        </is>
      </c>
      <c r="E4" t="inlineStr">
        <is>
          <t>Harlan J. Berk</t>
        </is>
      </c>
      <c r="F4" t="n">
        <v>30000</v>
      </c>
      <c r="G4" t="inlineStr">
        <is>
          <t>2025-02-07</t>
        </is>
      </c>
      <c r="H4" t="inlineStr">
        <is>
          <t>MATCHED Cost of sold lots</t>
        </is>
      </c>
    </row>
    <row r="5">
      <c r="A5" t="inlineStr">
        <is>
          <t>Three Ancient Mosaics</t>
        </is>
      </c>
      <c r="B5" t="inlineStr">
        <is>
          <t>Jamal Rifai / Antiquarium</t>
        </is>
      </c>
      <c r="C5" t="n">
        <v>90000</v>
      </c>
      <c r="D5" t="inlineStr">
        <is>
          <t>2025-02-21</t>
        </is>
      </c>
      <c r="E5" t="inlineStr">
        <is>
          <t>Jonathan Yantis</t>
        </is>
      </c>
      <c r="F5" t="n">
        <v>105000</v>
      </c>
      <c r="G5" t="inlineStr">
        <is>
          <t>2025-02-21</t>
        </is>
      </c>
      <c r="H5" t="inlineStr">
        <is>
          <t>Plutus paid $50k of Cost; $40k ASK</t>
        </is>
      </c>
    </row>
    <row r="6">
      <c r="A6" t="inlineStr">
        <is>
          <t>Books (titles TBD)</t>
        </is>
      </c>
      <c r="B6" t="inlineStr">
        <is>
          <t>Cost TBD</t>
        </is>
      </c>
      <c r="E6" t="inlineStr">
        <is>
          <t>Aquinas Hobor</t>
        </is>
      </c>
      <c r="F6" t="n">
        <v>1000</v>
      </c>
      <c r="G6" t="inlineStr">
        <is>
          <t>2025-02-04</t>
        </is>
      </c>
      <c r="H6" t="inlineStr">
        <is>
          <t>LOCKED book sale; Cost TBD — not in I8</t>
        </is>
      </c>
    </row>
    <row r="7">
      <c r="A7" t="inlineStr">
        <is>
          <t>Sale 6428 Contract 303468</t>
        </is>
      </c>
      <c r="B7" t="inlineStr">
        <is>
          <t>Cost TBD</t>
        </is>
      </c>
      <c r="E7" t="inlineStr">
        <is>
          <t>Freeman's LLC (Megan 0203)</t>
        </is>
      </c>
      <c r="F7" t="n">
        <v>11000</v>
      </c>
      <c r="G7" t="inlineStr">
        <is>
          <t>2025-12-24</t>
        </is>
      </c>
      <c r="H7" t="inlineStr">
        <is>
          <t>Cost TBD — not in I8</t>
        </is>
      </c>
    </row>
    <row r="8">
      <c r="A8" t="inlineStr">
        <is>
          <t>Canosan Terracotta Horse</t>
        </is>
      </c>
      <c r="B8" t="inlineStr">
        <is>
          <t>Hindman</t>
        </is>
      </c>
      <c r="C8" t="n">
        <v>900</v>
      </c>
      <c r="E8" t="inlineStr">
        <is>
          <t>Erdal Dere</t>
        </is>
      </c>
      <c r="F8" t="n">
        <v>1000</v>
      </c>
      <c r="H8" t="inlineStr">
        <is>
          <t>Sale date TBD</t>
        </is>
      </c>
    </row>
    <row r="10">
      <c r="A10" t="inlineStr">
        <is>
          <t>Matched cash $150,000 = Berk $14,000 + Berk $30,000 + mosaics $105,000 + Aquinas $1,000. I8 $23,055.06 uses Cost-known deals only.</t>
        </is>
      </c>
    </row>
    <row r="12">
      <c r="A12" t="inlineStr">
        <is>
          <t>Newstar Jewelers $23,581 jewelry COGS (10/14 $8,000 + 11/12 $8,000 + 12/24 $7,581) — parked, not dumped on P&amp;L.</t>
        </is>
      </c>
    </row>
    <row r="13">
      <c r="A13" t="inlineStr">
        <is>
          <t>Fortuna Venus $20,000 (5/9) + Roman Gold Belt $45,000 (7/21) LOCKED inventory Cost. Aug $20,000 unnamed ASK. Not sold 2025.</t>
        </is>
      </c>
    </row>
    <row r="14">
      <c r="A14" t="inlineStr">
        <is>
          <t>David Aaron $13,595 is EPGC Consultant June — NOT an art sale.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64" customWidth="1" min="1" max="1"/>
  </cols>
  <sheetData>
    <row r="1">
      <c r="A1" t="inlineStr">
        <is>
          <t>GCM Boards 2025 — personal 1099-NEC $21,500 (NOT EPGC Consultant)</t>
        </is>
      </c>
    </row>
    <row r="2">
      <c r="A2" t="inlineStr">
        <is>
          <t>Feb</t>
        </is>
      </c>
      <c r="B2" t="n">
        <v>4100</v>
      </c>
    </row>
    <row r="3">
      <c r="A3" t="inlineStr">
        <is>
          <t>Apr</t>
        </is>
      </c>
      <c r="B3" t="n">
        <v>9200</v>
      </c>
    </row>
    <row r="4">
      <c r="A4" t="inlineStr">
        <is>
          <t>Sep</t>
        </is>
      </c>
      <c r="B4" t="n">
        <v>4100</v>
      </c>
    </row>
    <row r="5">
      <c r="A5" t="inlineStr">
        <is>
          <t>Nov</t>
        </is>
      </c>
      <c r="B5" t="n">
        <v>4100</v>
      </c>
    </row>
    <row r="6">
      <c r="A6" t="inlineStr">
        <is>
          <t>Total</t>
        </is>
      </c>
      <c r="B6" t="n">
        <v>21500</v>
      </c>
    </row>
    <row r="8">
      <c r="A8" t="inlineStr">
        <is>
          <t>BOM PAYMEN on Jake 9922. Reimbursements excluded. Not tax advice.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8" customWidth="1" min="1" max="1"/>
  </cols>
  <sheetData>
    <row r="1">
      <c r="A1" t="inlineStr">
        <is>
          <t>Coinbase ACH from Mercury 8291 — investment, not EPGC</t>
        </is>
      </c>
    </row>
    <row r="2">
      <c r="B2" t="inlineStr">
        <is>
          <t>SEP</t>
        </is>
      </c>
      <c r="C2" t="inlineStr">
        <is>
          <t>OCT</t>
        </is>
      </c>
      <c r="D2" t="inlineStr">
        <is>
          <t>NOV</t>
        </is>
      </c>
      <c r="E2" t="inlineStr">
        <is>
          <t>DEC</t>
        </is>
      </c>
    </row>
    <row r="3">
      <c r="A3" t="inlineStr">
        <is>
          <t>To Coinbase</t>
        </is>
      </c>
      <c r="B3" t="n">
        <v>-9000</v>
      </c>
      <c r="C3" t="n">
        <v>-10000</v>
      </c>
      <c r="D3" t="n">
        <v>-35000</v>
      </c>
      <c r="E3" t="n">
        <v>-5000</v>
      </c>
    </row>
    <row r="4">
      <c r="A4" t="inlineStr">
        <is>
          <t>From Coinbase</t>
        </is>
      </c>
      <c r="E4" t="n">
        <v>8000</v>
      </c>
    </row>
    <row r="6">
      <c r="A6" t="inlineStr">
        <is>
          <t>2025 funded $59,000 / back $8,000 / net $-51,000. Not tax advice.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3" max="3"/>
  </cols>
  <sheetData>
    <row r="1">
      <c r="A1" t="inlineStr">
        <is>
          <t>Q</t>
        </is>
      </c>
      <c r="B1" t="inlineStr">
        <is>
          <t>Status</t>
        </is>
      </c>
      <c r="C1" t="inlineStr">
        <is>
          <t>What</t>
        </is>
      </c>
    </row>
    <row r="2">
      <c r="A2" t="inlineStr">
        <is>
          <t>6</t>
        </is>
      </c>
      <c r="B2" t="inlineStr">
        <is>
          <t>LOCKED</t>
        </is>
      </c>
      <c r="C2" t="inlineStr">
        <is>
          <t>David Aaron $13,595 Consultant June — not Art Sales, not I8</t>
        </is>
      </c>
    </row>
    <row r="3">
      <c r="A3" t="inlineStr">
        <is>
          <t>7</t>
        </is>
      </c>
      <c r="B3" t="inlineStr">
        <is>
          <t>LOCKED</t>
        </is>
      </c>
      <c r="C3" t="inlineStr">
        <is>
          <t>Wise $992.80 Consultant Fees (Jul $334.17 / Oct $658.63)</t>
        </is>
      </c>
    </row>
    <row r="4">
      <c r="A4" t="inlineStr">
        <is>
          <t>8</t>
        </is>
      </c>
      <c r="B4" t="inlineStr">
        <is>
          <t>LOCKED</t>
        </is>
      </c>
      <c r="C4" t="inlineStr">
        <is>
          <t>Koziol/Ariadne $150k pass-through — not P&amp;L</t>
        </is>
      </c>
    </row>
    <row r="5">
      <c r="A5" t="inlineStr">
        <is>
          <t>9</t>
        </is>
      </c>
      <c r="B5" t="inlineStr">
        <is>
          <t>LOCKED</t>
        </is>
      </c>
      <c r="C5" t="inlineStr">
        <is>
          <t>Aquinas books $1,000 Feb; Cost TBD — not in I8</t>
        </is>
      </c>
    </row>
    <row r="6">
      <c r="A6" t="inlineStr">
        <is>
          <t>1</t>
        </is>
      </c>
      <c r="B6" t="inlineStr">
        <is>
          <t>UNALLOCATED</t>
        </is>
      </c>
      <c r="C6" t="inlineStr">
        <is>
          <t>EOEB remainder $130,270 mixed — do not dump on P&amp;L</t>
        </is>
      </c>
    </row>
    <row r="7">
      <c r="A7" t="inlineStr">
        <is>
          <t>2</t>
        </is>
      </c>
      <c r="B7" t="inlineStr">
        <is>
          <t>UNALLOCATED</t>
        </is>
      </c>
      <c r="C7" t="inlineStr">
        <is>
          <t>L5 $87,396.32 mixed — do not dump on P&amp;L</t>
        </is>
      </c>
    </row>
    <row r="8">
      <c r="A8" t="inlineStr">
        <is>
          <t>Fortuna</t>
        </is>
      </c>
      <c r="B8" t="inlineStr">
        <is>
          <t>LOCKED</t>
        </is>
      </c>
      <c r="C8" t="inlineStr">
        <is>
          <t>Venus $20k (5/9) + Gold Belt $45k (7/21) inventory Cost</t>
        </is>
      </c>
    </row>
    <row r="9">
      <c r="A9" t="inlineStr">
        <is>
          <t>3</t>
        </is>
      </c>
      <c r="B9" t="inlineStr">
        <is>
          <t>ASK</t>
        </is>
      </c>
      <c r="C9" t="inlineStr">
        <is>
          <t>Fortuna unnamed Aug $20k (Monarch 8/15 = native 8/18)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2026-09-20T15:55:14Z</dcterms:created>
  <dcterms:modified xsi:type="dcterms:W3CDTF">2026-09-20T15:55:14Z</dcterms:modified>
</cp:coreProperties>
</file>