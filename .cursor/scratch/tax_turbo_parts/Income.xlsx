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.00"/>
  </numFmts>
  <fonts count="6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color theme="1"/>
      <scheme val="minor"/>
    </font>
    <font>
      <name val="Calibri"/>
      <b val="1"/>
      <color theme="1"/>
      <sz val="11"/>
    </font>
    <font>
      <name val="Century Gothic"/>
      <sz val="10"/>
    </font>
    <font>
      <name val="Calibri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5">
    <border>
      <left/>
      <right/>
      <top/>
      <bottom/>
      <diagonal/>
    </border>
    <border/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1" fillId="0" borderId="2" pivotButton="0" quotePrefix="0" xfId="0"/>
    <xf numFmtId="164" fontId="1" fillId="0" borderId="1" pivotButton="0" quotePrefix="0" xfId="0"/>
    <xf numFmtId="0" fontId="3" fillId="0" borderId="1" pivotButton="0" quotePrefix="0" xfId="0"/>
    <xf numFmtId="164" fontId="1" fillId="0" borderId="2" pivotButton="0" quotePrefix="0" xfId="0"/>
    <xf numFmtId="165" fontId="1" fillId="0" borderId="2" pivotButton="0" quotePrefix="0" xfId="0"/>
    <xf numFmtId="165" fontId="2" fillId="0" borderId="1" pivotButton="0" quotePrefix="0" xfId="0"/>
    <xf numFmtId="164" fontId="4" fillId="0" borderId="1" pivotButton="0" quotePrefix="0" xfId="0"/>
    <xf numFmtId="164" fontId="4" fillId="2" borderId="1" pivotButton="0" quotePrefix="0" xfId="0"/>
    <xf numFmtId="165" fontId="1" fillId="0" borderId="1" pivotButton="0" quotePrefix="0" xfId="0"/>
    <xf numFmtId="0" fontId="3" fillId="0" borderId="3" pivotButton="0" quotePrefix="0" xfId="0"/>
    <xf numFmtId="164" fontId="1" fillId="0" borderId="3" pivotButton="0" quotePrefix="0" xfId="0"/>
    <xf numFmtId="165" fontId="1" fillId="0" borderId="4" pivotButton="0" quotePrefix="0" xfId="0"/>
    <xf numFmtId="165" fontId="1" fillId="0" borderId="3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9.57" customWidth="1" min="1" max="1"/>
    <col width="16.71" customWidth="1" min="2" max="2"/>
    <col width="16.86" customWidth="1" min="3" max="3"/>
    <col width="12.71" customWidth="1" min="4" max="4"/>
    <col width="12.14" customWidth="1" min="5" max="5"/>
    <col width="8.710000000000001" customWidth="1" min="6" max="6"/>
    <col width="11.14" customWidth="1" min="7" max="7"/>
    <col width="14" customWidth="1" min="8" max="8"/>
    <col width="14" customWidth="1" min="9" max="9"/>
  </cols>
  <sheetData>
    <row r="1">
      <c r="B1" s="1" t="n">
        <v>2022</v>
      </c>
      <c r="C1" s="2" t="n">
        <v>2022</v>
      </c>
      <c r="D1" s="3" t="n">
        <v>2023</v>
      </c>
      <c r="E1" s="2" t="n">
        <v>2023</v>
      </c>
      <c r="F1" s="3" t="n">
        <v>2024</v>
      </c>
      <c r="G1" s="2" t="n">
        <v>2024</v>
      </c>
      <c r="H1" s="3" t="n">
        <v>2025</v>
      </c>
      <c r="I1" s="3" t="n">
        <v>2025</v>
      </c>
    </row>
    <row r="2">
      <c r="B2" s="4" t="inlineStr">
        <is>
          <t xml:space="preserve">Projected </t>
        </is>
      </c>
      <c r="C2" s="2" t="inlineStr">
        <is>
          <t>Actual</t>
        </is>
      </c>
      <c r="D2" s="3" t="inlineStr">
        <is>
          <t xml:space="preserve">Projected </t>
        </is>
      </c>
      <c r="E2" s="2" t="inlineStr">
        <is>
          <t>Actual</t>
        </is>
      </c>
      <c r="F2" s="3" t="inlineStr">
        <is>
          <t>Projected</t>
        </is>
      </c>
      <c r="G2" s="2" t="inlineStr">
        <is>
          <t>Actual</t>
        </is>
      </c>
      <c r="H2" s="3" t="inlineStr">
        <is>
          <t>Projected</t>
        </is>
      </c>
      <c r="I2" s="2" t="inlineStr">
        <is>
          <t>Actual</t>
        </is>
      </c>
    </row>
    <row r="3">
      <c r="A3" s="5" t="inlineStr">
        <is>
          <t>Income</t>
        </is>
      </c>
      <c r="B3" s="4" t="n"/>
      <c r="D3" s="3" t="n"/>
      <c r="F3" s="3" t="n"/>
    </row>
    <row r="4">
      <c r="A4" s="2" t="inlineStr">
        <is>
          <t xml:space="preserve">Hindman </t>
        </is>
      </c>
      <c r="B4" s="4" t="n">
        <v>92000</v>
      </c>
      <c r="C4" s="4" t="n">
        <v>97876.85000000001</v>
      </c>
      <c r="D4" s="6" t="n">
        <v>110000</v>
      </c>
      <c r="E4" s="4" t="n">
        <v>115000</v>
      </c>
      <c r="F4" s="7" t="n">
        <v>110000</v>
      </c>
      <c r="G4" s="8" t="n"/>
      <c r="H4" s="9" t="n">
        <v>110000</v>
      </c>
      <c r="I4" s="10" t="n">
        <v>70618</v>
      </c>
    </row>
    <row r="5">
      <c r="A5" s="2" t="inlineStr">
        <is>
          <t>216 N. Oak Park Ave</t>
        </is>
      </c>
      <c r="B5" s="4" t="n">
        <v>0</v>
      </c>
      <c r="C5" s="4" t="n">
        <v>125</v>
      </c>
      <c r="D5" s="6" t="n">
        <v>1500</v>
      </c>
      <c r="E5" s="4" t="n"/>
      <c r="F5" s="7" t="n">
        <v>1500</v>
      </c>
      <c r="G5" s="8" t="n"/>
      <c r="H5" s="9" t="n">
        <v>19500</v>
      </c>
      <c r="I5" s="9" t="n">
        <v>19500</v>
      </c>
    </row>
    <row r="6">
      <c r="A6" s="2" t="inlineStr">
        <is>
          <t>524 Ferdinand Ave #2</t>
        </is>
      </c>
      <c r="B6" s="4" t="n"/>
      <c r="C6" s="4" t="n"/>
      <c r="D6" s="6" t="n"/>
      <c r="E6" s="4" t="n"/>
      <c r="F6" s="7" t="n">
        <v>20000</v>
      </c>
      <c r="G6" s="8" t="n"/>
      <c r="H6" s="9" t="n">
        <v>17000</v>
      </c>
      <c r="I6" s="9" t="n">
        <v>17086.94</v>
      </c>
    </row>
    <row r="7">
      <c r="A7" s="2" t="inlineStr">
        <is>
          <t>GCM Boards</t>
        </is>
      </c>
      <c r="B7" s="4" t="n">
        <v>14000</v>
      </c>
      <c r="C7" s="4" t="n">
        <v>25875</v>
      </c>
      <c r="D7" s="6" t="n">
        <v>14700</v>
      </c>
      <c r="E7" s="4" t="n">
        <v>14700</v>
      </c>
      <c r="F7" s="7" t="n">
        <v>16000</v>
      </c>
      <c r="G7" s="11" t="n"/>
      <c r="H7" s="9" t="n">
        <v>21500</v>
      </c>
      <c r="I7" s="9" t="n">
        <v>21500</v>
      </c>
    </row>
    <row r="8">
      <c r="A8" s="2" t="inlineStr">
        <is>
          <t>Art Sales</t>
        </is>
      </c>
      <c r="B8" s="4" t="n">
        <v>10000</v>
      </c>
      <c r="C8" s="4" t="n">
        <v>15000</v>
      </c>
      <c r="D8" s="6" t="n">
        <v>15000</v>
      </c>
      <c r="E8" s="4" t="n">
        <v>54777.25</v>
      </c>
      <c r="F8" s="7" t="n">
        <v>20000</v>
      </c>
      <c r="G8" s="8" t="n"/>
      <c r="H8" s="9" t="n">
        <v>20000</v>
      </c>
      <c r="I8" s="10" t="n">
        <v>23055.06</v>
      </c>
    </row>
    <row r="9">
      <c r="A9" s="2" t="inlineStr">
        <is>
          <t>Megan's Income</t>
        </is>
      </c>
      <c r="B9" s="4" t="n">
        <v>67000</v>
      </c>
      <c r="C9" s="4" t="n">
        <v>67000</v>
      </c>
      <c r="D9" s="6" t="n">
        <v>74000</v>
      </c>
      <c r="E9" s="4" t="n"/>
      <c r="F9" s="7" t="n">
        <v>0</v>
      </c>
      <c r="G9" s="8" t="n"/>
      <c r="H9" s="9" t="n">
        <v>0</v>
      </c>
      <c r="I9" s="9" t="n">
        <v>0</v>
      </c>
    </row>
    <row r="10">
      <c r="A10" s="12" t="inlineStr">
        <is>
          <t>EBITDA</t>
        </is>
      </c>
      <c r="B10" s="13">
        <f>SUM(B4:B9)</f>
        <v/>
      </c>
      <c r="C10" s="13">
        <f>SUM(C4:C9)</f>
        <v/>
      </c>
      <c r="D10" s="13">
        <f>SUM(D4:D9)</f>
        <v/>
      </c>
      <c r="E10" s="13">
        <f>SUM(E4:E9)</f>
        <v/>
      </c>
      <c r="F10" s="14">
        <f>SUM(F4:F9)</f>
        <v/>
      </c>
      <c r="G10" s="15">
        <f>SUM(G4:G9)</f>
        <v/>
      </c>
      <c r="H10" s="14">
        <f>SUM(H4:H9)</f>
        <v/>
      </c>
      <c r="I10" s="14">
        <f>SUM(I4:I9)</f>
        <v/>
      </c>
    </row>
    <row r="11">
      <c r="A11" s="5" t="n"/>
      <c r="B11" s="4" t="n"/>
    </row>
    <row r="12">
      <c r="A12" s="16" t="inlineStr">
        <is>
          <t>2025 Actual: I4 Monarch paycheck cash ≠ W-2 Box 1. I5 216 LTR cash $19,500. I6 524 #2 STR platform net LOCKED. I7 GCM 1099-NEC $21,500. I8 Art net $23,055.06 = MATCHED Mercury deals only (Berk lots $30,000 − $22,944.94 Cost) + seals $1,000 + mosaics $15,000. Excludes Sale 6428 $11,000 until Cost. Excludes Aquinas books $1,000 until Cost. David Aaron $13,595 is EPGC Consultant June (not I8). Erdal/Aysel/EOEB/L5 ASK. Not tax advice.</t>
        </is>
      </c>
      <c r="B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2026-09-20T13:30:51Z</dcterms:created>
  <dcterms:modified xsi:type="dcterms:W3CDTF">2026-09-20T13:30:51Z</dcterms:modified>
</cp:coreProperties>
</file>