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2" fontId="0" fillId="4" borderId="0" pivotButton="0" quotePrefix="0" xfId="0"/>
    <xf numFmtId="2" fontId="0" fillId="5" borderId="0" pivotButton="0" quotePrefix="0" xfId="0"/>
    <xf numFmtId="0" fontId="0" fillId="5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B1" t="n">
        <v>2024</v>
      </c>
      <c r="C1" t="n">
        <v>2024</v>
      </c>
      <c r="D1" t="n">
        <v>2025</v>
      </c>
      <c r="E1" t="n">
        <v>2025</v>
      </c>
    </row>
    <row r="2">
      <c r="B2" s="1" t="inlineStr">
        <is>
          <t>Projected</t>
        </is>
      </c>
      <c r="C2" s="1" t="inlineStr">
        <is>
          <t>Actual</t>
        </is>
      </c>
      <c r="D2" s="1" t="inlineStr">
        <is>
          <t>Projected</t>
        </is>
      </c>
      <c r="E2" s="1" t="inlineStr">
        <is>
          <t>Actual</t>
        </is>
      </c>
    </row>
    <row r="3">
      <c r="A3" t="inlineStr">
        <is>
          <t>Income</t>
        </is>
      </c>
    </row>
    <row r="4">
      <c r="A4" t="inlineStr">
        <is>
          <t>Hindman / Freeman W-2 (Monarch deposits — reconcile to W-2)</t>
        </is>
      </c>
      <c r="B4" t="n">
        <v>110000</v>
      </c>
      <c r="D4" t="n">
        <v>110000</v>
      </c>
      <c r="E4" s="2" t="n">
        <v>70618</v>
      </c>
    </row>
    <row r="5">
      <c r="A5" t="inlineStr">
        <is>
          <t>216 N. Oak Park Ave</t>
        </is>
      </c>
      <c r="B5" t="n">
        <v>1500</v>
      </c>
      <c r="D5" t="n">
        <v>1500</v>
      </c>
      <c r="E5" s="3" t="n">
        <v>19500</v>
      </c>
    </row>
    <row r="6">
      <c r="A6" t="inlineStr">
        <is>
          <t>524 Ferdinand Ave #2 (STR platform net)</t>
        </is>
      </c>
      <c r="B6" t="n">
        <v>20000</v>
      </c>
      <c r="D6" t="n">
        <v>17000</v>
      </c>
      <c r="E6" s="2" t="n">
        <v>17086.94</v>
      </c>
    </row>
    <row r="7">
      <c r="A7" t="inlineStr">
        <is>
          <t>GCM / Gates 1099-NEC</t>
        </is>
      </c>
      <c r="B7" t="n">
        <v>16000</v>
      </c>
      <c r="D7" t="n">
        <v>21500</v>
      </c>
      <c r="E7" s="3" t="n">
        <v>21500</v>
      </c>
    </row>
    <row r="8">
      <c r="A8" t="inlineStr">
        <is>
          <t>Art Sales (net — see Art Sales tab)</t>
        </is>
      </c>
      <c r="B8" t="n">
        <v>20000</v>
      </c>
      <c r="D8" t="n">
        <v>20000</v>
      </c>
      <c r="E8" s="4" t="n">
        <v>0</v>
      </c>
    </row>
    <row r="9">
      <c r="A9" t="inlineStr">
        <is>
          <t>Megan's Income</t>
        </is>
      </c>
      <c r="B9" t="n">
        <v>0</v>
      </c>
      <c r="D9" t="n">
        <v>0</v>
      </c>
      <c r="E9" s="5" t="n">
        <v>0</v>
      </c>
    </row>
    <row r="10">
      <c r="A10" t="inlineStr">
        <is>
          <t>EBITDA</t>
        </is>
      </c>
      <c r="B10">
        <f>SUM(B4:B9)</f>
        <v/>
      </c>
      <c r="C10">
        <f>SUM(C4:C9)</f>
        <v/>
      </c>
      <c r="D10">
        <f>SUM(D4:D9)</f>
        <v/>
      </c>
      <c r="E10">
        <f>SUM(E4:E9)</f>
        <v/>
      </c>
    </row>
    <row r="11"/>
    <row r="12">
      <c r="A12" s="6" t="inlineStr">
        <is>
          <t>Notes: E4 Monarch paycheck cash ≠ W-2 Box 1. E5 216 Oak Park LTR cash $19500.00 (Delach + Ava co-tenant CONFIRMED + Joan; vacant Oct + half Nov; half-Nov $975 WAIT 8507). E6 PLATFORM STR net LOCKED. E7 GCM 1099-NEC $21,500 on GCM tab only — NOT EPGC Consultant (reimbursements excluded; May 22 CONFIRMED). E8 Art net $0 until Sale 6428 Cost is filled (Sale Price $11,000 on Art Sales, check to Megan). Not tax advice.</t>
        </is>
      </c>
    </row>
    <row r="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2026-09-18T20:54:19Z</dcterms:created>
  <dcterms:modified xsi:type="dcterms:W3CDTF">2026-09-18T20:54:19Z</dcterms:modified>
</cp:coreProperties>
</file>