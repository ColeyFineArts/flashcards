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24 Ferdinand Ave, Uni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2" fontId="0" fillId="0" borderId="0" pivotButton="0" quotePrefix="0" xfId="0"/>
    <xf numFmtId="2" fontId="0" fillId="3" borderId="0" pivotButton="0" quotePrefix="0" xfId="0"/>
    <xf numFmtId="2" fontId="0" fillId="4" borderId="0" pivotButton="0" quotePrefix="0" xfId="0"/>
    <xf numFmtId="0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36" customWidth="1" min="2" max="2"/>
  </cols>
  <sheetData>
    <row r="1">
      <c r="B1" t="inlineStr">
        <is>
          <t>PROPERTY ADDRESS</t>
        </is>
      </c>
      <c r="C1" t="inlineStr">
        <is>
          <t>524 Ferdinand Avenue, Unit 1 (residence through sale 2025-12-18)</t>
        </is>
      </c>
    </row>
    <row r="2">
      <c r="B2" t="inlineStr">
        <is>
          <t>INCOME</t>
        </is>
      </c>
      <c r="C2" s="1" t="inlineStr">
        <is>
          <t>JAN</t>
        </is>
      </c>
      <c r="D2" s="1" t="inlineStr">
        <is>
          <t>FEB</t>
        </is>
      </c>
      <c r="E2" s="1" t="inlineStr">
        <is>
          <t>MAR</t>
        </is>
      </c>
      <c r="F2" s="1" t="inlineStr">
        <is>
          <t>APR</t>
        </is>
      </c>
      <c r="G2" s="1" t="inlineStr">
        <is>
          <t>MAY</t>
        </is>
      </c>
      <c r="H2" s="1" t="inlineStr">
        <is>
          <t>JUN</t>
        </is>
      </c>
      <c r="I2" s="1" t="inlineStr">
        <is>
          <t>JUL</t>
        </is>
      </c>
      <c r="J2" s="1" t="inlineStr">
        <is>
          <t>AUG</t>
        </is>
      </c>
      <c r="K2" s="1" t="inlineStr">
        <is>
          <t>SEPT</t>
        </is>
      </c>
      <c r="L2" s="1" t="inlineStr">
        <is>
          <t>OCT</t>
        </is>
      </c>
      <c r="M2" s="1" t="inlineStr">
        <is>
          <t>NOV</t>
        </is>
      </c>
      <c r="N2" s="1" t="inlineStr">
        <is>
          <t>DEC</t>
        </is>
      </c>
      <c r="O2" s="1" t="inlineStr">
        <is>
          <t>2025 YR TOTAL</t>
        </is>
      </c>
    </row>
    <row r="3">
      <c r="B3" t="inlineStr">
        <is>
          <t>STR / RENTAL INCOME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>
        <f>SUM(C3:N3)</f>
        <v/>
      </c>
    </row>
    <row r="4">
      <c r="B4" t="inlineStr">
        <is>
          <t>OTHER INCOME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>
        <f>SUM(C4:N4)</f>
        <v/>
      </c>
    </row>
    <row r="5">
      <c r="B5" t="inlineStr">
        <is>
          <t>GROSS RENTAL INCOME</t>
        </is>
      </c>
      <c r="C5">
        <f>SUM(C3:C4)</f>
        <v/>
      </c>
      <c r="D5">
        <f>SUM(D3:D4)</f>
        <v/>
      </c>
      <c r="E5">
        <f>SUM(E3:E4)</f>
        <v/>
      </c>
      <c r="F5">
        <f>SUM(F3:F4)</f>
        <v/>
      </c>
      <c r="G5">
        <f>SUM(G3:G4)</f>
        <v/>
      </c>
      <c r="H5">
        <f>SUM(H3:H4)</f>
        <v/>
      </c>
      <c r="I5">
        <f>SUM(I3:I4)</f>
        <v/>
      </c>
      <c r="J5">
        <f>SUM(J3:J4)</f>
        <v/>
      </c>
      <c r="K5">
        <f>SUM(K3:K4)</f>
        <v/>
      </c>
      <c r="L5">
        <f>SUM(L3:L4)</f>
        <v/>
      </c>
      <c r="M5">
        <f>SUM(M3:M4)</f>
        <v/>
      </c>
      <c r="N5">
        <f>SUM(N3:N4)</f>
        <v/>
      </c>
      <c r="O5">
        <f>SUM(C5:N5)</f>
        <v/>
      </c>
    </row>
    <row r="6"/>
    <row r="7">
      <c r="B7" t="inlineStr">
        <is>
          <t>EXPENSES</t>
        </is>
      </c>
      <c r="C7" s="1" t="inlineStr">
        <is>
          <t>JAN</t>
        </is>
      </c>
      <c r="D7" s="1" t="inlineStr">
        <is>
          <t>FEB</t>
        </is>
      </c>
      <c r="E7" s="1" t="inlineStr">
        <is>
          <t>MAR</t>
        </is>
      </c>
      <c r="F7" s="1" t="inlineStr">
        <is>
          <t>APR</t>
        </is>
      </c>
      <c r="G7" s="1" t="inlineStr">
        <is>
          <t>MAY</t>
        </is>
      </c>
      <c r="H7" s="1" t="inlineStr">
        <is>
          <t>JUN</t>
        </is>
      </c>
      <c r="I7" s="1" t="inlineStr">
        <is>
          <t>JUL</t>
        </is>
      </c>
      <c r="J7" s="1" t="inlineStr">
        <is>
          <t>AUG</t>
        </is>
      </c>
      <c r="K7" s="1" t="inlineStr">
        <is>
          <t>SEPT</t>
        </is>
      </c>
      <c r="L7" s="1" t="inlineStr">
        <is>
          <t>OCT</t>
        </is>
      </c>
      <c r="M7" s="1" t="inlineStr">
        <is>
          <t>NOV</t>
        </is>
      </c>
      <c r="N7" s="1" t="inlineStr">
        <is>
          <t>DEC</t>
        </is>
      </c>
      <c r="O7" s="1" t="inlineStr">
        <is>
          <t>2025 YR TOTAL</t>
        </is>
      </c>
    </row>
    <row r="8">
      <c r="B8" t="inlineStr">
        <is>
          <t>MARKETING / ADVERTISING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>
        <f>SUM(C8:N8)</f>
        <v/>
      </c>
    </row>
    <row r="9">
      <c r="B9" t="inlineStr">
        <is>
          <t>SERVICE FEES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>
        <f>SUM(C9:N9)</f>
        <v/>
      </c>
    </row>
    <row r="10">
      <c r="B10" t="inlineStr">
        <is>
          <t>REMITTED TAX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>
        <f>SUM(C10:N10)</f>
        <v/>
      </c>
    </row>
    <row r="11">
      <c r="B11" t="inlineStr">
        <is>
          <t>INSURANCE</t>
        </is>
      </c>
      <c r="C11" s="3" t="n">
        <v>0</v>
      </c>
      <c r="D11" s="4" t="n">
        <v>78.76000000000001</v>
      </c>
      <c r="E11" s="4" t="n">
        <v>78.75</v>
      </c>
      <c r="F11" s="4" t="n">
        <v>78.75</v>
      </c>
      <c r="G11" s="4" t="n">
        <v>78.75</v>
      </c>
      <c r="H11" s="4" t="n">
        <v>78.75</v>
      </c>
      <c r="I11" s="4" t="n">
        <v>78.75</v>
      </c>
      <c r="J11" s="4" t="n">
        <v>80.19</v>
      </c>
      <c r="K11" s="3" t="n">
        <v>0</v>
      </c>
      <c r="L11" s="3" t="n">
        <v>0</v>
      </c>
      <c r="M11" s="3" t="n">
        <v>0</v>
      </c>
      <c r="N11" s="3" t="n">
        <v>0</v>
      </c>
      <c r="O11">
        <f>SUM(C11:N11)</f>
        <v/>
      </c>
    </row>
    <row r="12">
      <c r="B12" t="inlineStr">
        <is>
          <t>INTERIOR MAINTENANCE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>
        <f>SUM(C12:N12)</f>
        <v/>
      </c>
    </row>
    <row r="13">
      <c r="B13" t="inlineStr">
        <is>
          <t>EXTERIOR REPAIRS</t>
        </is>
      </c>
      <c r="C13" s="2" t="n">
        <v>0</v>
      </c>
      <c r="D13" s="5" t="n">
        <v>66.56</v>
      </c>
      <c r="E13" s="5" t="n">
        <v>688.6</v>
      </c>
      <c r="F13" s="5" t="n">
        <v>39.57</v>
      </c>
      <c r="G13" s="2" t="n">
        <v>0</v>
      </c>
      <c r="H13" s="2" t="n">
        <v>0</v>
      </c>
      <c r="I13" s="5" t="n">
        <v>50.99</v>
      </c>
      <c r="J13" s="2" t="n">
        <v>0</v>
      </c>
      <c r="K13" s="5" t="n">
        <v>34.86</v>
      </c>
      <c r="L13" s="5" t="n">
        <v>68.48</v>
      </c>
      <c r="M13" s="5" t="n">
        <v>32.33</v>
      </c>
      <c r="N13" s="2" t="n">
        <v>0</v>
      </c>
      <c r="O13">
        <f>SUM(C13:N13)</f>
        <v/>
      </c>
    </row>
    <row r="14">
      <c r="B14" t="inlineStr">
        <is>
          <t>VILLAGE WATER AND REFUSE</t>
        </is>
      </c>
      <c r="C14" s="4" t="n">
        <v>0</v>
      </c>
      <c r="D14" s="5" t="n">
        <v>100.55</v>
      </c>
      <c r="E14" s="4" t="n">
        <v>0</v>
      </c>
      <c r="F14" s="5" t="n">
        <v>90.67</v>
      </c>
      <c r="G14" s="4" t="n">
        <v>0</v>
      </c>
      <c r="H14" s="5" t="n">
        <v>112.83</v>
      </c>
      <c r="I14" s="4" t="n">
        <v>0</v>
      </c>
      <c r="J14" s="5" t="n">
        <v>137.63</v>
      </c>
      <c r="K14" s="4" t="n">
        <v>0</v>
      </c>
      <c r="L14" s="5" t="n">
        <v>132.76</v>
      </c>
      <c r="M14" s="4" t="n">
        <v>0</v>
      </c>
      <c r="N14" s="4" t="n">
        <v>0</v>
      </c>
      <c r="O14">
        <f>SUM(C14:N14)</f>
        <v/>
      </c>
    </row>
    <row r="15">
      <c r="B15" t="inlineStr">
        <is>
          <t>GAS</t>
        </is>
      </c>
      <c r="C15" s="5" t="n">
        <v>98.56999999999999</v>
      </c>
      <c r="D15" s="5" t="n">
        <v>133.33</v>
      </c>
      <c r="E15" s="5" t="n">
        <v>115.82</v>
      </c>
      <c r="F15" s="5" t="n">
        <v>77.8</v>
      </c>
      <c r="G15" s="5" t="n">
        <v>79.95</v>
      </c>
      <c r="H15" s="5" t="n">
        <v>48.08</v>
      </c>
      <c r="I15" s="4" t="n">
        <v>0</v>
      </c>
      <c r="J15" s="5" t="n">
        <v>79.33</v>
      </c>
      <c r="K15" s="5" t="n">
        <v>36.25</v>
      </c>
      <c r="L15" s="5" t="n">
        <v>38.22</v>
      </c>
      <c r="M15" s="4" t="n">
        <v>0</v>
      </c>
      <c r="N15" s="5" t="n">
        <v>139.35</v>
      </c>
      <c r="O15">
        <f>SUM(C15:N15)</f>
        <v/>
      </c>
    </row>
    <row r="16">
      <c r="B16" t="inlineStr">
        <is>
          <t>ELECTRIC</t>
        </is>
      </c>
      <c r="C16" s="4" t="n">
        <v>132.94</v>
      </c>
      <c r="D16" s="4" t="n">
        <v>216.44</v>
      </c>
      <c r="E16" s="4" t="n">
        <v>184.09</v>
      </c>
      <c r="F16" s="4" t="n">
        <v>60.95</v>
      </c>
      <c r="G16" s="4" t="n">
        <v>83.76000000000001</v>
      </c>
      <c r="H16" s="4" t="n">
        <v>69.69</v>
      </c>
      <c r="I16" s="4" t="n">
        <v>164.88</v>
      </c>
      <c r="J16" s="4" t="n">
        <v>203.43</v>
      </c>
      <c r="K16" s="4" t="n">
        <v>187.63</v>
      </c>
      <c r="L16" s="4" t="n">
        <v>139.78</v>
      </c>
      <c r="M16" s="4" t="n">
        <v>71.29000000000001</v>
      </c>
      <c r="N16" s="4" t="n">
        <v>50.38</v>
      </c>
      <c r="O16">
        <f>SUM(C16:N16)</f>
        <v/>
      </c>
    </row>
    <row r="17">
      <c r="B17" t="inlineStr">
        <is>
          <t>INTERNET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>
        <f>SUM(C17:N17)</f>
        <v/>
      </c>
    </row>
    <row r="18">
      <c r="B18" t="inlineStr">
        <is>
          <t>CLEANING / TURNOVER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>
        <f>SUM(C18:N18)</f>
        <v/>
      </c>
    </row>
    <row r="19">
      <c r="B19" t="inlineStr">
        <is>
          <t>SUPPLIES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>
        <f>SUM(C19:N19)</f>
        <v/>
      </c>
    </row>
    <row r="20">
      <c r="B20" t="inlineStr">
        <is>
          <t>EQUIPMENT/APPLIANCE PURCHASES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>
        <f>SUM(C20:N20)</f>
        <v/>
      </c>
    </row>
    <row r="21">
      <c r="B21" t="inlineStr">
        <is>
          <t>LAND TAX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>
        <f>SUM(C21:N21)</f>
        <v/>
      </c>
    </row>
    <row r="22">
      <c r="B22" t="inlineStr">
        <is>
          <t>LOANS INTEREST (from 1098)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>
        <f>SUM(C22:N22)</f>
        <v/>
      </c>
    </row>
    <row r="23">
      <c r="B23" t="inlineStr">
        <is>
          <t>MORTGAGE (cash P+I — memo only)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>
        <f>SUM(C23:N23)</f>
        <v/>
      </c>
    </row>
    <row r="24">
      <c r="B24" t="inlineStr">
        <is>
          <t>HOA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>
        <f>SUM(C24:N24)</f>
        <v/>
      </c>
    </row>
    <row r="25">
      <c r="B25" t="inlineStr">
        <is>
          <t>OTHER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>
        <f>SUM(C25:N25)</f>
        <v/>
      </c>
    </row>
    <row r="26">
      <c r="B26" t="inlineStr">
        <is>
          <t>TOTAL EXPENSES</t>
        </is>
      </c>
      <c r="C26">
        <f>SUM(C8:C25)</f>
        <v/>
      </c>
      <c r="D26">
        <f>SUM(D8:D25)</f>
        <v/>
      </c>
      <c r="E26">
        <f>SUM(E8:E25)</f>
        <v/>
      </c>
      <c r="F26">
        <f>SUM(F8:F25)</f>
        <v/>
      </c>
      <c r="G26">
        <f>SUM(G8:G25)</f>
        <v/>
      </c>
      <c r="H26">
        <f>SUM(H8:H25)</f>
        <v/>
      </c>
      <c r="I26">
        <f>SUM(I8:I25)</f>
        <v/>
      </c>
      <c r="J26">
        <f>SUM(J8:J25)</f>
        <v/>
      </c>
      <c r="K26">
        <f>SUM(K8:K25)</f>
        <v/>
      </c>
      <c r="L26">
        <f>SUM(L8:L25)</f>
        <v/>
      </c>
      <c r="M26">
        <f>SUM(M8:M25)</f>
        <v/>
      </c>
      <c r="N26">
        <f>SUM(N8:N25)</f>
        <v/>
      </c>
      <c r="O26">
        <f>SUM(C26:N26)</f>
        <v/>
      </c>
    </row>
    <row r="27"/>
    <row r="28">
      <c r="B28" t="inlineStr">
        <is>
          <t>YEAR-TO-DATE INCOME LESS EXPENSES</t>
        </is>
      </c>
      <c r="C28">
        <f>C5-C26</f>
        <v/>
      </c>
      <c r="D28">
        <f>D5-D26</f>
        <v/>
      </c>
      <c r="E28">
        <f>E5-E26</f>
        <v/>
      </c>
      <c r="F28">
        <f>F5-F26</f>
        <v/>
      </c>
      <c r="G28">
        <f>G5-G26</f>
        <v/>
      </c>
      <c r="H28">
        <f>H5-H26</f>
        <v/>
      </c>
      <c r="I28">
        <f>I5-I26</f>
        <v/>
      </c>
      <c r="J28">
        <f>J5-J26</f>
        <v/>
      </c>
      <c r="K28">
        <f>K5-K26</f>
        <v/>
      </c>
      <c r="L28">
        <f>L5-L26</f>
        <v/>
      </c>
      <c r="M28">
        <f>M5-M26</f>
        <v/>
      </c>
      <c r="N28">
        <f>N5-N26</f>
        <v/>
      </c>
      <c r="O28">
        <f>SUM(C28:N28)</f>
        <v/>
      </c>
    </row>
    <row r="29"/>
    <row r="30">
      <c r="B30" s="6" t="inlineStr">
        <is>
          <t>§121 residence through sale 2025-12-18. Nicor large / water 50/50 CONFIRMED. March HD + remaining HD/Lowe’s/IKEA 524-share → EXTERIOR REPAIRS (U1 $981.39). ELECTRIC yellow — REMIND JACOB: double-check ComEd with Megan (checking ACH INDN Megan Gerrard $1,565.26; paid ACH and/or check?). Internet still $0 on this tab (Prime ATT on Unit 2). State Farm: bundled home+auto (was Travelers home / Geico auto). Only HOME share on this INSURANCE line (50/50 with Unit 2, yellow proxy). Auto + Geico credit personal. Not tax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2026-09-18T20:54:19Z</dcterms:created>
  <dcterms:modified xsi:type="dcterms:W3CDTF">2026-09-18T20:54:19Z</dcterms:modified>
</cp:coreProperties>
</file>