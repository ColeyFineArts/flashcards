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6 N. Oak Park A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5F5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2" fontId="0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s="2" t="n">
        <v>1950</v>
      </c>
      <c r="D3" s="2" t="n">
        <v>1950</v>
      </c>
      <c r="E3" s="2" t="n">
        <v>1950</v>
      </c>
      <c r="F3" s="2" t="n">
        <v>1950</v>
      </c>
      <c r="G3" s="2" t="n">
        <v>1950</v>
      </c>
      <c r="H3" s="2" t="n">
        <v>1950</v>
      </c>
      <c r="I3" s="2" t="n">
        <v>1450</v>
      </c>
      <c r="J3" s="2" t="n">
        <v>2450</v>
      </c>
      <c r="K3" s="2" t="n">
        <v>0</v>
      </c>
      <c r="L3" s="2" t="n">
        <v>0</v>
      </c>
      <c r="M3" s="2" t="n">
        <v>0</v>
      </c>
      <c r="N3" s="2" t="n">
        <v>3900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>
        <f>SUM(C8:N8)</f>
        <v/>
      </c>
    </row>
    <row r="9">
      <c r="B9" t="inlineStr">
        <is>
          <t>SERVICE FEES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>
        <f>SUM(C9:N9)</f>
        <v/>
      </c>
    </row>
    <row r="10">
      <c r="B10" t="inlineStr">
        <is>
          <t>REMITTED TAX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>
        <f>SUM(C10:N10)</f>
        <v/>
      </c>
    </row>
    <row r="11">
      <c r="B11" t="inlineStr">
        <is>
          <t>INSURANCE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>
        <f>SUM(C11:N11)</f>
        <v/>
      </c>
    </row>
    <row r="12">
      <c r="B12" t="inlineStr">
        <is>
          <t>INTERIOR MAINTENANCE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>
        <f>SUM(C12:N12)</f>
        <v/>
      </c>
    </row>
    <row r="13">
      <c r="B13" t="inlineStr">
        <is>
          <t>EXTERIOR REPAIRS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>
        <f>SUM(C13:N13)</f>
        <v/>
      </c>
    </row>
    <row r="14">
      <c r="B14" t="inlineStr">
        <is>
          <t>VILLAGE WATER AND REFUSE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>
        <f>SUM(C14:N14)</f>
        <v/>
      </c>
    </row>
    <row r="15">
      <c r="B15" t="inlineStr">
        <is>
          <t>GAS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>
        <f>SUM(C15:N15)</f>
        <v/>
      </c>
    </row>
    <row r="16">
      <c r="B16" t="inlineStr">
        <is>
          <t>ELECTRIC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>
        <f>SUM(C16:N16)</f>
        <v/>
      </c>
    </row>
    <row r="17">
      <c r="B17" t="inlineStr">
        <is>
          <t>INTERNET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>
        <f>SUM(C17:N17)</f>
        <v/>
      </c>
    </row>
    <row r="18">
      <c r="B18" t="inlineStr">
        <is>
          <t>CLEANING / TURNOVER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>
        <f>SUM(C18:N18)</f>
        <v/>
      </c>
    </row>
    <row r="19">
      <c r="B19" t="inlineStr">
        <is>
          <t>SUPPLIES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>
        <f>SUM(C19:N19)</f>
        <v/>
      </c>
    </row>
    <row r="20">
      <c r="B20" t="inlineStr">
        <is>
          <t>EQUIPMENT/APPLIANCE PURCHASES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>
        <f>SUM(C20:N20)</f>
        <v/>
      </c>
    </row>
    <row r="21">
      <c r="B21" t="inlineStr">
        <is>
          <t>LAND TAX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>
        <f>SUM(C21:N21)</f>
        <v/>
      </c>
    </row>
    <row r="22">
      <c r="B22" t="inlineStr">
        <is>
          <t>LOANS INTEREST (from 1098)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4" t="n">
        <v>1226.25</v>
      </c>
      <c r="J23" s="4" t="n">
        <v>1226.25</v>
      </c>
      <c r="K23" s="4" t="n">
        <v>1226.25</v>
      </c>
      <c r="L23" s="4" t="n">
        <v>1226.25</v>
      </c>
      <c r="M23" s="4" t="n">
        <v>1177.52</v>
      </c>
      <c r="N23" s="4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4" t="n">
        <v>421.53</v>
      </c>
      <c r="I24" s="4" t="n">
        <v>421.53</v>
      </c>
      <c r="J24" s="4" t="n">
        <v>421.53</v>
      </c>
      <c r="K24" s="4" t="n">
        <v>421.53</v>
      </c>
      <c r="L24" s="4" t="n">
        <v>421.53</v>
      </c>
      <c r="M24" s="4" t="n">
        <v>421.53</v>
      </c>
      <c r="N24" s="4" t="n">
        <v>421.53</v>
      </c>
      <c r="O24">
        <f>SUM(C24:N24)</f>
        <v/>
      </c>
    </row>
    <row r="25">
      <c r="B25" t="inlineStr">
        <is>
          <t>OTHER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5" t="inlineStr">
        <is>
          <t>LTR rent 2026-09-18: joint 0203 Zelle — Delach $1,450 + Ava $500 (yellow, ASK roommate) Feb–Sep cash, then Joan $1,950 on 12/1 and 12/31 (yellow, ASK Dec vs Jan-2026 prepaid). TY2025 cash $19500.00. Oct–Nov no rent on 0203 (ASK vacancy). Jan 2025 occupancy was paid 12/31/2024 — not in this year. HOA + Rocket payment cash from Monarch (green). Deduct interest from Rocket 1098 only — not full P+I.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