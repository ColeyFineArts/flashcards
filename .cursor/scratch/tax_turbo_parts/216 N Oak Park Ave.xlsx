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6 N. Oak Park A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2" fontId="0" fillId="3" borderId="0" pivotButton="0" quotePrefix="0" xfId="0"/>
    <xf numFmtId="2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cols>
    <col width="36" customWidth="1" min="2" max="2"/>
  </cols>
  <sheetData>
    <row r="1">
      <c r="B1" t="inlineStr">
        <is>
          <t>PROPERTY ADDRESS</t>
        </is>
      </c>
      <c r="C1" t="inlineStr">
        <is>
          <t>216 N. Oak Park Avenue #1Z (LTR)</t>
        </is>
      </c>
    </row>
    <row r="2">
      <c r="B2" t="inlineStr">
        <is>
          <t>INCOME</t>
        </is>
      </c>
      <c r="C2" s="1" t="inlineStr">
        <is>
          <t>JAN</t>
        </is>
      </c>
      <c r="D2" s="1" t="inlineStr">
        <is>
          <t>FEB</t>
        </is>
      </c>
      <c r="E2" s="1" t="inlineStr">
        <is>
          <t>MAR</t>
        </is>
      </c>
      <c r="F2" s="1" t="inlineStr">
        <is>
          <t>APR</t>
        </is>
      </c>
      <c r="G2" s="1" t="inlineStr">
        <is>
          <t>MAY</t>
        </is>
      </c>
      <c r="H2" s="1" t="inlineStr">
        <is>
          <t>JUN</t>
        </is>
      </c>
      <c r="I2" s="1" t="inlineStr">
        <is>
          <t>JUL</t>
        </is>
      </c>
      <c r="J2" s="1" t="inlineStr">
        <is>
          <t>AUG</t>
        </is>
      </c>
      <c r="K2" s="1" t="inlineStr">
        <is>
          <t>SEPT</t>
        </is>
      </c>
      <c r="L2" s="1" t="inlineStr">
        <is>
          <t>OCT</t>
        </is>
      </c>
      <c r="M2" s="1" t="inlineStr">
        <is>
          <t>NOV</t>
        </is>
      </c>
      <c r="N2" s="1" t="inlineStr">
        <is>
          <t>DEC</t>
        </is>
      </c>
      <c r="O2" s="1" t="inlineStr">
        <is>
          <t>2025 YR TOTAL</t>
        </is>
      </c>
    </row>
    <row r="3">
      <c r="B3" t="inlineStr">
        <is>
          <t>STR / RENTAL INCOME</t>
        </is>
      </c>
      <c r="C3" s="2" t="n">
        <v>1950</v>
      </c>
      <c r="D3" s="2" t="n">
        <v>1950</v>
      </c>
      <c r="E3" s="2" t="n">
        <v>1950</v>
      </c>
      <c r="F3" s="2" t="n">
        <v>1950</v>
      </c>
      <c r="G3" s="2" t="n">
        <v>1950</v>
      </c>
      <c r="H3" s="2" t="n">
        <v>1950</v>
      </c>
      <c r="I3" s="2" t="n">
        <v>1450</v>
      </c>
      <c r="J3" s="2" t="n">
        <v>2450</v>
      </c>
      <c r="K3" s="3" t="n">
        <v>0</v>
      </c>
      <c r="L3" s="3" t="n">
        <v>0</v>
      </c>
      <c r="M3" s="3" t="n">
        <v>0</v>
      </c>
      <c r="N3" s="2" t="n">
        <v>3900</v>
      </c>
      <c r="O3">
        <f>SUM(C3:N3)</f>
        <v/>
      </c>
    </row>
    <row r="4">
      <c r="B4" t="inlineStr">
        <is>
          <t>OTHER INCOME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>
        <f>SUM(C4:N4)</f>
        <v/>
      </c>
    </row>
    <row r="5">
      <c r="B5" t="inlineStr">
        <is>
          <t>GROSS RENTAL INCOME</t>
        </is>
      </c>
      <c r="C5">
        <f>SUM(C3:C4)</f>
        <v/>
      </c>
      <c r="D5">
        <f>SUM(D3:D4)</f>
        <v/>
      </c>
      <c r="E5">
        <f>SUM(E3:E4)</f>
        <v/>
      </c>
      <c r="F5">
        <f>SUM(F3:F4)</f>
        <v/>
      </c>
      <c r="G5">
        <f>SUM(G3:G4)</f>
        <v/>
      </c>
      <c r="H5">
        <f>SUM(H3:H4)</f>
        <v/>
      </c>
      <c r="I5">
        <f>SUM(I3:I4)</f>
        <v/>
      </c>
      <c r="J5">
        <f>SUM(J3:J4)</f>
        <v/>
      </c>
      <c r="K5">
        <f>SUM(K3:K4)</f>
        <v/>
      </c>
      <c r="L5">
        <f>SUM(L3:L4)</f>
        <v/>
      </c>
      <c r="M5">
        <f>SUM(M3:M4)</f>
        <v/>
      </c>
      <c r="N5">
        <f>SUM(N3:N4)</f>
        <v/>
      </c>
      <c r="O5">
        <f>SUM(C5:N5)</f>
        <v/>
      </c>
    </row>
    <row r="6"/>
    <row r="7">
      <c r="B7" t="inlineStr">
        <is>
          <t>EXPENSES</t>
        </is>
      </c>
      <c r="C7" s="1" t="inlineStr">
        <is>
          <t>JAN</t>
        </is>
      </c>
      <c r="D7" s="1" t="inlineStr">
        <is>
          <t>FEB</t>
        </is>
      </c>
      <c r="E7" s="1" t="inlineStr">
        <is>
          <t>MAR</t>
        </is>
      </c>
      <c r="F7" s="1" t="inlineStr">
        <is>
          <t>APR</t>
        </is>
      </c>
      <c r="G7" s="1" t="inlineStr">
        <is>
          <t>MAY</t>
        </is>
      </c>
      <c r="H7" s="1" t="inlineStr">
        <is>
          <t>JUN</t>
        </is>
      </c>
      <c r="I7" s="1" t="inlineStr">
        <is>
          <t>JUL</t>
        </is>
      </c>
      <c r="J7" s="1" t="inlineStr">
        <is>
          <t>AUG</t>
        </is>
      </c>
      <c r="K7" s="1" t="inlineStr">
        <is>
          <t>SEPT</t>
        </is>
      </c>
      <c r="L7" s="1" t="inlineStr">
        <is>
          <t>OCT</t>
        </is>
      </c>
      <c r="M7" s="1" t="inlineStr">
        <is>
          <t>NOV</t>
        </is>
      </c>
      <c r="N7" s="1" t="inlineStr">
        <is>
          <t>DEC</t>
        </is>
      </c>
      <c r="O7" s="1" t="inlineStr">
        <is>
          <t>2025 YR TOTAL</t>
        </is>
      </c>
    </row>
    <row r="8">
      <c r="B8" t="inlineStr">
        <is>
          <t>MARKETING / ADVERTISING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>
        <f>SUM(C8:N8)</f>
        <v/>
      </c>
    </row>
    <row r="9">
      <c r="B9" t="inlineStr">
        <is>
          <t>SERVICE FEES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>
        <f>SUM(C9:N9)</f>
        <v/>
      </c>
    </row>
    <row r="10">
      <c r="B10" t="inlineStr">
        <is>
          <t>REMITTED TAX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>
        <f>SUM(C10:N10)</f>
        <v/>
      </c>
    </row>
    <row r="11">
      <c r="B11" t="inlineStr">
        <is>
          <t>INSURANCE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>
        <f>SUM(C11:N11)</f>
        <v/>
      </c>
    </row>
    <row r="12">
      <c r="B12" t="inlineStr">
        <is>
          <t>INTERIOR MAINTENANCE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2" t="n">
        <v>675</v>
      </c>
      <c r="O12">
        <f>SUM(C12:N12)</f>
        <v/>
      </c>
    </row>
    <row r="13">
      <c r="B13" t="inlineStr">
        <is>
          <t>EXTERIOR REPAIRS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>
        <f>SUM(C13:N13)</f>
        <v/>
      </c>
    </row>
    <row r="14">
      <c r="B14" t="inlineStr">
        <is>
          <t>VILLAGE WATER AND REFUSE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>
        <f>SUM(C14:N14)</f>
        <v/>
      </c>
    </row>
    <row r="15">
      <c r="B15" t="inlineStr">
        <is>
          <t>GAS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>
        <f>SUM(C15:N15)</f>
        <v/>
      </c>
    </row>
    <row r="16">
      <c r="B16" t="inlineStr">
        <is>
          <t>ELECTRIC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>
        <f>SUM(C16:N16)</f>
        <v/>
      </c>
    </row>
    <row r="17">
      <c r="B17" t="inlineStr">
        <is>
          <t>INTERNET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>
        <f>SUM(C17:N17)</f>
        <v/>
      </c>
    </row>
    <row r="18">
      <c r="B18" t="inlineStr">
        <is>
          <t>CLEANING / TURNOVER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>
        <f>SUM(C18:N18)</f>
        <v/>
      </c>
    </row>
    <row r="19">
      <c r="B19" t="inlineStr">
        <is>
          <t>SUPPLIES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>
        <f>SUM(C19:N19)</f>
        <v/>
      </c>
    </row>
    <row r="20">
      <c r="B20" t="inlineStr">
        <is>
          <t>EQUIPMENT/APPLIANCE PURCHASES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>
        <f>SUM(C20:N20)</f>
        <v/>
      </c>
    </row>
    <row r="21">
      <c r="B21" t="inlineStr">
        <is>
          <t>LAND TAX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>
        <f>SUM(C21:N21)</f>
        <v/>
      </c>
    </row>
    <row r="22">
      <c r="B22" t="inlineStr">
        <is>
          <t>LOANS INTEREST (from 1098)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>
        <f>SUM(C22:N22)</f>
        <v/>
      </c>
    </row>
    <row r="23">
      <c r="B23" t="inlineStr">
        <is>
          <t>MORTGAGE (cash P+I — memo only)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5" t="n">
        <v>1226.25</v>
      </c>
      <c r="J23" s="5" t="n">
        <v>1226.25</v>
      </c>
      <c r="K23" s="5" t="n">
        <v>1226.25</v>
      </c>
      <c r="L23" s="5" t="n">
        <v>1226.25</v>
      </c>
      <c r="M23" s="5" t="n">
        <v>1177.52</v>
      </c>
      <c r="N23" s="5" t="n">
        <v>1177.52</v>
      </c>
      <c r="O23">
        <f>SUM(C23:N23)</f>
        <v/>
      </c>
    </row>
    <row r="24">
      <c r="B24" t="inlineStr">
        <is>
          <t>HOA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s="5" t="n">
        <v>421.53</v>
      </c>
      <c r="I24" s="5" t="n">
        <v>421.53</v>
      </c>
      <c r="J24" s="5" t="n">
        <v>421.53</v>
      </c>
      <c r="K24" s="5" t="n">
        <v>421.53</v>
      </c>
      <c r="L24" s="5" t="n">
        <v>421.53</v>
      </c>
      <c r="M24" s="5" t="n">
        <v>421.53</v>
      </c>
      <c r="N24" s="5" t="n">
        <v>421.53</v>
      </c>
      <c r="O24">
        <f>SUM(C24:N24)</f>
        <v/>
      </c>
    </row>
    <row r="25">
      <c r="B25" t="inlineStr">
        <is>
          <t>OTHER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>
        <f>SUM(C25:N25)</f>
        <v/>
      </c>
    </row>
    <row r="26">
      <c r="B26" t="inlineStr">
        <is>
          <t>TOTAL EXPENSES</t>
        </is>
      </c>
      <c r="C26">
        <f>SUM(C8:C25)</f>
        <v/>
      </c>
      <c r="D26">
        <f>SUM(D8:D25)</f>
        <v/>
      </c>
      <c r="E26">
        <f>SUM(E8:E25)</f>
        <v/>
      </c>
      <c r="F26">
        <f>SUM(F8:F25)</f>
        <v/>
      </c>
      <c r="G26">
        <f>SUM(G8:G25)</f>
        <v/>
      </c>
      <c r="H26">
        <f>SUM(H8:H25)</f>
        <v/>
      </c>
      <c r="I26">
        <f>SUM(I8:I25)</f>
        <v/>
      </c>
      <c r="J26">
        <f>SUM(J8:J25)</f>
        <v/>
      </c>
      <c r="K26">
        <f>SUM(K8:K25)</f>
        <v/>
      </c>
      <c r="L26">
        <f>SUM(L8:L25)</f>
        <v/>
      </c>
      <c r="M26">
        <f>SUM(M8:M25)</f>
        <v/>
      </c>
      <c r="N26">
        <f>SUM(N8:N25)</f>
        <v/>
      </c>
      <c r="O26">
        <f>SUM(C26:N26)</f>
        <v/>
      </c>
    </row>
    <row r="27"/>
    <row r="28">
      <c r="B28" t="inlineStr">
        <is>
          <t>YEAR-TO-DATE INCOME LESS EXPENSES</t>
        </is>
      </c>
      <c r="C28">
        <f>C5-C26</f>
        <v/>
      </c>
      <c r="D28">
        <f>D5-D26</f>
        <v/>
      </c>
      <c r="E28">
        <f>E5-E26</f>
        <v/>
      </c>
      <c r="F28">
        <f>F5-F26</f>
        <v/>
      </c>
      <c r="G28">
        <f>G5-G26</f>
        <v/>
      </c>
      <c r="H28">
        <f>H5-H26</f>
        <v/>
      </c>
      <c r="I28">
        <f>I5-I26</f>
        <v/>
      </c>
      <c r="J28">
        <f>J5-J26</f>
        <v/>
      </c>
      <c r="K28">
        <f>K5-K26</f>
        <v/>
      </c>
      <c r="L28">
        <f>L5-L26</f>
        <v/>
      </c>
      <c r="M28">
        <f>M5-M26</f>
        <v/>
      </c>
      <c r="N28">
        <f>N5-N26</f>
        <v/>
      </c>
      <c r="O28">
        <f>SUM(C28:N28)</f>
        <v/>
      </c>
    </row>
    <row r="29"/>
    <row r="30">
      <c r="B30" s="6" t="inlineStr">
        <is>
          <t>LTR after answers 2026-09-18: Ava CONFIRMED Delach co-tenant — keep $500/mo. TY2025 cash $19500.00 (Delach $11,600 + Ava $4,000 + Joan $3,900). Occupancy vacant October and half of November (held for rent). Joan half-Nov $975 NOT booked — not on 0203, WAIT 8507. 12/1 $1,950 IN = December occupancy cash; 12/31 $1,950 = Jan 2026 prepaid cash in TY2025. 12/1 8507 Zelle OUT $675 to Joan → INTERIOR MAINTENANCE (repair). Jan 2025 occupancy was paid 12/31/2024 — not in this year. HOA + Rocket payment cash from Monarch (green). Deduct interest from Rocket 1098 only — not full P+I. Not tax advice.</t>
        </is>
      </c>
    </row>
    <row r="31"/>
    <row r="32"/>
    <row r="33"/>
    <row r="34"/>
    <row r="35"/>
    <row r="36"/>
    <row r="37"/>
    <row r="38"/>
    <row r="39"/>
    <row r="4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2026-09-18T20:54:19Z</dcterms:created>
  <dcterms:modified xsi:type="dcterms:W3CDTF">2026-09-18T20:54:19Z</dcterms:modified>
</cp:coreProperties>
</file>