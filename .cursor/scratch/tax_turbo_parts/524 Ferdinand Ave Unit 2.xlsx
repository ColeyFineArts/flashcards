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4 Ferdinand Ave, Uni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2" fontId="0" fillId="5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524 Ferdinand Avenue, Unit 2 (STR)</t>
        </is>
      </c>
    </row>
    <row r="2">
      <c r="B2" t="inlineStr">
        <is>
          <t>INCOME</t>
        </is>
      </c>
      <c r="C2" s="1" t="inlineStr">
        <is>
          <t>JAN</t>
        </is>
      </c>
      <c r="D2" s="1" t="inlineStr">
        <is>
          <t>FEB</t>
        </is>
      </c>
      <c r="E2" s="1" t="inlineStr">
        <is>
          <t>MAR</t>
        </is>
      </c>
      <c r="F2" s="1" t="inlineStr">
        <is>
          <t>APR</t>
        </is>
      </c>
      <c r="G2" s="1" t="inlineStr">
        <is>
          <t>MAY</t>
        </is>
      </c>
      <c r="H2" s="1" t="inlineStr">
        <is>
          <t>JUN</t>
        </is>
      </c>
      <c r="I2" s="1" t="inlineStr">
        <is>
          <t>JUL</t>
        </is>
      </c>
      <c r="J2" s="1" t="inlineStr">
        <is>
          <t>AUG</t>
        </is>
      </c>
      <c r="K2" s="1" t="inlineStr">
        <is>
          <t>SEPT</t>
        </is>
      </c>
      <c r="L2" s="1" t="inlineStr">
        <is>
          <t>OCT</t>
        </is>
      </c>
      <c r="M2" s="1" t="inlineStr">
        <is>
          <t>NOV</t>
        </is>
      </c>
      <c r="N2" s="1" t="inlineStr">
        <is>
          <t>DEC</t>
        </is>
      </c>
      <c r="O2" s="1" t="inlineStr">
        <is>
          <t>2025 YR TOTAL</t>
        </is>
      </c>
    </row>
    <row r="3">
      <c r="B3" t="inlineStr">
        <is>
          <t>STR / RENTAL INCOME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s="2" t="n">
        <v>3479.6</v>
      </c>
      <c r="I3" s="2" t="n">
        <v>3180.81</v>
      </c>
      <c r="J3" s="2" t="n">
        <v>1757.5</v>
      </c>
      <c r="K3" s="2" t="n">
        <v>2690.16</v>
      </c>
      <c r="L3" s="2" t="n">
        <v>1261.64</v>
      </c>
      <c r="M3" s="2" t="n">
        <v>1509.84</v>
      </c>
      <c r="N3" t="n">
        <v>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6"/>
    <row r="7">
      <c r="B7" t="inlineStr">
        <is>
          <t>EXPENSES</t>
        </is>
      </c>
      <c r="C7" s="1" t="inlineStr">
        <is>
          <t>JAN</t>
        </is>
      </c>
      <c r="D7" s="1" t="inlineStr">
        <is>
          <t>FEB</t>
        </is>
      </c>
      <c r="E7" s="1" t="inlineStr">
        <is>
          <t>MAR</t>
        </is>
      </c>
      <c r="F7" s="1" t="inlineStr">
        <is>
          <t>APR</t>
        </is>
      </c>
      <c r="G7" s="1" t="inlineStr">
        <is>
          <t>MAY</t>
        </is>
      </c>
      <c r="H7" s="1" t="inlineStr">
        <is>
          <t>JUN</t>
        </is>
      </c>
      <c r="I7" s="1" t="inlineStr">
        <is>
          <t>JUL</t>
        </is>
      </c>
      <c r="J7" s="1" t="inlineStr">
        <is>
          <t>AUG</t>
        </is>
      </c>
      <c r="K7" s="1" t="inlineStr">
        <is>
          <t>SEPT</t>
        </is>
      </c>
      <c r="L7" s="1" t="inlineStr">
        <is>
          <t>OCT</t>
        </is>
      </c>
      <c r="M7" s="1" t="inlineStr">
        <is>
          <t>NOV</t>
        </is>
      </c>
      <c r="N7" s="1" t="inlineStr">
        <is>
          <t>DEC</t>
        </is>
      </c>
      <c r="O7" s="1" t="inlineStr">
        <is>
          <t>2025 YR TOTAL</t>
        </is>
      </c>
    </row>
    <row r="8">
      <c r="B8" t="inlineStr">
        <is>
          <t>MARKETING / ADVERTISING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>
        <f>SUM(C8:N8)</f>
        <v/>
      </c>
    </row>
    <row r="9">
      <c r="B9" t="inlineStr">
        <is>
          <t>SERVICE FEES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>
        <f>SUM(C9:N9)</f>
        <v/>
      </c>
    </row>
    <row r="10">
      <c r="B10" t="inlineStr">
        <is>
          <t>REMITTED TAX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>
        <f>SUM(C10:N10)</f>
        <v/>
      </c>
    </row>
    <row r="11">
      <c r="B11" t="inlineStr">
        <is>
          <t>INSURANCE</t>
        </is>
      </c>
      <c r="C11" s="4" t="n">
        <v>0</v>
      </c>
      <c r="D11" s="5" t="n">
        <v>145.25</v>
      </c>
      <c r="E11" s="5" t="n">
        <v>151.38</v>
      </c>
      <c r="F11" s="5" t="n">
        <v>151.38</v>
      </c>
      <c r="G11" s="5" t="n">
        <v>151.38</v>
      </c>
      <c r="H11" s="5" t="n">
        <v>151.38</v>
      </c>
      <c r="I11" s="5" t="n">
        <v>151.38</v>
      </c>
      <c r="J11" s="5" t="n">
        <v>154.13</v>
      </c>
      <c r="K11" s="4" t="n">
        <v>0</v>
      </c>
      <c r="L11" s="4" t="n">
        <v>0</v>
      </c>
      <c r="M11" s="4" t="n">
        <v>0</v>
      </c>
      <c r="N11" s="4" t="n">
        <v>0</v>
      </c>
      <c r="O11">
        <f>SUM(C11:N11)</f>
        <v/>
      </c>
    </row>
    <row r="12">
      <c r="B12" t="inlineStr">
        <is>
          <t>INTERIOR MAINTENANCE</t>
        </is>
      </c>
      <c r="C12" s="5" t="n">
        <v>7.46</v>
      </c>
      <c r="D12" s="4" t="n">
        <v>0</v>
      </c>
      <c r="E12" s="5" t="n">
        <v>52.78</v>
      </c>
      <c r="F12" s="5" t="n">
        <v>131.4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45.6</v>
      </c>
      <c r="M12" s="5" t="n">
        <v>12.63</v>
      </c>
      <c r="N12" s="4" t="n">
        <v>0</v>
      </c>
      <c r="O12">
        <f>SUM(C12:N12)</f>
        <v/>
      </c>
    </row>
    <row r="13">
      <c r="B13" t="inlineStr">
        <is>
          <t>EXTERIOR REPAIRS</t>
        </is>
      </c>
      <c r="C13" s="4" t="n">
        <v>0</v>
      </c>
      <c r="D13" s="5" t="n">
        <v>66.56999999999999</v>
      </c>
      <c r="E13" s="5" t="n">
        <v>761.72</v>
      </c>
      <c r="F13" s="5" t="n">
        <v>100.53</v>
      </c>
      <c r="G13" s="5" t="n">
        <v>445.2</v>
      </c>
      <c r="H13" s="5" t="n">
        <v>60.95</v>
      </c>
      <c r="I13" s="5" t="n">
        <v>211.01</v>
      </c>
      <c r="J13" s="5" t="n">
        <v>77.48999999999999</v>
      </c>
      <c r="K13" s="5" t="n">
        <v>283.87</v>
      </c>
      <c r="L13" s="5" t="n">
        <v>137.19</v>
      </c>
      <c r="M13" s="5" t="n">
        <v>32.33</v>
      </c>
      <c r="N13" s="4" t="n">
        <v>0</v>
      </c>
      <c r="O13">
        <f>SUM(C13:N13)</f>
        <v/>
      </c>
    </row>
    <row r="14">
      <c r="B14" t="inlineStr">
        <is>
          <t>VILLAGE WATER AND REFUSE</t>
        </is>
      </c>
      <c r="C14" s="4" t="n">
        <v>0</v>
      </c>
      <c r="D14" s="5" t="n">
        <v>100.56</v>
      </c>
      <c r="E14" s="4" t="n">
        <v>0</v>
      </c>
      <c r="F14" s="5" t="n">
        <v>90.68000000000001</v>
      </c>
      <c r="G14" s="4" t="n">
        <v>0</v>
      </c>
      <c r="H14" s="5" t="n">
        <v>112.84</v>
      </c>
      <c r="I14" s="4" t="n">
        <v>0</v>
      </c>
      <c r="J14" s="5" t="n">
        <v>137.64</v>
      </c>
      <c r="K14" s="4" t="n">
        <v>0</v>
      </c>
      <c r="L14" s="5" t="n">
        <v>132.77</v>
      </c>
      <c r="M14" s="4" t="n">
        <v>0</v>
      </c>
      <c r="N14" s="4" t="n">
        <v>0</v>
      </c>
      <c r="O14">
        <f>SUM(C14:N14)</f>
        <v/>
      </c>
    </row>
    <row r="15">
      <c r="B15" t="inlineStr">
        <is>
          <t>GAS</t>
        </is>
      </c>
      <c r="C15" s="5" t="n">
        <v>39.7</v>
      </c>
      <c r="D15" s="5" t="n">
        <v>31.37</v>
      </c>
      <c r="E15" s="5" t="n">
        <v>32.09</v>
      </c>
      <c r="F15" s="5" t="n">
        <v>26.31</v>
      </c>
      <c r="G15" s="5" t="n">
        <v>25.41</v>
      </c>
      <c r="H15" s="5" t="n">
        <v>24.17</v>
      </c>
      <c r="I15" s="5" t="n">
        <v>23.53</v>
      </c>
      <c r="J15" s="5" t="n">
        <v>22.7</v>
      </c>
      <c r="K15" s="5" t="n">
        <v>22.71</v>
      </c>
      <c r="L15" s="5" t="n">
        <v>22.72</v>
      </c>
      <c r="M15" s="4" t="n">
        <v>0</v>
      </c>
      <c r="N15" s="5" t="n">
        <v>53.71</v>
      </c>
      <c r="O15">
        <f>SUM(C15:N15)</f>
        <v/>
      </c>
    </row>
    <row r="16">
      <c r="B16" t="inlineStr">
        <is>
          <t>ELECTRIC</t>
        </is>
      </c>
      <c r="C16" s="4" t="n">
        <v>59.04</v>
      </c>
      <c r="D16" s="4" t="n">
        <v>57.47</v>
      </c>
      <c r="E16" s="4" t="n">
        <v>49.15</v>
      </c>
      <c r="F16" s="4" t="n">
        <v>54.52</v>
      </c>
      <c r="G16" s="4" t="n">
        <v>49.73</v>
      </c>
      <c r="H16" s="4" t="n">
        <v>57.54</v>
      </c>
      <c r="I16" s="4" t="n">
        <v>109</v>
      </c>
      <c r="J16" s="4" t="n">
        <v>123.54</v>
      </c>
      <c r="K16" s="4" t="n">
        <v>106.93</v>
      </c>
      <c r="L16" s="4" t="n">
        <v>62.88</v>
      </c>
      <c r="M16" s="4" t="n">
        <v>46.47</v>
      </c>
      <c r="N16" s="4" t="n">
        <v>52.88</v>
      </c>
      <c r="O16">
        <f>SUM(C16:N16)</f>
        <v/>
      </c>
    </row>
    <row r="17">
      <c r="B17" t="inlineStr">
        <is>
          <t>INTERNET</t>
        </is>
      </c>
      <c r="C17" s="5" t="n">
        <v>45</v>
      </c>
      <c r="D17" s="5" t="n">
        <v>45</v>
      </c>
      <c r="E17" s="5" t="n">
        <v>45</v>
      </c>
      <c r="F17" s="5" t="n">
        <v>45</v>
      </c>
      <c r="G17" s="5" t="n">
        <v>50</v>
      </c>
      <c r="H17" s="5" t="n">
        <v>50</v>
      </c>
      <c r="I17" s="5" t="n">
        <v>50</v>
      </c>
      <c r="J17" s="5" t="n">
        <v>50</v>
      </c>
      <c r="K17" s="5" t="n">
        <v>50</v>
      </c>
      <c r="L17" s="5" t="n">
        <v>50</v>
      </c>
      <c r="M17" s="5" t="n">
        <v>50</v>
      </c>
      <c r="N17" s="4" t="n">
        <v>0</v>
      </c>
      <c r="O17">
        <f>SUM(C17:N17)</f>
        <v/>
      </c>
    </row>
    <row r="18">
      <c r="B18" t="inlineStr">
        <is>
          <t>CLEANING / TURNOVER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>
        <f>SUM(C18:N18)</f>
        <v/>
      </c>
    </row>
    <row r="19">
      <c r="B19" t="inlineStr">
        <is>
          <t>SUPPLIES</t>
        </is>
      </c>
      <c r="C19" s="5" t="n">
        <v>110.8</v>
      </c>
      <c r="D19" s="4" t="n">
        <v>0</v>
      </c>
      <c r="E19" s="5" t="n">
        <v>92.95999999999999</v>
      </c>
      <c r="F19" s="5" t="n">
        <v>105.25</v>
      </c>
      <c r="G19" s="4" t="n">
        <v>0</v>
      </c>
      <c r="H19" s="5" t="n">
        <v>68.73</v>
      </c>
      <c r="I19" s="5" t="n">
        <v>128.37</v>
      </c>
      <c r="J19" s="5" t="n">
        <v>176.17</v>
      </c>
      <c r="K19" s="5" t="n">
        <v>108.93</v>
      </c>
      <c r="L19" s="4" t="n">
        <v>0</v>
      </c>
      <c r="M19" s="4" t="n">
        <v>0</v>
      </c>
      <c r="N19" s="4" t="n">
        <v>0</v>
      </c>
      <c r="O19">
        <f>SUM(C19:N19)</f>
        <v/>
      </c>
    </row>
    <row r="20">
      <c r="B20" t="inlineStr">
        <is>
          <t>EQUIPMENT/APPLIANCE PURCHASES</t>
        </is>
      </c>
      <c r="C20" s="4" t="n">
        <v>0</v>
      </c>
      <c r="D20" s="4" t="n">
        <v>0</v>
      </c>
      <c r="E20" s="5" t="n">
        <v>73.23999999999999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82.27</v>
      </c>
      <c r="L20" s="4" t="n">
        <v>0</v>
      </c>
      <c r="M20" s="4" t="n">
        <v>0</v>
      </c>
      <c r="N20" s="4" t="n">
        <v>0</v>
      </c>
      <c r="O20">
        <f>SUM(C20:N20)</f>
        <v/>
      </c>
    </row>
    <row r="21">
      <c r="B21" t="inlineStr">
        <is>
          <t>LAND TAX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>
        <f>SUM(C21:N21)</f>
        <v/>
      </c>
    </row>
    <row r="22">
      <c r="B22" t="inlineStr">
        <is>
          <t>LOANS INTEREST (from 1098)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>
        <f>SUM(C22:N22)</f>
        <v/>
      </c>
    </row>
    <row r="23">
      <c r="B23" t="inlineStr">
        <is>
          <t>MORTGAGE (cash P+I — memo only)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>
        <f>SUM(C23:N23)</f>
        <v/>
      </c>
    </row>
    <row r="24">
      <c r="B24" t="inlineStr">
        <is>
          <t>HOA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>
        <f>SUM(C24:N24)</f>
        <v/>
      </c>
    </row>
    <row r="25">
      <c r="B25" t="inlineStr">
        <is>
          <t>OTHER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7"/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29"/>
    <row r="30">
      <c r="B30" s="6" t="inlineStr">
        <is>
          <t>CC answers 2026-09-18: Nicor small / Prime ATT / Grove / Schauer / yard CONFIRMED. March HD $1358.65 → 524 EXTERIOR REPAIRS 50/50 with Unit 1. Remaining Prime HD/Lowe’s/IKEA 1/3 524 (50/50), 1/3 personal, 1/3 Grove. ELECTRIC yellow — REMIND JACOB: double-check ComEd with Megan (checking ACH Jacob $829.15; any extra check?). Home Depot March read as 524 (not 534). Extra Space $360 HOLD. Not tax advice.</t>
        </is>
      </c>
    </row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2026-09-18T16:13:23Z</dcterms:created>
  <dcterms:modified xsi:type="dcterms:W3CDTF">2026-09-18T16:13:23Z</dcterms:modified>
</cp:coreProperties>
</file>