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6">
    <font>
      <name val="Calibri"/>
      <family val="2"/>
      <color theme="1"/>
      <sz val="11"/>
      <scheme val="minor"/>
    </font>
    <font>
      <name val="Calibri"/>
      <color theme="1"/>
      <scheme val="minor"/>
    </font>
    <font>
      <name val="Century Gothic"/>
      <b val="1"/>
      <sz val="12"/>
    </font>
    <font>
      <name val="Century Gothic"/>
      <sz val="10"/>
    </font>
    <font>
      <name val="Calibri"/>
      <b val="1"/>
      <color rgb="00FFFFFF"/>
      <sz val="11"/>
    </font>
    <font>
      <name val="Calibri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bottom"/>
    </xf>
    <xf numFmtId="164" fontId="3" fillId="3" borderId="1" pivotButton="0" quotePrefix="0" xfId="0"/>
    <xf numFmtId="164" fontId="3" fillId="4" borderId="1" pivotButton="0" quotePrefix="0" xfId="0"/>
    <xf numFmtId="164" fontId="3" fillId="0" borderId="1" pivotButton="0" quotePrefix="0" xfId="0"/>
    <xf numFmtId="164" fontId="3" fillId="5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Fidelity</t>
        </is>
      </c>
      <c r="B1" s="1" t="inlineStr">
        <is>
          <t>SEP IRA</t>
        </is>
      </c>
    </row>
    <row r="2">
      <c r="A2" s="1" t="inlineStr">
        <is>
          <t>ML</t>
        </is>
      </c>
      <c r="B2" s="1" t="inlineStr">
        <is>
          <t>UTMA EMMA COLEY</t>
        </is>
      </c>
    </row>
    <row r="3">
      <c r="A3" s="1" t="inlineStr">
        <is>
          <t>ML</t>
        </is>
      </c>
      <c r="B3" s="1" t="inlineStr">
        <is>
          <t>UTMA PHOEBE COLEY</t>
        </is>
      </c>
    </row>
    <row r="4"/>
    <row r="5">
      <c r="A5" s="2" t="inlineStr">
        <is>
          <t>Coinbase (ACH from Mercury 8291)</t>
        </is>
      </c>
      <c r="B5" s="3" t="inlineStr">
        <is>
          <t>Investment transfers — not EPGC Art Sales, not advisory. Distinct from Coinbase 6108 card.</t>
        </is>
      </c>
    </row>
    <row r="6">
      <c r="A6" s="4" t="inlineStr"/>
      <c r="B6" s="4" t="inlineStr">
        <is>
          <t>JAN</t>
        </is>
      </c>
      <c r="C6" s="4" t="inlineStr">
        <is>
          <t>FEB</t>
        </is>
      </c>
      <c r="D6" s="4" t="inlineStr">
        <is>
          <t>MAR</t>
        </is>
      </c>
      <c r="E6" s="4" t="inlineStr">
        <is>
          <t>APR</t>
        </is>
      </c>
      <c r="F6" s="4" t="inlineStr">
        <is>
          <t>MAY</t>
        </is>
      </c>
      <c r="G6" s="4" t="inlineStr">
        <is>
          <t>JUN</t>
        </is>
      </c>
      <c r="H6" s="4" t="inlineStr">
        <is>
          <t>JUL</t>
        </is>
      </c>
      <c r="I6" s="4" t="inlineStr">
        <is>
          <t>AUG</t>
        </is>
      </c>
      <c r="J6" s="4" t="inlineStr">
        <is>
          <t>SEP</t>
        </is>
      </c>
      <c r="K6" s="4" t="inlineStr">
        <is>
          <t>OCT</t>
        </is>
      </c>
      <c r="L6" s="4" t="inlineStr">
        <is>
          <t>NOV</t>
        </is>
      </c>
      <c r="M6" s="4" t="inlineStr">
        <is>
          <t>DEC</t>
        </is>
      </c>
      <c r="N6" s="4" t="inlineStr">
        <is>
          <t>2025 NET</t>
        </is>
      </c>
    </row>
    <row r="7">
      <c r="A7" s="5" t="inlineStr">
        <is>
          <t>To Coinbase (funding)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7" t="n">
        <v>-9000</v>
      </c>
      <c r="K7" s="7" t="n">
        <v>-10000</v>
      </c>
      <c r="L7" s="7" t="n">
        <v>-35000</v>
      </c>
      <c r="M7" s="7" t="n">
        <v>-5000</v>
      </c>
      <c r="N7" s="8">
        <f>SUM(B7:M7)</f>
        <v/>
      </c>
    </row>
    <row r="8">
      <c r="A8" s="5" t="inlineStr">
        <is>
          <t>From Coinbase (back to 8291)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7" t="n">
        <v>8000</v>
      </c>
      <c r="N8" s="8">
        <f>SUM(B8:M8)</f>
        <v/>
      </c>
    </row>
    <row r="9">
      <c r="A9" s="5" t="inlineStr">
        <is>
          <t>Net transfer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9" t="n">
        <v>-9000</v>
      </c>
      <c r="K9" s="9" t="n">
        <v>-10000</v>
      </c>
      <c r="L9" s="9" t="n">
        <v>-35000</v>
      </c>
      <c r="M9" s="9" t="n">
        <v>3000</v>
      </c>
      <c r="N9" s="8">
        <f>SUM(B9:M9)</f>
        <v/>
      </c>
    </row>
    <row r="10"/>
    <row r="11">
      <c r="A11" s="10" t="inlineStr">
        <is>
          <t>2025: funded $59,000.00 / returned $8,000.00 / net $-51,000.00 off the EPGC operating account. Not income, not an expense. Not tax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2026-09-20T13:34:59Z</dcterms:created>
  <dcterms:modified xsi:type="dcterms:W3CDTF">2026-09-20T13:34:59Z</dcterms:modified>
</cp:coreProperties>
</file>