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524 Ferdinand Ave, Unit 2" sheetId="2" state="visible" r:id="rId2"/>
    <sheet name="216 N. Oak Park Ave" sheetId="3" state="visible" r:id="rId3"/>
    <sheet name="EPGC LLC" sheetId="4" state="visible" r:id="rId4"/>
    <sheet name="Refrence Library" sheetId="5" state="visible" r:id="rId5"/>
    <sheet name="Art Sales and Purchases" sheetId="6" state="visible" r:id="rId6"/>
    <sheet name="GCM" sheetId="7" state="visible" r:id="rId7"/>
    <sheet name="Hindman W2" sheetId="8" state="visible" r:id="rId8"/>
    <sheet name="Megan T4" sheetId="9" state="visible" r:id="rId9"/>
    <sheet name="Investments" sheetId="10" state="visible" r:id="rId10"/>
    <sheet name="524 Ferdinand Ave, Unit 1" sheetId="11" state="visible" r:id="rId11"/>
    <sheet name="2025 Data sources" sheetId="12" state="visible" r:id="rId12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name val="Century Gothic"/>
      <sz val="10"/>
    </font>
    <font>
      <name val="Century Gothic"/>
      <b val="1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1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worksheet" Target="worksheets/sheet2.xml" Id="rId2" /><Relationship Type="http://schemas.openxmlformats.org/officeDocument/2006/relationships/worksheet" Target="worksheets/sheet3.xml" Id="rId3" /><Relationship Type="http://schemas.openxmlformats.org/officeDocument/2006/relationships/worksheet" Target="worksheets/sheet4.xml" Id="rId4" /><Relationship Type="http://schemas.openxmlformats.org/officeDocument/2006/relationships/worksheet" Target="worksheets/sheet5.xml" Id="rId5" /><Relationship Type="http://schemas.openxmlformats.org/officeDocument/2006/relationships/worksheet" Target="worksheets/sheet6.xml" Id="rId6" /><Relationship Type="http://schemas.openxmlformats.org/officeDocument/2006/relationships/worksheet" Target="worksheets/sheet7.xml" Id="rId7" /><Relationship Type="http://schemas.openxmlformats.org/officeDocument/2006/relationships/worksheet" Target="worksheets/sheet8.xml" Id="rId8" /><Relationship Type="http://schemas.openxmlformats.org/officeDocument/2006/relationships/worksheet" Target="worksheets/sheet9.xml" Id="rId9" /><Relationship Type="http://schemas.openxmlformats.org/officeDocument/2006/relationships/worksheet" Target="worksheets/sheet10.xml" Id="rId10" /><Relationship Type="http://schemas.openxmlformats.org/officeDocument/2006/relationships/worksheet" Target="worksheets/sheet11.xml" Id="rId11" /><Relationship Type="http://schemas.openxmlformats.org/officeDocument/2006/relationships/worksheet" Target="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44" customWidth="1" min="1" max="1"/>
    <col width="28" customWidth="1" min="2" max="2"/>
  </cols>
  <sheetData>
    <row r="1">
      <c r="B1" s="1" t="n">
        <v>2022</v>
      </c>
      <c r="C1" s="1" t="n">
        <v>2022</v>
      </c>
      <c r="D1" s="1" t="n">
        <v>2023</v>
      </c>
      <c r="E1" s="1" t="n">
        <v>2023</v>
      </c>
      <c r="F1" s="1" t="n">
        <v>2024</v>
      </c>
      <c r="G1" s="1" t="n">
        <v>2024</v>
      </c>
      <c r="H1" s="1" t="n">
        <v>2025</v>
      </c>
      <c r="I1" s="1" t="n">
        <v>2025</v>
      </c>
    </row>
    <row r="2">
      <c r="B2" s="2" t="inlineStr">
        <is>
          <t xml:space="preserve">Projected </t>
        </is>
      </c>
      <c r="C2" s="2" t="inlineStr">
        <is>
          <t>Actual</t>
        </is>
      </c>
      <c r="D2" s="2" t="inlineStr">
        <is>
          <t xml:space="preserve">Projected </t>
        </is>
      </c>
      <c r="E2" s="2" t="inlineStr">
        <is>
          <t>Actual</t>
        </is>
      </c>
      <c r="F2" s="2" t="inlineStr">
        <is>
          <t>Projected</t>
        </is>
      </c>
      <c r="G2" s="2" t="inlineStr">
        <is>
          <t>Actual</t>
        </is>
      </c>
      <c r="H2" s="2" t="inlineStr">
        <is>
          <t>Projected</t>
        </is>
      </c>
      <c r="I2" s="2" t="inlineStr">
        <is>
          <t>Actual</t>
        </is>
      </c>
    </row>
    <row r="3">
      <c r="A3" s="3" t="inlineStr">
        <is>
          <t>Income</t>
        </is>
      </c>
    </row>
    <row r="4">
      <c r="A4" s="2" t="inlineStr">
        <is>
          <t xml:space="preserve">Hindman </t>
        </is>
      </c>
      <c r="B4" s="1" t="n">
        <v>92000</v>
      </c>
      <c r="C4" s="1" t="n">
        <v>97876.85000000001</v>
      </c>
      <c r="D4" s="1" t="n">
        <v>110000</v>
      </c>
      <c r="E4" s="1" t="n">
        <v>115000</v>
      </c>
      <c r="F4" s="1" t="n">
        <v>110000</v>
      </c>
      <c r="H4" s="1" t="n">
        <v>110000</v>
      </c>
      <c r="I4" s="1" t="n">
        <v>70618</v>
      </c>
    </row>
    <row r="5">
      <c r="A5" s="2" t="inlineStr">
        <is>
          <t>216 N. Oak Park Ave</t>
        </is>
      </c>
      <c r="B5" s="1" t="n">
        <v>0</v>
      </c>
      <c r="C5" s="1" t="n">
        <v>125</v>
      </c>
      <c r="D5" s="1" t="n">
        <v>1500</v>
      </c>
      <c r="F5" s="1" t="n">
        <v>1500</v>
      </c>
      <c r="H5" s="1" t="n">
        <v>19500</v>
      </c>
      <c r="I5" s="1" t="n">
        <v>19500</v>
      </c>
    </row>
    <row r="6">
      <c r="A6" s="2" t="inlineStr">
        <is>
          <t>524 Ferdinand Ave #2</t>
        </is>
      </c>
      <c r="F6" s="1" t="n">
        <v>20000</v>
      </c>
      <c r="H6" s="1" t="n">
        <v>17000</v>
      </c>
      <c r="I6" s="1" t="n">
        <v>17086.94</v>
      </c>
    </row>
    <row r="7">
      <c r="A7" s="2" t="inlineStr">
        <is>
          <t>GCM Boards</t>
        </is>
      </c>
      <c r="B7" s="1" t="n">
        <v>14000</v>
      </c>
      <c r="C7" s="1" t="n">
        <v>25875</v>
      </c>
      <c r="D7" s="1" t="n">
        <v>14700</v>
      </c>
      <c r="E7" s="1" t="n">
        <v>14700</v>
      </c>
      <c r="F7" s="1" t="n">
        <v>16000</v>
      </c>
      <c r="H7" s="1" t="n">
        <v>21500</v>
      </c>
      <c r="I7" s="1" t="n">
        <v>21500</v>
      </c>
    </row>
    <row r="8">
      <c r="A8" s="2" t="inlineStr">
        <is>
          <t>Art Sales</t>
        </is>
      </c>
      <c r="B8" s="1" t="n">
        <v>10000</v>
      </c>
      <c r="C8" s="1" t="n">
        <v>15000</v>
      </c>
      <c r="D8" s="1" t="n">
        <v>15000</v>
      </c>
      <c r="E8" s="1" t="n">
        <v>54777.25</v>
      </c>
      <c r="F8" s="1" t="n">
        <v>20000</v>
      </c>
      <c r="H8" s="1" t="n">
        <v>20000</v>
      </c>
      <c r="I8" s="1" t="n">
        <v>24055.06</v>
      </c>
    </row>
    <row r="9">
      <c r="A9" s="2" t="inlineStr">
        <is>
          <t>Megan's Income</t>
        </is>
      </c>
      <c r="B9" s="1" t="n">
        <v>67000</v>
      </c>
      <c r="C9" s="1" t="n">
        <v>67000</v>
      </c>
      <c r="D9" s="1" t="n">
        <v>74000</v>
      </c>
      <c r="F9" s="1" t="n">
        <v>0</v>
      </c>
      <c r="H9" s="1" t="n">
        <v>0</v>
      </c>
      <c r="I9" s="1" t="n">
        <v>0</v>
      </c>
    </row>
    <row r="10">
      <c r="A10" s="3" t="inlineStr">
        <is>
          <t>EBITDA</t>
        </is>
      </c>
      <c r="B10" s="1">
        <f>SUM(B4:B9)</f>
        <v/>
      </c>
      <c r="C10" s="1">
        <f>SUM(C4:C9)</f>
        <v/>
      </c>
      <c r="D10" s="1">
        <f>SUM(D4:D9)</f>
        <v/>
      </c>
      <c r="E10" s="1">
        <f>SUM(E4:E9)</f>
        <v/>
      </c>
      <c r="F10" s="1">
        <f>SUM(F4:F9)</f>
        <v/>
      </c>
      <c r="G10" s="1">
        <f>SUM(G4:G9)</f>
        <v/>
      </c>
      <c r="H10" s="1">
        <f>SUM(H4:H9)</f>
        <v/>
      </c>
      <c r="I10" s="1">
        <f>SUM(I4:I9)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37"/>
  <sheetViews>
    <sheetView workbookViewId="0">
      <selection activeCell="A1" sqref="A1"/>
    </sheetView>
  </sheetViews>
  <sheetFormatPr baseColWidth="8" defaultRowHeight="15"/>
  <cols>
    <col width="44" customWidth="1" min="1" max="1"/>
    <col width="28" customWidth="1" min="2" max="2"/>
  </cols>
  <sheetData>
    <row r="1">
      <c r="B1" s="3" t="inlineStr">
        <is>
          <t>PROPERTY ADDRESS</t>
        </is>
      </c>
    </row>
    <row r="2">
      <c r="B2" s="2" t="inlineStr">
        <is>
          <t>INCOME</t>
        </is>
      </c>
    </row>
    <row r="3">
      <c r="B3" s="3" t="inlineStr">
        <is>
          <t>MULTI-PROPERTY INCOME OVERVIEW</t>
        </is>
      </c>
    </row>
    <row r="4">
      <c r="B4" s="2" t="inlineStr">
        <is>
          <t>MULTI-PROPERTY INCOME OVERVIEW</t>
        </is>
      </c>
      <c r="AO4" s="4">
        <f>SUM(AC4:AN4)</f>
        <v/>
      </c>
    </row>
    <row r="5">
      <c r="B5" s="2" t="inlineStr">
        <is>
          <t>RENTAL INCOME</t>
        </is>
      </c>
      <c r="AO5" s="4">
        <f>SUM(AC5:AN5)</f>
        <v/>
      </c>
    </row>
    <row r="6">
      <c r="B6" s="3" t="inlineStr">
        <is>
          <t>GROSS RENTAL INCOME</t>
        </is>
      </c>
      <c r="AC6" s="1">
        <f>SUM(AC4:AC5)</f>
        <v/>
      </c>
      <c r="AD6" s="1">
        <f>SUM(AD4:AD5)</f>
        <v/>
      </c>
      <c r="AE6" s="1">
        <f>SUM(AE4:AE5)</f>
        <v/>
      </c>
      <c r="AF6" s="1">
        <f>SUM(AF4:AF5)</f>
        <v/>
      </c>
      <c r="AG6" s="1">
        <f>SUM(AG4:AG5)</f>
        <v/>
      </c>
      <c r="AH6" s="1">
        <f>SUM(AH4:AH5)</f>
        <v/>
      </c>
      <c r="AI6" s="1">
        <f>SUM(AI4:AI5)</f>
        <v/>
      </c>
      <c r="AJ6" s="1">
        <f>SUM(AJ4:AJ5)</f>
        <v/>
      </c>
      <c r="AK6" s="1">
        <f>SUM(AK4:AK5)</f>
        <v/>
      </c>
      <c r="AL6" s="1">
        <f>SUM(AL4:AL5)</f>
        <v/>
      </c>
      <c r="AM6" s="1">
        <f>SUM(AM4:AM5)</f>
        <v/>
      </c>
      <c r="AN6" s="1">
        <f>SUM(AN4:AN5)</f>
        <v/>
      </c>
      <c r="AO6" s="4">
        <f>SUM(AC6:AN6)</f>
        <v/>
      </c>
    </row>
    <row r="8">
      <c r="B8" s="2" t="inlineStr">
        <is>
          <t>EXPENSES</t>
        </is>
      </c>
    </row>
    <row r="10">
      <c r="B10" s="2" t="inlineStr">
        <is>
          <t>MULTI-PROPERTY EXPENSES OVERVIEW</t>
        </is>
      </c>
      <c r="AO10" s="4">
        <f>SUM(AC10:AN10)</f>
        <v/>
      </c>
    </row>
    <row r="11">
      <c r="B11" s="2" t="inlineStr">
        <is>
          <t>MARKETING / ADVERTISING</t>
        </is>
      </c>
      <c r="AO11" s="4">
        <f>SUM(AC11:AN11)</f>
        <v/>
      </c>
    </row>
    <row r="12">
      <c r="B12" s="2" t="inlineStr">
        <is>
          <t>SERVICE FEES</t>
        </is>
      </c>
      <c r="AO12" s="4">
        <f>SUM(AC12:AN12)</f>
        <v/>
      </c>
    </row>
    <row r="13">
      <c r="B13" s="2" t="inlineStr">
        <is>
          <t>REMITTED TAX</t>
        </is>
      </c>
      <c r="AO13" s="4">
        <f>SUM(AC13:AN13)</f>
        <v/>
      </c>
    </row>
    <row r="14">
      <c r="B14" s="2" t="inlineStr">
        <is>
          <t>INSURANCE</t>
        </is>
      </c>
      <c r="AO14" s="4">
        <f>SUM(AC14:AN14)</f>
        <v/>
      </c>
    </row>
    <row r="15">
      <c r="B15" s="2" t="inlineStr">
        <is>
          <t>INTERIOR MAINTENANCE</t>
        </is>
      </c>
      <c r="AO15" s="4">
        <f>SUM(AC15:AN15)</f>
        <v/>
      </c>
    </row>
    <row r="16">
      <c r="B16" s="2" t="inlineStr">
        <is>
          <t>EXTERIOR REPAIRS</t>
        </is>
      </c>
      <c r="AO16" s="4">
        <f>SUM(AC16:AN16)</f>
        <v/>
      </c>
    </row>
    <row r="17">
      <c r="B17" s="2" t="inlineStr">
        <is>
          <t>VILLAGE WATER AND REFUSE</t>
        </is>
      </c>
    </row>
    <row r="18">
      <c r="B18" s="2" t="inlineStr">
        <is>
          <t>GAS</t>
        </is>
      </c>
      <c r="AO18" s="4">
        <f>SUM(AC18:AN18)</f>
        <v/>
      </c>
    </row>
    <row r="19">
      <c r="B19" s="2" t="inlineStr">
        <is>
          <t>ELECTRIC</t>
        </is>
      </c>
      <c r="AO19" s="4">
        <f>SUM(AC19:AN19)</f>
        <v/>
      </c>
    </row>
    <row r="20">
      <c r="B20" s="2" t="inlineStr">
        <is>
          <t>INTERNET</t>
        </is>
      </c>
      <c r="AO20" s="4">
        <f>SUM(AC20:AN20)</f>
        <v/>
      </c>
    </row>
    <row r="21">
      <c r="B21" s="2" t="inlineStr">
        <is>
          <t>CORRESPONDENCE</t>
        </is>
      </c>
      <c r="AO21" s="4">
        <f>SUM(AC21:AN21)</f>
        <v/>
      </c>
    </row>
    <row r="22">
      <c r="B22" s="2" t="inlineStr">
        <is>
          <t>INTERIOR DESIGNER/ ORGANIZER FEES</t>
        </is>
      </c>
      <c r="AO22" s="4">
        <f>SUM(AC22:AN22)</f>
        <v/>
      </c>
    </row>
    <row r="23">
      <c r="B23" s="2" t="inlineStr">
        <is>
          <t>TRAVEL EXPENSES</t>
        </is>
      </c>
      <c r="AO23" s="4">
        <f>SUM(AC23:AN23)</f>
        <v/>
      </c>
    </row>
    <row r="24">
      <c r="B24" s="2" t="inlineStr">
        <is>
          <t>EQUIPMENT/APPLIANCE PURCHASES</t>
        </is>
      </c>
      <c r="AO24" s="4">
        <f>SUM(AC24:AN24)</f>
        <v/>
      </c>
    </row>
    <row r="25">
      <c r="B25" s="2" t="inlineStr">
        <is>
          <t>EQUIPMENT/APPLIANCE RENTAL FEES</t>
        </is>
      </c>
      <c r="AO25" s="4">
        <f>SUM(AC25:AN25)</f>
        <v/>
      </c>
    </row>
    <row r="26">
      <c r="B26" s="2" t="inlineStr">
        <is>
          <t>LAND TAX</t>
        </is>
      </c>
      <c r="AO26" s="4">
        <f>SUM(AC26:AN26)</f>
        <v/>
      </c>
    </row>
    <row r="27">
      <c r="B27" s="2" t="inlineStr">
        <is>
          <t>BORROWING EXPENSES</t>
        </is>
      </c>
      <c r="AO27" s="4">
        <f>SUM(AC27:AN27)</f>
        <v/>
      </c>
    </row>
    <row r="28">
      <c r="B28" s="2" t="inlineStr">
        <is>
          <t>LOANS INTEREST</t>
        </is>
      </c>
      <c r="AO28" s="4">
        <f>SUM(AC28:AN28)</f>
        <v/>
      </c>
    </row>
    <row r="29">
      <c r="B29" s="2" t="inlineStr">
        <is>
          <t>TRAVEL EXPENSES</t>
        </is>
      </c>
      <c r="AO29" s="4">
        <f>SUM(AC29:AN29)</f>
        <v/>
      </c>
    </row>
    <row r="30">
      <c r="B30" s="2" t="inlineStr">
        <is>
          <t>YARD STARTUP CONSTRUCTION</t>
        </is>
      </c>
      <c r="AO30" s="4">
        <f>SUM(AC30:AN30)</f>
        <v/>
      </c>
    </row>
    <row r="31">
      <c r="B31" s="2" t="inlineStr">
        <is>
          <t>YARD EQUIPMENT</t>
        </is>
      </c>
      <c r="AO31" s="4">
        <f>SUM(AC31:AN31)</f>
        <v/>
      </c>
    </row>
    <row r="32">
      <c r="B32" s="2" t="inlineStr">
        <is>
          <t>YARD FURNITURE</t>
        </is>
      </c>
      <c r="AO32" s="4">
        <f>SUM(AC32:AN32)</f>
        <v/>
      </c>
    </row>
    <row r="33">
      <c r="B33" s="2" t="inlineStr">
        <is>
          <t>YARD SERVICE</t>
        </is>
      </c>
      <c r="AO33" s="4">
        <f>SUM(AC33:AN33)</f>
        <v/>
      </c>
    </row>
    <row r="34">
      <c r="B34" s="2" t="inlineStr">
        <is>
          <t>SUPPLIES (Grove Collaborative)</t>
        </is>
      </c>
      <c r="AO34" s="4">
        <f>SUM(AC34:AN34)</f>
        <v/>
      </c>
    </row>
    <row r="35">
      <c r="B35" s="3" t="inlineStr">
        <is>
          <t>TOTAL EXPENSES</t>
        </is>
      </c>
      <c r="AC35" s="1">
        <f>SUM(AC10:AC34)</f>
        <v/>
      </c>
      <c r="AD35" s="1">
        <f>SUM(AD10:AD34)</f>
        <v/>
      </c>
      <c r="AE35" s="1">
        <f>SUM(AE10:AE34)</f>
        <v/>
      </c>
      <c r="AF35" s="1">
        <f>SUM(AF10:AF34)</f>
        <v/>
      </c>
      <c r="AG35" s="1">
        <f>SUM(AG10:AG34)</f>
        <v/>
      </c>
      <c r="AH35" s="1">
        <f>SUM(AH10:AH34)</f>
        <v/>
      </c>
      <c r="AI35" s="1">
        <f>SUM(AI10:AI34)</f>
        <v/>
      </c>
      <c r="AJ35" s="1">
        <f>SUM(AJ10:AJ34)</f>
        <v/>
      </c>
      <c r="AK35" s="1">
        <f>SUM(AK10:AK34)</f>
        <v/>
      </c>
      <c r="AL35" s="1">
        <f>SUM(AL10:AL34)</f>
        <v/>
      </c>
      <c r="AM35" s="1">
        <f>SUM(AM10:AM34)</f>
        <v/>
      </c>
      <c r="AN35" s="1">
        <f>SUM(AN10:AN34)</f>
        <v/>
      </c>
      <c r="AO35" s="4">
        <f>SUM(AC35:AN35)</f>
        <v/>
      </c>
    </row>
    <row r="37">
      <c r="B37" s="3" t="inlineStr">
        <is>
          <t>YEAR-TO-DATE INCOME LESS EXPENSES</t>
        </is>
      </c>
      <c r="AC37" s="1">
        <f>AC6-AC35</f>
        <v/>
      </c>
      <c r="AD37" s="1">
        <f>AD6-AD35</f>
        <v/>
      </c>
      <c r="AE37" s="1">
        <f>AE6-AE35</f>
        <v/>
      </c>
      <c r="AF37" s="1">
        <f>AF6-AF35</f>
        <v/>
      </c>
      <c r="AG37" s="1">
        <f>AG6-AG35</f>
        <v/>
      </c>
      <c r="AH37" s="1">
        <f>AH6-AH35</f>
        <v/>
      </c>
      <c r="AI37" s="1">
        <f>AI6-AI35</f>
        <v/>
      </c>
      <c r="AJ37" s="1">
        <f>AJ6-AJ35</f>
        <v/>
      </c>
      <c r="AK37" s="1">
        <f>AK6-AK35</f>
        <v/>
      </c>
      <c r="AL37" s="1">
        <f>AL6-AL35</f>
        <v/>
      </c>
      <c r="AM37" s="1">
        <f>AM6-AM35</f>
        <v/>
      </c>
      <c r="AN37" s="1">
        <f>AN6-AN35</f>
        <v/>
      </c>
      <c r="AO37" s="4">
        <f>AO6-AO35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44"/>
  <sheetViews>
    <sheetView workbookViewId="0">
      <selection activeCell="A1" sqref="A1"/>
    </sheetView>
  </sheetViews>
  <sheetFormatPr baseColWidth="8" defaultRowHeight="15"/>
  <cols>
    <col width="44" customWidth="1" min="1" max="1"/>
    <col width="28" customWidth="1" min="2" max="2"/>
  </cols>
  <sheetData>
    <row r="1">
      <c r="B1" s="3" t="inlineStr">
        <is>
          <t>PROPERTY ADDRESS</t>
        </is>
      </c>
      <c r="AC1" s="3" t="inlineStr">
        <is>
          <t>216 N. Oak Park Avenue #1Z</t>
        </is>
      </c>
    </row>
    <row r="2">
      <c r="B2" s="2" t="inlineStr">
        <is>
          <t>INCOME</t>
        </is>
      </c>
      <c r="AC2" s="2" t="inlineStr">
        <is>
          <t>JAN</t>
        </is>
      </c>
      <c r="AD2" s="2" t="inlineStr">
        <is>
          <t>FEB</t>
        </is>
      </c>
      <c r="AE2" s="2" t="inlineStr">
        <is>
          <t>MAR</t>
        </is>
      </c>
      <c r="AF2" s="2" t="inlineStr">
        <is>
          <t>APR</t>
        </is>
      </c>
      <c r="AG2" s="2" t="inlineStr">
        <is>
          <t>MAY</t>
        </is>
      </c>
      <c r="AH2" s="2" t="inlineStr">
        <is>
          <t>JUN</t>
        </is>
      </c>
      <c r="AI2" s="2" t="inlineStr">
        <is>
          <t>JUL</t>
        </is>
      </c>
      <c r="AJ2" s="2" t="inlineStr">
        <is>
          <t>AUG</t>
        </is>
      </c>
      <c r="AK2" s="2" t="inlineStr">
        <is>
          <t>SEPT</t>
        </is>
      </c>
      <c r="AL2" s="2" t="inlineStr">
        <is>
          <t>OCT</t>
        </is>
      </c>
      <c r="AM2" s="2" t="inlineStr">
        <is>
          <t>NOV</t>
        </is>
      </c>
      <c r="AN2" s="2" t="inlineStr">
        <is>
          <t>DEC</t>
        </is>
      </c>
      <c r="AO2" s="2" t="inlineStr">
        <is>
          <t>2025 YR TOTAL</t>
        </is>
      </c>
    </row>
    <row r="3">
      <c r="B3" s="3" t="inlineStr">
        <is>
          <t>MULTI-PROPERTY INCOME OVERVIEW</t>
        </is>
      </c>
    </row>
    <row r="4">
      <c r="B4" s="2" t="inlineStr">
        <is>
          <t>OTHER INCOME</t>
        </is>
      </c>
      <c r="AO4" s="4">
        <f>SUM(AC4:AN4)</f>
        <v/>
      </c>
    </row>
    <row r="5">
      <c r="B5" s="2" t="inlineStr">
        <is>
          <t>RENTAL INCOME</t>
        </is>
      </c>
      <c r="AC5" s="1" t="n">
        <v>1950</v>
      </c>
      <c r="AD5" s="1" t="n">
        <v>1950</v>
      </c>
      <c r="AE5" s="1" t="n">
        <v>1950</v>
      </c>
      <c r="AF5" s="1" t="n">
        <v>1950</v>
      </c>
      <c r="AG5" s="1" t="n">
        <v>1950</v>
      </c>
      <c r="AH5" s="1" t="n">
        <v>1950</v>
      </c>
      <c r="AI5" s="1" t="n">
        <v>1450</v>
      </c>
      <c r="AJ5" s="1" t="n">
        <v>2450</v>
      </c>
      <c r="AN5" s="1" t="n">
        <v>3900</v>
      </c>
      <c r="AO5" s="4">
        <f>SUM(AC5:AN5)</f>
        <v/>
      </c>
    </row>
    <row r="6">
      <c r="B6" s="3" t="inlineStr">
        <is>
          <t>GROSS RENTAL INCOME</t>
        </is>
      </c>
      <c r="AC6" s="1">
        <f>SUM(AC4:AC5)</f>
        <v/>
      </c>
      <c r="AD6" s="1">
        <f>SUM(AD4:AD5)</f>
        <v/>
      </c>
      <c r="AE6" s="1">
        <f>SUM(AE4:AE5)</f>
        <v/>
      </c>
      <c r="AF6" s="1">
        <f>SUM(AF4:AF5)</f>
        <v/>
      </c>
      <c r="AG6" s="1">
        <f>SUM(AG4:AG5)</f>
        <v/>
      </c>
      <c r="AH6" s="1">
        <f>SUM(AH4:AH5)</f>
        <v/>
      </c>
      <c r="AI6" s="1">
        <f>SUM(AI4:AI5)</f>
        <v/>
      </c>
      <c r="AJ6" s="1">
        <f>SUM(AJ4:AJ5)</f>
        <v/>
      </c>
      <c r="AK6" s="1">
        <f>SUM(AK4:AK5)</f>
        <v/>
      </c>
      <c r="AL6" s="1">
        <f>SUM(AL4:AL5)</f>
        <v/>
      </c>
      <c r="AM6" s="1">
        <f>SUM(AM4:AM5)</f>
        <v/>
      </c>
      <c r="AN6" s="1">
        <f>SUM(AN4:AN5)</f>
        <v/>
      </c>
      <c r="AO6" s="4">
        <f>SUM(AC6:AN6)</f>
        <v/>
      </c>
    </row>
    <row r="8">
      <c r="B8" s="2" t="inlineStr">
        <is>
          <t>EXPENSES</t>
        </is>
      </c>
      <c r="AC8" s="2" t="inlineStr">
        <is>
          <t>JAN</t>
        </is>
      </c>
      <c r="AD8" s="2" t="inlineStr">
        <is>
          <t>FEB</t>
        </is>
      </c>
      <c r="AE8" s="2" t="inlineStr">
        <is>
          <t>MAR</t>
        </is>
      </c>
      <c r="AF8" s="2" t="inlineStr">
        <is>
          <t>APR</t>
        </is>
      </c>
      <c r="AG8" s="2" t="inlineStr">
        <is>
          <t>MAY</t>
        </is>
      </c>
      <c r="AH8" s="2" t="inlineStr">
        <is>
          <t>JUN</t>
        </is>
      </c>
      <c r="AI8" s="2" t="inlineStr">
        <is>
          <t>JUL</t>
        </is>
      </c>
      <c r="AJ8" s="2" t="inlineStr">
        <is>
          <t>AUG</t>
        </is>
      </c>
      <c r="AK8" s="2" t="inlineStr">
        <is>
          <t>SEPT</t>
        </is>
      </c>
      <c r="AL8" s="2" t="inlineStr">
        <is>
          <t>OCT</t>
        </is>
      </c>
      <c r="AM8" s="2" t="inlineStr">
        <is>
          <t>NOV</t>
        </is>
      </c>
      <c r="AN8" s="2" t="inlineStr">
        <is>
          <t>DEC</t>
        </is>
      </c>
      <c r="AO8" s="2" t="inlineStr">
        <is>
          <t>YR TOTAL</t>
        </is>
      </c>
    </row>
    <row r="9">
      <c r="B9" s="3">
        <f>'[1]Property Management Overview'!B10</f>
        <v/>
      </c>
    </row>
    <row r="10">
      <c r="B10" s="2" t="inlineStr">
        <is>
          <t>MULTI-PROPERTY EXPENSES OVERVIEW</t>
        </is>
      </c>
      <c r="AO10" s="4">
        <f>SUM(AC10:AN10)</f>
        <v/>
      </c>
    </row>
    <row r="11">
      <c r="B11" s="2" t="inlineStr">
        <is>
          <t>MARKETING / ADVERTISING</t>
        </is>
      </c>
      <c r="AO11" s="4">
        <f>SUM(AC11:AN11)</f>
        <v/>
      </c>
    </row>
    <row r="12">
      <c r="B12" s="2" t="inlineStr">
        <is>
          <t>SERVICE FEES</t>
        </is>
      </c>
      <c r="AO12" s="4">
        <f>SUM(AC12:AN12)</f>
        <v/>
      </c>
    </row>
    <row r="13">
      <c r="B13" s="2" t="inlineStr">
        <is>
          <t>REMITTED TAX</t>
        </is>
      </c>
      <c r="AO13" s="4">
        <f>SUM(AC13:AN13)</f>
        <v/>
      </c>
    </row>
    <row r="14">
      <c r="B14" s="2" t="inlineStr">
        <is>
          <t>RENTER'S INSURANCE</t>
        </is>
      </c>
      <c r="AC14" s="1" t="n">
        <v>42.84</v>
      </c>
      <c r="AD14" s="1" t="n">
        <v>42.84</v>
      </c>
      <c r="AE14" s="1" t="n">
        <v>42.84</v>
      </c>
      <c r="AF14" s="1" t="n">
        <v>42.84</v>
      </c>
      <c r="AG14" s="1" t="n">
        <v>42.84</v>
      </c>
      <c r="AH14" s="1" t="n">
        <v>42.84</v>
      </c>
      <c r="AI14" s="1" t="n">
        <v>42.84</v>
      </c>
      <c r="AJ14" s="1" t="n">
        <v>42.84</v>
      </c>
      <c r="AK14" s="1" t="n">
        <v>42.84</v>
      </c>
      <c r="AL14" s="1" t="n">
        <v>42.84</v>
      </c>
      <c r="AM14" s="1" t="n">
        <v>42.84</v>
      </c>
      <c r="AN14" s="1" t="n">
        <v>42.84</v>
      </c>
      <c r="AO14" s="4">
        <f>SUM(AC14:AN14)</f>
        <v/>
      </c>
    </row>
    <row r="15">
      <c r="B15" s="2" t="inlineStr">
        <is>
          <t>INTERIOR MAINTENANCE</t>
        </is>
      </c>
      <c r="AJ15" s="1" t="n">
        <v>150</v>
      </c>
      <c r="AN15" s="1" t="n">
        <v>11</v>
      </c>
      <c r="AO15" s="4">
        <f>SUM(AC15:AN15)</f>
        <v/>
      </c>
    </row>
    <row r="16">
      <c r="B16" s="2" t="inlineStr">
        <is>
          <t>INTERIOR REPAIR</t>
        </is>
      </c>
      <c r="AN16" s="1" t="n">
        <v>675</v>
      </c>
      <c r="AO16" s="4">
        <f>SUM(AC16:AN16)</f>
        <v/>
      </c>
    </row>
    <row r="17">
      <c r="B17" s="2" t="inlineStr">
        <is>
          <t> </t>
        </is>
      </c>
      <c r="AO17" s="4">
        <f>SUM(AC17:AN17)</f>
        <v/>
      </c>
    </row>
    <row r="18">
      <c r="B18" s="2" t="inlineStr">
        <is>
          <t> </t>
        </is>
      </c>
      <c r="AO18" s="4">
        <f>SUM(AC18:AN18)</f>
        <v/>
      </c>
    </row>
    <row r="19">
      <c r="B19" s="2" t="inlineStr">
        <is>
          <t> </t>
        </is>
      </c>
      <c r="AO19" s="4">
        <f>SUM(AC19:AN19)</f>
        <v/>
      </c>
    </row>
    <row r="20">
      <c r="B20" s="2" t="inlineStr">
        <is>
          <t> </t>
        </is>
      </c>
      <c r="AO20" s="4">
        <f>SUM(AC20:AN20)</f>
        <v/>
      </c>
    </row>
    <row r="21">
      <c r="B21" s="2" t="inlineStr">
        <is>
          <t> </t>
        </is>
      </c>
      <c r="AO21" s="4">
        <f>SUM(AC21:AN21)</f>
        <v/>
      </c>
    </row>
    <row r="22">
      <c r="B22" s="2" t="inlineStr">
        <is>
          <t> </t>
        </is>
      </c>
      <c r="AO22" s="4">
        <f>SUM(AC22:AN22)</f>
        <v/>
      </c>
    </row>
    <row r="23">
      <c r="B23" s="2" t="inlineStr">
        <is>
          <t> </t>
        </is>
      </c>
      <c r="AO23" s="4">
        <f>SUM(AC23:AN23)</f>
        <v/>
      </c>
    </row>
    <row r="24">
      <c r="B24" s="2" t="inlineStr">
        <is>
          <t>  </t>
        </is>
      </c>
      <c r="AO24" s="4">
        <f>SUM(AC24:AN24)</f>
        <v/>
      </c>
    </row>
    <row r="25">
      <c r="B25" s="2" t="inlineStr">
        <is>
          <t> </t>
        </is>
      </c>
      <c r="AO25" s="4">
        <f>SUM(AC25:AN25)</f>
        <v/>
      </c>
    </row>
    <row r="26">
      <c r="B26" s="2" t="inlineStr">
        <is>
          <t> </t>
        </is>
      </c>
      <c r="AO26" s="4">
        <f>SUM(AC26:AN26)</f>
        <v/>
      </c>
    </row>
    <row r="27">
      <c r="B27" s="2" t="inlineStr">
        <is>
          <t>  </t>
        </is>
      </c>
      <c r="AO27" s="4">
        <f>SUM(AC27:AN27)</f>
        <v/>
      </c>
    </row>
    <row r="28">
      <c r="B28" s="2" t="inlineStr">
        <is>
          <t> </t>
        </is>
      </c>
      <c r="AO28" s="4">
        <f>SUM(AC28:AN28)</f>
        <v/>
      </c>
    </row>
    <row r="29">
      <c r="B29" s="2" t="inlineStr">
        <is>
          <t>EQUIPMENT/APPLIANCE PURCHASES</t>
        </is>
      </c>
      <c r="AO29" s="4">
        <f>SUM(AC29:AN29)</f>
        <v/>
      </c>
    </row>
    <row r="30">
      <c r="B30" s="2" t="inlineStr">
        <is>
          <t> </t>
        </is>
      </c>
      <c r="AO30" s="4">
        <f>SUM(AC30:AN30)</f>
        <v/>
      </c>
    </row>
    <row r="31">
      <c r="B31" s="2" t="inlineStr">
        <is>
          <t> </t>
        </is>
      </c>
      <c r="AO31" s="4">
        <f>SUM(AC31:AN31)</f>
        <v/>
      </c>
    </row>
    <row r="32">
      <c r="B32" s="2" t="inlineStr">
        <is>
          <t> </t>
        </is>
      </c>
      <c r="AO32" s="4">
        <f>SUM(AC32:AN32)</f>
        <v/>
      </c>
    </row>
    <row r="33">
      <c r="B33" s="2" t="inlineStr">
        <is>
          <t> </t>
        </is>
      </c>
      <c r="AO33" s="4">
        <f>SUM(AC33:AN33)</f>
        <v/>
      </c>
    </row>
    <row r="34">
      <c r="B34" s="2" t="inlineStr">
        <is>
          <t> </t>
        </is>
      </c>
      <c r="AO34" s="4">
        <f>SUM(AC34:AN34)</f>
        <v/>
      </c>
    </row>
    <row r="35">
      <c r="B35" s="2" t="inlineStr">
        <is>
          <t>MORTGAGE</t>
        </is>
      </c>
      <c r="AC35" s="1" t="n">
        <v>1226.25</v>
      </c>
      <c r="AD35" s="1" t="n">
        <v>1226.25</v>
      </c>
      <c r="AE35" s="1" t="n">
        <v>1226.25</v>
      </c>
      <c r="AF35" s="1" t="n">
        <v>1226.25</v>
      </c>
      <c r="AG35" s="1" t="n">
        <v>1226.25</v>
      </c>
      <c r="AH35" s="1" t="n">
        <v>1226.25</v>
      </c>
      <c r="AI35" s="1" t="n">
        <v>1226.25</v>
      </c>
      <c r="AJ35" s="1" t="n">
        <v>1226.25</v>
      </c>
      <c r="AK35" s="1" t="n">
        <v>1226.25</v>
      </c>
      <c r="AL35" s="1" t="n">
        <v>1226.25</v>
      </c>
      <c r="AM35" s="1" t="n">
        <v>1177.52</v>
      </c>
      <c r="AN35" s="1" t="n">
        <v>1177.52</v>
      </c>
      <c r="AO35" s="4">
        <f>SUM(AC35:AN35)</f>
        <v/>
      </c>
    </row>
    <row r="36">
      <c r="B36" s="2" t="inlineStr">
        <is>
          <t>HOA</t>
        </is>
      </c>
      <c r="AC36" s="1" t="n">
        <v>421.53</v>
      </c>
      <c r="AD36" s="1" t="n">
        <v>421.53</v>
      </c>
      <c r="AE36" s="1" t="n">
        <v>421.53</v>
      </c>
      <c r="AF36" s="1" t="n">
        <v>421.53</v>
      </c>
      <c r="AG36" s="1" t="n">
        <v>421.53</v>
      </c>
      <c r="AH36" s="1" t="n">
        <v>421.53</v>
      </c>
      <c r="AI36" s="1" t="n">
        <v>421.53</v>
      </c>
      <c r="AJ36" s="1" t="n">
        <v>421.53</v>
      </c>
      <c r="AK36" s="1" t="n">
        <v>421.53</v>
      </c>
      <c r="AL36" s="1" t="n">
        <v>421.53</v>
      </c>
      <c r="AM36" s="1" t="n">
        <v>421.53</v>
      </c>
      <c r="AN36" s="1" t="n">
        <v>421.53</v>
      </c>
      <c r="AO36" s="4">
        <f>SUM(AC36:AN36)</f>
        <v/>
      </c>
    </row>
    <row r="37">
      <c r="B37" s="2" t="inlineStr">
        <is>
          <t>ELECTRICAL WORK (GROUNDING, ESTIMATE, KITCHEN)</t>
        </is>
      </c>
      <c r="AO37" s="4">
        <f>SUM(AC37:AN37)</f>
        <v/>
      </c>
    </row>
    <row r="38">
      <c r="B38" s="2" t="inlineStr">
        <is>
          <t>MOVE OUT FEE</t>
        </is>
      </c>
      <c r="AL38" s="1" t="n">
        <v>300</v>
      </c>
      <c r="AO38" s="4">
        <f>SUM(AC38:AN38)</f>
        <v/>
      </c>
    </row>
    <row r="39">
      <c r="B39" s="2" t="inlineStr">
        <is>
          <t> </t>
        </is>
      </c>
      <c r="AO39" s="4">
        <f>SUM(AC39:AN39)</f>
        <v/>
      </c>
    </row>
    <row r="40">
      <c r="B40" s="2" t="inlineStr">
        <is>
          <t> </t>
        </is>
      </c>
      <c r="AO40" s="4">
        <f>SUM(AC40:AN40)</f>
        <v/>
      </c>
    </row>
    <row r="41">
      <c r="B41" s="2" t="inlineStr">
        <is>
          <t> </t>
        </is>
      </c>
      <c r="AO41" s="4">
        <f>SUM(AC41:AN41)</f>
        <v/>
      </c>
    </row>
    <row r="42">
      <c r="B42" s="3" t="inlineStr">
        <is>
          <t>TOTAL EXPENSES</t>
        </is>
      </c>
      <c r="AC42" s="1">
        <f>SUM(AC10:AC41)</f>
        <v/>
      </c>
      <c r="AD42" s="1">
        <f>SUM(AD10:AD41)</f>
        <v/>
      </c>
      <c r="AE42" s="1">
        <f>SUM(AE10:AE41)</f>
        <v/>
      </c>
      <c r="AF42" s="1">
        <f>SUM(AF10:AF41)</f>
        <v/>
      </c>
      <c r="AG42" s="1">
        <f>SUM(AG10:AG41)</f>
        <v/>
      </c>
      <c r="AH42" s="1">
        <f>SUM(AH10:AH41)</f>
        <v/>
      </c>
      <c r="AI42" s="1">
        <f>SUM(AI10:AI41)</f>
        <v/>
      </c>
      <c r="AJ42" s="1">
        <f>SUM(AJ10:AJ41)</f>
        <v/>
      </c>
      <c r="AK42" s="1">
        <f>SUM(AK10:AK41)</f>
        <v/>
      </c>
      <c r="AL42" s="1">
        <f>SUM(AL10:AL41)</f>
        <v/>
      </c>
      <c r="AM42" s="1">
        <f>SUM(AM10:AM41)</f>
        <v/>
      </c>
      <c r="AN42" s="1">
        <f>SUM(AN10:AN41)</f>
        <v/>
      </c>
      <c r="AO42" s="4">
        <f>SUM(AC42:AN42)</f>
        <v/>
      </c>
    </row>
    <row r="44">
      <c r="B44" s="3" t="inlineStr">
        <is>
          <t>YEAR-TO-DATE INCOME LESS EXPENSES</t>
        </is>
      </c>
      <c r="AC44" s="1">
        <f>AC6-AC42</f>
        <v/>
      </c>
      <c r="AD44" s="1">
        <f>AD6-AD42</f>
        <v/>
      </c>
      <c r="AE44" s="1">
        <f>AE6-AE42</f>
        <v/>
      </c>
      <c r="AF44" s="1">
        <f>AF6-AF42</f>
        <v/>
      </c>
      <c r="AG44" s="1">
        <f>AG6-AG42</f>
        <v/>
      </c>
      <c r="AH44" s="1">
        <f>AH6-AH42</f>
        <v/>
      </c>
      <c r="AI44" s="1">
        <f>AI6-AI42</f>
        <v/>
      </c>
      <c r="AJ44" s="1">
        <f>AJ6-AJ42</f>
        <v/>
      </c>
      <c r="AK44" s="1">
        <f>AK6-AK42</f>
        <v/>
      </c>
      <c r="AL44" s="1">
        <f>AL6-AL42</f>
        <v/>
      </c>
      <c r="AM44" s="1">
        <f>AM6-AM42</f>
        <v/>
      </c>
      <c r="AN44" s="1">
        <f>AN6-AN42</f>
        <v/>
      </c>
      <c r="AO44" s="4">
        <f>AO6-AO42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51:N73"/>
  <sheetViews>
    <sheetView workbookViewId="0">
      <selection activeCell="A1" sqref="A1"/>
    </sheetView>
  </sheetViews>
  <sheetFormatPr baseColWidth="8" defaultRowHeight="15"/>
  <cols>
    <col width="44" customWidth="1" min="1" max="1"/>
    <col width="28" customWidth="1" min="2" max="2"/>
  </cols>
  <sheetData>
    <row r="51">
      <c r="A51" s="4" t="n">
        <v>2025</v>
      </c>
    </row>
    <row r="52">
      <c r="A52" s="3" t="inlineStr">
        <is>
          <t>INCOME</t>
        </is>
      </c>
      <c r="B52" s="3" t="inlineStr">
        <is>
          <t>JAN</t>
        </is>
      </c>
      <c r="C52" s="3" t="inlineStr">
        <is>
          <t>FEB</t>
        </is>
      </c>
      <c r="D52" s="3" t="inlineStr">
        <is>
          <t>MAR</t>
        </is>
      </c>
      <c r="E52" s="3" t="inlineStr">
        <is>
          <t>APR</t>
        </is>
      </c>
      <c r="F52" s="3" t="inlineStr">
        <is>
          <t>MAY</t>
        </is>
      </c>
      <c r="G52" s="3" t="inlineStr">
        <is>
          <t>JUN</t>
        </is>
      </c>
      <c r="H52" s="3" t="inlineStr">
        <is>
          <t>JUL</t>
        </is>
      </c>
      <c r="I52" s="3" t="inlineStr">
        <is>
          <t>AUG</t>
        </is>
      </c>
      <c r="J52" s="3" t="inlineStr">
        <is>
          <t>SEP</t>
        </is>
      </c>
      <c r="K52" s="3" t="inlineStr">
        <is>
          <t>OCT</t>
        </is>
      </c>
      <c r="L52" s="3" t="inlineStr">
        <is>
          <t>NOV</t>
        </is>
      </c>
      <c r="M52" s="3" t="inlineStr">
        <is>
          <t>DEC</t>
        </is>
      </c>
      <c r="N52" s="3" t="inlineStr">
        <is>
          <t>YEARLY</t>
        </is>
      </c>
    </row>
    <row r="53">
      <c r="A53" s="2" t="inlineStr">
        <is>
          <t>Art Sales</t>
        </is>
      </c>
      <c r="B53" s="1" t="n">
        <v>14000</v>
      </c>
      <c r="C53" s="1" t="n">
        <v>121000</v>
      </c>
      <c r="D53" s="1" t="n">
        <v>0</v>
      </c>
      <c r="E53" s="1" t="n">
        <v>0</v>
      </c>
      <c r="F53" s="1" t="n">
        <v>0</v>
      </c>
      <c r="G53" s="1" t="n">
        <v>0</v>
      </c>
      <c r="H53" s="1" t="n">
        <v>76000</v>
      </c>
      <c r="I53" s="1" t="n">
        <v>0</v>
      </c>
      <c r="J53" s="1" t="n">
        <v>0</v>
      </c>
      <c r="K53" s="1" t="n">
        <v>25000</v>
      </c>
      <c r="L53" s="1" t="n">
        <v>0</v>
      </c>
      <c r="M53" s="1" t="n">
        <v>0</v>
      </c>
      <c r="N53" s="1">
        <f>SUM(B53:M53)</f>
        <v/>
      </c>
    </row>
    <row r="54">
      <c r="A54" s="2" t="inlineStr">
        <is>
          <t>Consultant</t>
        </is>
      </c>
      <c r="B54" s="1" t="n">
        <v>1000</v>
      </c>
      <c r="C54" s="1" t="n">
        <v>15000</v>
      </c>
      <c r="D54" s="1" t="n">
        <v>0</v>
      </c>
      <c r="E54" s="1" t="n">
        <v>0</v>
      </c>
      <c r="F54" s="1" t="n">
        <v>21000</v>
      </c>
      <c r="G54" s="1" t="n">
        <v>13595</v>
      </c>
      <c r="H54" s="1" t="n">
        <v>11034.79</v>
      </c>
      <c r="I54" s="1" t="n">
        <v>0</v>
      </c>
      <c r="J54" s="1" t="n">
        <v>14161.27</v>
      </c>
      <c r="K54" s="1" t="n">
        <v>7500</v>
      </c>
      <c r="L54" s="1" t="n">
        <v>0</v>
      </c>
      <c r="M54" s="1" t="n">
        <v>4700.26</v>
      </c>
      <c r="N54" s="1">
        <f>SUM(B54:M54)</f>
        <v/>
      </c>
    </row>
    <row r="55">
      <c r="A55" s="2" t="inlineStr">
        <is>
          <t>Total</t>
        </is>
      </c>
      <c r="B55" s="1">
        <f>SUM(B53:B54)</f>
        <v/>
      </c>
      <c r="C55" s="1">
        <f>SUM(C53:C54)</f>
        <v/>
      </c>
      <c r="D55" s="1">
        <f>SUM(D53:D54)</f>
        <v/>
      </c>
      <c r="E55" s="1">
        <f>SUM(E53:E54)</f>
        <v/>
      </c>
      <c r="F55" s="1">
        <f>SUM(F53:F54)</f>
        <v/>
      </c>
      <c r="G55" s="1">
        <f>SUM(G53:G54)</f>
        <v/>
      </c>
      <c r="H55" s="1">
        <f>SUM(H53:H54)</f>
        <v/>
      </c>
      <c r="I55" s="1">
        <f>SUM(I53:I54)</f>
        <v/>
      </c>
      <c r="J55" s="1">
        <f>SUM(J53:J54)</f>
        <v/>
      </c>
      <c r="K55" s="1">
        <f>SUM(K53:K54)</f>
        <v/>
      </c>
      <c r="L55" s="1">
        <f>SUM(L53:L54)</f>
        <v/>
      </c>
      <c r="M55" s="1">
        <f>SUM(M53:M54)</f>
        <v/>
      </c>
      <c r="N55" s="1">
        <f>SUM(N53:N54)</f>
        <v/>
      </c>
    </row>
    <row r="57">
      <c r="A57" s="3" t="inlineStr">
        <is>
          <t>EXPENSES</t>
        </is>
      </c>
      <c r="B57" s="3" t="inlineStr">
        <is>
          <t>JAN</t>
        </is>
      </c>
      <c r="C57" s="3" t="inlineStr">
        <is>
          <t>FEB</t>
        </is>
      </c>
      <c r="D57" s="3" t="inlineStr">
        <is>
          <t>MAR</t>
        </is>
      </c>
      <c r="E57" s="3" t="inlineStr">
        <is>
          <t>APR</t>
        </is>
      </c>
      <c r="F57" s="3" t="inlineStr">
        <is>
          <t>MAY</t>
        </is>
      </c>
      <c r="G57" s="3" t="inlineStr">
        <is>
          <t>JUN</t>
        </is>
      </c>
      <c r="H57" s="3" t="inlineStr">
        <is>
          <t>JUL</t>
        </is>
      </c>
      <c r="I57" s="3" t="inlineStr">
        <is>
          <t>AUG</t>
        </is>
      </c>
      <c r="J57" s="3" t="inlineStr">
        <is>
          <t>SEP</t>
        </is>
      </c>
      <c r="K57" s="3" t="inlineStr">
        <is>
          <t>OCT</t>
        </is>
      </c>
      <c r="L57" s="3" t="inlineStr">
        <is>
          <t>NOV</t>
        </is>
      </c>
      <c r="M57" s="3" t="inlineStr">
        <is>
          <t>DEC</t>
        </is>
      </c>
      <c r="N57" s="3" t="inlineStr">
        <is>
          <t>YEARLY</t>
        </is>
      </c>
    </row>
    <row r="58">
      <c r="A58" s="2" t="inlineStr">
        <is>
          <t>Supplies (office and operating)</t>
        </is>
      </c>
      <c r="B58" s="1" t="n">
        <v>0</v>
      </c>
      <c r="C58" s="1" t="n">
        <v>0</v>
      </c>
      <c r="D58" s="1" t="n">
        <v>0</v>
      </c>
      <c r="N58" s="1">
        <f>SUM(B58:M58)</f>
        <v/>
      </c>
    </row>
    <row r="59">
      <c r="A59" s="2" t="inlineStr">
        <is>
          <t>Office Construction</t>
        </is>
      </c>
      <c r="N59" s="1">
        <f>SUM(B59:M59)</f>
        <v/>
      </c>
    </row>
    <row r="60">
      <c r="A60" s="2" t="inlineStr">
        <is>
          <t xml:space="preserve">Office Interior </t>
        </is>
      </c>
      <c r="N60" s="1">
        <f>SUM(B60:M60)</f>
        <v/>
      </c>
    </row>
    <row r="61">
      <c r="A61" s="2" t="inlineStr">
        <is>
          <t>Office Furniture</t>
        </is>
      </c>
      <c r="G61" s="1" t="n">
        <v>0</v>
      </c>
      <c r="H61" s="1" t="n">
        <v>0</v>
      </c>
      <c r="N61" s="1">
        <f>SUM(B61:M61)</f>
        <v/>
      </c>
    </row>
    <row r="62">
      <c r="A62" s="2" t="inlineStr">
        <is>
          <t>Repairs and maintenance</t>
        </is>
      </c>
      <c r="N62" s="1">
        <f>SUM(B62:M62)</f>
        <v/>
      </c>
    </row>
    <row r="63">
      <c r="A63" s="2" t="inlineStr">
        <is>
          <t>Advertising</t>
        </is>
      </c>
      <c r="B63" s="1" t="n">
        <v>0</v>
      </c>
      <c r="C63" s="1" t="n">
        <v>0</v>
      </c>
      <c r="D63" s="1" t="n">
        <v>755.98</v>
      </c>
      <c r="E63" s="1" t="n">
        <v>0</v>
      </c>
      <c r="F63" s="1" t="n">
        <v>199</v>
      </c>
      <c r="G63" s="1" t="n">
        <v>0</v>
      </c>
      <c r="H63" s="1" t="n">
        <v>0</v>
      </c>
      <c r="I63" s="1" t="n">
        <v>0</v>
      </c>
      <c r="J63" s="1" t="n">
        <v>0</v>
      </c>
      <c r="K63" s="1" t="n">
        <v>0</v>
      </c>
      <c r="L63" s="1" t="n">
        <v>0</v>
      </c>
      <c r="M63" s="1" t="n">
        <v>0</v>
      </c>
      <c r="N63" s="1">
        <f>SUM(B63:M63)</f>
        <v/>
      </c>
    </row>
    <row r="64">
      <c r="A64" s="2" t="inlineStr">
        <is>
          <t>Travel, Meals, and Entertainment</t>
        </is>
      </c>
      <c r="B64" s="1" t="n">
        <v>0</v>
      </c>
      <c r="C64" s="1" t="n">
        <v>20</v>
      </c>
      <c r="D64" s="1" t="n">
        <v>0</v>
      </c>
      <c r="E64" s="1" t="n">
        <v>0</v>
      </c>
      <c r="F64" s="1" t="n">
        <v>20</v>
      </c>
      <c r="G64" s="1" t="n">
        <v>0</v>
      </c>
      <c r="H64" s="1" t="n">
        <v>20</v>
      </c>
      <c r="I64" s="1" t="n">
        <v>20</v>
      </c>
      <c r="J64" s="1" t="n">
        <v>0</v>
      </c>
      <c r="K64" s="1" t="n">
        <v>20</v>
      </c>
      <c r="L64" s="1" t="n">
        <v>53</v>
      </c>
      <c r="M64" s="1" t="n">
        <v>0</v>
      </c>
      <c r="N64" s="1">
        <f>SUM(B64:M64)</f>
        <v/>
      </c>
    </row>
    <row r="65">
      <c r="A65" s="2" t="inlineStr">
        <is>
          <t>Accounting and legal</t>
        </is>
      </c>
      <c r="N65" s="1">
        <f>SUM(B65:M65)</f>
        <v/>
      </c>
    </row>
    <row r="66">
      <c r="A66" s="2" t="inlineStr">
        <is>
          <t>Cellphone and Internet</t>
        </is>
      </c>
      <c r="B66" s="1" t="n">
        <v>51.12</v>
      </c>
      <c r="C66" s="1" t="n">
        <v>93.26000000000001</v>
      </c>
      <c r="D66" s="1" t="n">
        <v>98.26000000000001</v>
      </c>
      <c r="E66" s="1" t="n">
        <v>98.26000000000001</v>
      </c>
      <c r="F66" s="1" t="n">
        <v>98.26000000000001</v>
      </c>
      <c r="G66" s="1" t="n">
        <v>98.26000000000001</v>
      </c>
      <c r="H66" s="1" t="n">
        <v>98.23</v>
      </c>
      <c r="I66" s="1" t="n">
        <v>98.34</v>
      </c>
      <c r="J66" s="1" t="n">
        <v>98.34</v>
      </c>
      <c r="K66" s="1" t="n">
        <v>98.39</v>
      </c>
      <c r="L66" s="1" t="n">
        <v>98.39</v>
      </c>
      <c r="M66" s="1" t="n">
        <v>97.91</v>
      </c>
      <c r="N66" s="1">
        <f>SUM(B66:M66)</f>
        <v/>
      </c>
    </row>
    <row r="67">
      <c r="A67" s="2" t="inlineStr">
        <is>
          <t>Software Fees</t>
        </is>
      </c>
      <c r="B67" s="1" t="n">
        <v>22.17</v>
      </c>
      <c r="C67" s="1" t="n">
        <v>22.17</v>
      </c>
      <c r="D67" s="1" t="n">
        <v>22.17</v>
      </c>
      <c r="E67" s="1" t="n">
        <v>22.17</v>
      </c>
      <c r="F67" s="1" t="n">
        <v>22.17</v>
      </c>
      <c r="G67" s="1" t="n">
        <v>22.17</v>
      </c>
      <c r="H67" s="1" t="n">
        <v>22.17</v>
      </c>
      <c r="I67" s="1" t="n">
        <v>2.17</v>
      </c>
      <c r="J67" s="1" t="n">
        <v>57.17</v>
      </c>
      <c r="K67" s="1" t="n">
        <v>37.17</v>
      </c>
      <c r="L67" s="1" t="n">
        <v>17.17</v>
      </c>
      <c r="M67" s="1" t="n">
        <v>57.17</v>
      </c>
      <c r="N67" s="1">
        <f>SUM(B67:M67)</f>
        <v/>
      </c>
    </row>
    <row r="68">
      <c r="A68" s="2" t="inlineStr">
        <is>
          <t>Tech</t>
        </is>
      </c>
      <c r="B68" s="1" t="n">
        <v>0</v>
      </c>
      <c r="C68" s="1" t="n">
        <v>0</v>
      </c>
      <c r="D68" s="1" t="n">
        <v>0</v>
      </c>
      <c r="E68" s="1" t="n">
        <v>20</v>
      </c>
      <c r="F68" s="1" t="n">
        <v>192</v>
      </c>
      <c r="G68" s="1" t="n">
        <v>0</v>
      </c>
      <c r="H68" s="1" t="n">
        <v>0</v>
      </c>
      <c r="I68" s="1" t="n">
        <v>0</v>
      </c>
      <c r="J68" s="1" t="n">
        <v>0</v>
      </c>
      <c r="K68" s="1" t="n">
        <v>0</v>
      </c>
      <c r="L68" s="1" t="n">
        <v>0</v>
      </c>
      <c r="M68" s="1" t="n">
        <v>0</v>
      </c>
      <c r="N68" s="1">
        <f>SUM(B68:M68)</f>
        <v/>
      </c>
    </row>
    <row r="69">
      <c r="A69" s="2" t="inlineStr">
        <is>
          <t>Consultant Fees</t>
        </is>
      </c>
      <c r="B69" s="1" t="n">
        <v>0</v>
      </c>
      <c r="C69" s="1" t="n">
        <v>0</v>
      </c>
      <c r="D69" s="1" t="n">
        <v>0</v>
      </c>
      <c r="E69" s="1" t="n">
        <v>0</v>
      </c>
      <c r="F69" s="1" t="n">
        <v>0</v>
      </c>
      <c r="G69" s="1" t="n">
        <v>0</v>
      </c>
      <c r="H69" s="1" t="n">
        <v>334.17</v>
      </c>
      <c r="I69" s="1" t="n">
        <v>0</v>
      </c>
      <c r="J69" s="1" t="n">
        <v>0</v>
      </c>
      <c r="K69" s="1" t="n">
        <v>658.63</v>
      </c>
      <c r="L69" s="1" t="n">
        <v>0</v>
      </c>
      <c r="M69" s="1" t="n">
        <v>0</v>
      </c>
      <c r="N69" s="1">
        <f>SUM(B69:M69)</f>
        <v/>
      </c>
    </row>
    <row r="70">
      <c r="A70" s="2" t="inlineStr">
        <is>
          <t>Art Library</t>
        </is>
      </c>
      <c r="B70" s="1" t="n">
        <v>153.44</v>
      </c>
      <c r="C70" s="1" t="n">
        <v>78.47</v>
      </c>
      <c r="D70" s="1" t="n">
        <v>0</v>
      </c>
      <c r="E70" s="1" t="n">
        <v>63.69</v>
      </c>
      <c r="F70" s="1" t="n">
        <v>0</v>
      </c>
      <c r="G70" s="1" t="n">
        <v>0</v>
      </c>
      <c r="H70" s="1" t="n">
        <v>0</v>
      </c>
      <c r="I70" s="1" t="n">
        <v>0</v>
      </c>
      <c r="J70" s="1" t="n">
        <v>0</v>
      </c>
      <c r="K70" s="1" t="n">
        <v>0</v>
      </c>
      <c r="L70" s="1" t="n">
        <v>0</v>
      </c>
      <c r="M70" s="1" t="n">
        <v>0</v>
      </c>
      <c r="N70" s="1">
        <f>SUM(B70:M70)</f>
        <v/>
      </c>
    </row>
    <row r="71">
      <c r="A71" s="2" t="inlineStr">
        <is>
          <t>Utilities</t>
        </is>
      </c>
      <c r="N71" s="1">
        <f>SUM(B71:M71)</f>
        <v/>
      </c>
    </row>
    <row r="72">
      <c r="A72" s="2" t="inlineStr">
        <is>
          <t>Insurance</t>
        </is>
      </c>
      <c r="N72" s="1">
        <f>SUM(B72:M72)</f>
        <v/>
      </c>
    </row>
    <row r="73">
      <c r="A73" s="3" t="inlineStr">
        <is>
          <t>TOTAL EXPENSES</t>
        </is>
      </c>
      <c r="B73" s="4">
        <f>SUM(B58:B72)</f>
        <v/>
      </c>
      <c r="C73" s="4">
        <f>SUM(C58:C72)</f>
        <v/>
      </c>
      <c r="D73" s="4">
        <f>SUM(D58:D72)</f>
        <v/>
      </c>
      <c r="E73" s="4">
        <f>SUM(E58:E72)</f>
        <v/>
      </c>
      <c r="F73" s="4">
        <f>SUM(F58:F72)</f>
        <v/>
      </c>
      <c r="G73" s="4">
        <f>SUM(G58:G72)</f>
        <v/>
      </c>
      <c r="H73" s="4">
        <f>SUM(H58:H72)</f>
        <v/>
      </c>
      <c r="I73" s="4">
        <f>SUM(I58:I72)</f>
        <v/>
      </c>
      <c r="J73" s="4">
        <f>SUM(J58:J72)</f>
        <v/>
      </c>
      <c r="K73" s="4">
        <f>SUM(K58:K72)</f>
        <v/>
      </c>
      <c r="L73" s="4">
        <f>SUM(L58:L72)</f>
        <v/>
      </c>
      <c r="M73" s="4">
        <f>SUM(M58:M72)</f>
        <v/>
      </c>
      <c r="N73" s="4">
        <f>SUM(N58:N72)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5"/>
  <sheetViews>
    <sheetView workbookViewId="0">
      <selection activeCell="A1" sqref="A1"/>
    </sheetView>
  </sheetViews>
  <sheetFormatPr baseColWidth="8" defaultRowHeight="15"/>
  <cols>
    <col width="44" customWidth="1" min="1" max="1"/>
    <col width="28" customWidth="1" min="2" max="2"/>
  </cols>
  <sheetData>
    <row r="1">
      <c r="A1" s="3" t="inlineStr">
        <is>
          <t>Book</t>
        </is>
      </c>
    </row>
    <row r="74">
      <c r="A74" s="4" t="n">
        <v>2025</v>
      </c>
    </row>
    <row r="75">
      <c r="A75" s="2" t="inlineStr">
        <is>
          <t>Jewelry Books</t>
        </is>
      </c>
      <c r="B75" s="2" t="inlineStr">
        <is>
          <t>Fred Schultz Library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82"/>
  <sheetViews>
    <sheetView workbookViewId="0">
      <selection activeCell="A1" sqref="A1"/>
    </sheetView>
  </sheetViews>
  <sheetFormatPr baseColWidth="8" defaultRowHeight="15"/>
  <cols>
    <col width="44" customWidth="1" min="1" max="1"/>
    <col width="28" customWidth="1" min="2" max="2"/>
  </cols>
  <sheetData>
    <row r="1">
      <c r="A1" s="3" t="inlineStr">
        <is>
          <t>Art Sales and Purchases</t>
        </is>
      </c>
    </row>
    <row r="2">
      <c r="A2" s="2" t="inlineStr">
        <is>
          <t>Sales 2022</t>
        </is>
      </c>
    </row>
    <row r="3">
      <c r="A3" s="3" t="inlineStr">
        <is>
          <t>Object</t>
        </is>
      </c>
      <c r="C3" s="3" t="inlineStr">
        <is>
          <t>Cost</t>
        </is>
      </c>
      <c r="F3" s="3" t="inlineStr">
        <is>
          <t>Sale Price</t>
        </is>
      </c>
      <c r="H3" s="3" t="inlineStr">
        <is>
          <t>Net Income</t>
        </is>
      </c>
      <c r="K3" s="3" t="inlineStr">
        <is>
          <t>Classifier</t>
        </is>
      </c>
    </row>
    <row r="4">
      <c r="A4" s="2" t="inlineStr">
        <is>
          <t>An Ashanti Wood Fertility Figure</t>
        </is>
      </c>
      <c r="C4" s="1" t="n">
        <v>450</v>
      </c>
      <c r="F4" s="1" t="n">
        <v>500</v>
      </c>
      <c r="H4" s="1">
        <f>SUM(F4-C4)</f>
        <v/>
      </c>
    </row>
    <row r="5">
      <c r="A5" s="2" t="inlineStr">
        <is>
          <t>A Large Maya Hardstone Celt</t>
        </is>
      </c>
      <c r="C5" s="1" t="n">
        <v>906.37</v>
      </c>
      <c r="F5" s="1" t="n">
        <v>1000</v>
      </c>
      <c r="H5" s="1">
        <f>SUM(F5-C5)</f>
        <v/>
      </c>
    </row>
    <row r="6">
      <c r="A6" s="2" t="inlineStr">
        <is>
          <t>A Mezcala Stone Figure</t>
        </is>
      </c>
      <c r="C6" s="1" t="n">
        <v>239</v>
      </c>
      <c r="F6" s="1" t="n">
        <v>400</v>
      </c>
      <c r="H6" s="1">
        <f>SUM(F6-C6)</f>
        <v/>
      </c>
    </row>
    <row r="7">
      <c r="A7" s="2" t="inlineStr">
        <is>
          <t>A Veracruz Sonriente Figure</t>
        </is>
      </c>
      <c r="C7" s="1" t="n">
        <v>900</v>
      </c>
      <c r="F7" s="1" t="n">
        <v>1100</v>
      </c>
      <c r="H7" s="1">
        <f>SUM(F7-C7)</f>
        <v/>
      </c>
    </row>
    <row r="8">
      <c r="A8" s="2" t="inlineStr">
        <is>
          <t>A Tairona Metal Tumbaga</t>
        </is>
      </c>
      <c r="C8" s="1" t="n">
        <v>172</v>
      </c>
      <c r="F8" s="1" t="n">
        <v>375</v>
      </c>
      <c r="H8" s="1">
        <f>SUM(F8-C8)</f>
        <v/>
      </c>
    </row>
    <row r="9">
      <c r="A9" s="2" t="inlineStr">
        <is>
          <t>Four Thracian Gilt-Silver Double Eagle Plaques</t>
        </is>
      </c>
      <c r="C9" s="1" t="n">
        <v>400</v>
      </c>
      <c r="F9" s="1" t="n">
        <v>500</v>
      </c>
      <c r="H9" s="1">
        <f>SUM(F9-C9)</f>
        <v/>
      </c>
    </row>
    <row r="10">
      <c r="A10" s="2" t="inlineStr">
        <is>
          <t>A Thracian Gilt-Silver Tondo of a Female Bust</t>
        </is>
      </c>
      <c r="C10" s="1" t="n">
        <v>375</v>
      </c>
      <c r="F10" s="1" t="n">
        <v>700</v>
      </c>
      <c r="H10" s="1">
        <f>SUM(F10-C10)</f>
        <v/>
      </c>
    </row>
    <row r="11">
      <c r="A11" s="2" t="inlineStr">
        <is>
          <t>A Pair of Canosan Painted Pottery Oinochoai</t>
        </is>
      </c>
      <c r="C11" s="1" t="n">
        <v>6250</v>
      </c>
      <c r="F11" s="1" t="n">
        <v>15000</v>
      </c>
      <c r="H11" s="1">
        <f>SUM(F11-C11)</f>
        <v/>
      </c>
    </row>
    <row r="12">
      <c r="A12" s="2" t="inlineStr">
        <is>
          <t xml:space="preserve">Thirteen Saharan Stone Bracelets and Discoidals </t>
        </is>
      </c>
      <c r="C12" s="1" t="n">
        <v>6100</v>
      </c>
      <c r="F12" s="1" t="n">
        <v>8000</v>
      </c>
      <c r="H12" s="1">
        <f>SUM(F12-C12)</f>
        <v/>
      </c>
    </row>
    <row r="13">
      <c r="A13" s="2" t="inlineStr">
        <is>
          <t>A Greek Style Bronze Corinthian Helmet</t>
        </is>
      </c>
      <c r="C13" s="1" t="n">
        <v>5250.97</v>
      </c>
      <c r="F13" s="1" t="n">
        <v>9000</v>
      </c>
      <c r="H13" s="1">
        <f>SUM(F13-C13)</f>
        <v/>
      </c>
    </row>
    <row r="14">
      <c r="A14" s="3" t="inlineStr">
        <is>
          <t>Total</t>
        </is>
      </c>
      <c r="C14" s="4">
        <f>SUM(C4:C13)</f>
        <v/>
      </c>
      <c r="F14" s="4">
        <f>SUM(F4:F13)</f>
        <v/>
      </c>
      <c r="H14" s="4">
        <f>SUM(H4:H13)</f>
        <v/>
      </c>
    </row>
    <row r="15">
      <c r="A15" s="2" t="inlineStr">
        <is>
          <t>Sales 2023</t>
        </is>
      </c>
    </row>
    <row r="16">
      <c r="A16" s="3" t="inlineStr">
        <is>
          <t>Object</t>
        </is>
      </c>
      <c r="C16" s="3" t="inlineStr">
        <is>
          <t>Cost</t>
        </is>
      </c>
      <c r="F16" s="3" t="inlineStr">
        <is>
          <t>Sale Price</t>
        </is>
      </c>
      <c r="H16" s="3" t="inlineStr">
        <is>
          <t>Net Income</t>
        </is>
      </c>
      <c r="K16" s="3" t="inlineStr">
        <is>
          <t>Classifier</t>
        </is>
      </c>
    </row>
    <row r="17">
      <c r="A17" s="2" t="inlineStr">
        <is>
          <t>Greek Bronze Cheek Pieces</t>
        </is>
      </c>
      <c r="C17" s="1" t="n">
        <v>2870.43</v>
      </c>
      <c r="F17" s="1" t="n">
        <v>8500</v>
      </c>
      <c r="H17" s="1">
        <f>SUM(F17-C17)</f>
        <v/>
      </c>
    </row>
    <row r="18">
      <c r="A18" s="2" t="inlineStr">
        <is>
          <t>Egyptian Neolithic Flint Tools (2)</t>
        </is>
      </c>
      <c r="C18" s="1" t="n">
        <v>392.14</v>
      </c>
      <c r="F18" s="1" t="n">
        <v>2500</v>
      </c>
      <c r="H18" s="1">
        <f>SUM(F18-C18)</f>
        <v/>
      </c>
    </row>
    <row r="19">
      <c r="A19" s="2" t="inlineStr">
        <is>
          <t>Apulian Red Figure Fragment</t>
        </is>
      </c>
      <c r="C19" s="1" t="n">
        <v>750</v>
      </c>
      <c r="F19" s="1" t="n">
        <v>600</v>
      </c>
      <c r="H19" s="1">
        <f>SUM(F19-C19)</f>
        <v/>
      </c>
    </row>
    <row r="20">
      <c r="A20" s="2" t="inlineStr">
        <is>
          <t>A Roman-Style Rock Crystal Amphoriskos</t>
        </is>
      </c>
      <c r="C20" s="1" t="n">
        <v>1351.78</v>
      </c>
      <c r="F20" s="1" t="n">
        <v>1900</v>
      </c>
      <c r="H20" s="1">
        <f>SUM(F20-C20)</f>
        <v/>
      </c>
    </row>
    <row r="21">
      <c r="A21" s="3" t="inlineStr">
        <is>
          <t>A Roman Mosaic</t>
        </is>
      </c>
      <c r="C21" s="1" t="n">
        <v>3938</v>
      </c>
      <c r="F21" s="1" t="n">
        <v>8500</v>
      </c>
      <c r="H21" s="1">
        <f>SUM(F21-C21)</f>
        <v/>
      </c>
    </row>
    <row r="22">
      <c r="A22" s="2" t="inlineStr">
        <is>
          <t>Pre-Columbian Jade Earspools</t>
        </is>
      </c>
      <c r="C22" s="1" t="n">
        <v>233</v>
      </c>
      <c r="F22" s="1" t="n">
        <v>500</v>
      </c>
      <c r="H22" s="1">
        <f>SUM(F22-C22)</f>
        <v/>
      </c>
    </row>
    <row r="23">
      <c r="A23" s="2" t="inlineStr">
        <is>
          <t>Teo Alabaster Mask</t>
        </is>
      </c>
      <c r="C23" s="1" t="n">
        <v>701.5</v>
      </c>
      <c r="F23" s="1" t="n">
        <v>2000</v>
      </c>
      <c r="H23" s="1">
        <f>SUM(F23-C23)</f>
        <v/>
      </c>
    </row>
    <row r="24">
      <c r="A24" s="2" t="inlineStr">
        <is>
          <t>Mezcala Stone Temple</t>
        </is>
      </c>
      <c r="C24" s="1" t="n">
        <v>233</v>
      </c>
      <c r="F24" s="1" t="n">
        <v>500</v>
      </c>
      <c r="H24" s="1">
        <f>SUM(F24-C24)</f>
        <v/>
      </c>
    </row>
    <row r="25">
      <c r="A25" s="2" t="inlineStr">
        <is>
          <t>Mezcala Stone Figure</t>
        </is>
      </c>
      <c r="C25" s="1" t="n">
        <v>233</v>
      </c>
      <c r="F25" s="1" t="n">
        <v>500</v>
      </c>
      <c r="H25" s="1">
        <f>SUM(F25-C25)</f>
        <v/>
      </c>
    </row>
    <row r="26">
      <c r="A26" s="2" t="inlineStr">
        <is>
          <t>GREEK BRONZE HELMET OF PHRYGIAN TYPE</t>
        </is>
      </c>
      <c r="C26" s="1" t="n">
        <v>2000</v>
      </c>
      <c r="F26" s="1" t="n">
        <v>7000</v>
      </c>
      <c r="H26" s="1">
        <f>SUM(F26-C26)</f>
        <v/>
      </c>
    </row>
    <row r="27">
      <c r="A27" s="2" t="inlineStr">
        <is>
          <t>Bactrian Style Stone Votive</t>
        </is>
      </c>
      <c r="C27" s="1" t="n">
        <v>990</v>
      </c>
      <c r="F27" s="1" t="n">
        <v>1000</v>
      </c>
      <c r="H27" s="1">
        <f>SUM(F27-C27)</f>
        <v/>
      </c>
    </row>
    <row r="28">
      <c r="A28" s="2" t="inlineStr">
        <is>
          <t>A Roman Bronze Knife</t>
        </is>
      </c>
      <c r="C28" s="1" t="n">
        <v>110</v>
      </c>
      <c r="F28" s="1" t="n">
        <v>100</v>
      </c>
      <c r="H28" s="1">
        <f>SUM(F28-C28)</f>
        <v/>
      </c>
    </row>
    <row r="29">
      <c r="A29" s="2" t="inlineStr">
        <is>
          <t>Collection of Cylinder Seals</t>
        </is>
      </c>
      <c r="C29" s="1" t="n">
        <v>360000</v>
      </c>
      <c r="F29" s="1" t="n">
        <v>410000</v>
      </c>
      <c r="H29" s="1">
        <f>SUM(F29-C29)</f>
        <v/>
      </c>
    </row>
    <row r="30">
      <c r="A30" s="2" t="inlineStr">
        <is>
          <t>An Egyptian Cylinder Seal</t>
        </is>
      </c>
      <c r="C30" s="1" t="n">
        <v>3600</v>
      </c>
      <c r="F30" s="1" t="n">
        <v>4000</v>
      </c>
      <c r="H30" s="1">
        <f>SUM(F30-C30)</f>
        <v/>
      </c>
    </row>
    <row r="31">
      <c r="A31" s="2" t="inlineStr">
        <is>
          <t>A Collection of Tablets</t>
        </is>
      </c>
      <c r="C31" s="1" t="n">
        <v>45000</v>
      </c>
      <c r="F31" s="1" t="n">
        <v>55000</v>
      </c>
      <c r="H31" s="1">
        <f>SUM(F31-C31)</f>
        <v/>
      </c>
    </row>
    <row r="32">
      <c r="A32" s="2" t="inlineStr">
        <is>
          <t>A Gold Coin</t>
        </is>
      </c>
      <c r="C32" s="1" t="n">
        <v>4000</v>
      </c>
      <c r="F32" s="1" t="n">
        <v>4700</v>
      </c>
      <c r="H32" s="1">
        <f>SUM(F32-C32)</f>
        <v/>
      </c>
    </row>
    <row r="33">
      <c r="A33" s="2" t="inlineStr">
        <is>
          <t>Bactrian Chlorite Vessel</t>
        </is>
      </c>
      <c r="C33" s="1" t="n">
        <v>10</v>
      </c>
      <c r="F33" s="1" t="n">
        <v>2000</v>
      </c>
      <c r="H33" s="1">
        <f>SUM(F33-C33)</f>
        <v/>
      </c>
    </row>
    <row r="34">
      <c r="A34" s="2" t="inlineStr">
        <is>
          <t>An Egyptian Limestone Head of Hathor</t>
        </is>
      </c>
      <c r="C34" s="1" t="n">
        <v>50</v>
      </c>
      <c r="F34" s="1" t="n">
        <v>1000</v>
      </c>
      <c r="H34" s="1">
        <f>SUM(F34-C34)</f>
        <v/>
      </c>
    </row>
    <row r="35">
      <c r="A35" s="2" t="inlineStr">
        <is>
          <t>Native America Banner Stone (Butterfly)</t>
        </is>
      </c>
      <c r="C35" s="1" t="n">
        <v>50</v>
      </c>
      <c r="F35" s="1" t="n">
        <v>100</v>
      </c>
      <c r="H35" s="1">
        <f>SUM(F35-C35)</f>
        <v/>
      </c>
    </row>
    <row r="36">
      <c r="A36" s="2" t="inlineStr">
        <is>
          <t>Native America Banner Stone (Anthro)</t>
        </is>
      </c>
      <c r="C36" s="1" t="n">
        <v>50</v>
      </c>
      <c r="F36" s="1" t="n">
        <v>100</v>
      </c>
      <c r="H36" s="1">
        <f>SUM(F36-C36)</f>
        <v/>
      </c>
    </row>
    <row r="37">
      <c r="A37" s="3" t="inlineStr">
        <is>
          <t>Total</t>
        </is>
      </c>
      <c r="C37" s="4">
        <f>SUM(C17:C36)</f>
        <v/>
      </c>
      <c r="F37" s="4">
        <f>SUM(F17:F36)</f>
        <v/>
      </c>
      <c r="H37" s="4">
        <f>SUM(H17:H36)</f>
        <v/>
      </c>
    </row>
    <row r="38">
      <c r="A38" s="2" t="inlineStr">
        <is>
          <t>Sales 2024</t>
        </is>
      </c>
    </row>
    <row r="39">
      <c r="A39" s="3" t="inlineStr">
        <is>
          <t>Object</t>
        </is>
      </c>
      <c r="C39" s="3" t="inlineStr">
        <is>
          <t>Cost</t>
        </is>
      </c>
      <c r="F39" s="3" t="inlineStr">
        <is>
          <t>Sale Price</t>
        </is>
      </c>
      <c r="H39" s="3" t="inlineStr">
        <is>
          <t>Net Income</t>
        </is>
      </c>
      <c r="K39" s="3" t="inlineStr">
        <is>
          <t>Classifier</t>
        </is>
      </c>
    </row>
    <row r="40">
      <c r="A40" s="2" t="inlineStr">
        <is>
          <t>A Valdivian Stone Votive Axe</t>
        </is>
      </c>
      <c r="C40" s="1" t="n">
        <v>470</v>
      </c>
      <c r="F40" s="1" t="n">
        <v>600</v>
      </c>
      <c r="H40" s="1">
        <f>SUM(F40-C40)</f>
        <v/>
      </c>
    </row>
    <row r="41">
      <c r="A41" s="2" t="inlineStr">
        <is>
          <t>A Roman Marble Leg</t>
        </is>
      </c>
      <c r="C41" s="1" t="n">
        <v>2500</v>
      </c>
      <c r="F41" s="1" t="n">
        <v>2982</v>
      </c>
      <c r="H41" s="1">
        <f>SUM(F41-C41)</f>
        <v/>
      </c>
    </row>
    <row r="42">
      <c r="A42" s="2" t="inlineStr">
        <is>
          <t>Sword 10th Century Viking</t>
        </is>
      </c>
      <c r="C42" s="1" t="n">
        <v>1416.99</v>
      </c>
      <c r="F42" s="1" t="n">
        <v>6500</v>
      </c>
      <c r="H42" s="1">
        <f>SUM(F42-C42)</f>
        <v/>
      </c>
    </row>
    <row r="43">
      <c r="A43" s="2" t="inlineStr">
        <is>
          <t>A Collection of Cylinder Seal</t>
        </is>
      </c>
      <c r="C43" s="1" t="n">
        <v>33000</v>
      </c>
      <c r="F43" s="1" t="n">
        <v>36000</v>
      </c>
      <c r="H43" s="1">
        <f>SUM(F43-C43)</f>
        <v/>
      </c>
    </row>
    <row r="44">
      <c r="A44" s="2" t="inlineStr">
        <is>
          <t>A Roman Glass Beaker</t>
        </is>
      </c>
      <c r="C44" s="1" t="n">
        <v>25000</v>
      </c>
      <c r="F44" s="1" t="n">
        <v>37500</v>
      </c>
      <c r="H44" s="1">
        <f>SUM(F44-C44)</f>
        <v/>
      </c>
    </row>
    <row r="45">
      <c r="A45" s="2" t="inlineStr">
        <is>
          <t>An Egyptian Limestone Head of a Pharaoh</t>
        </is>
      </c>
      <c r="C45" s="1" t="n">
        <v>1885.96</v>
      </c>
      <c r="F45" s="1" t="n">
        <v>5500</v>
      </c>
      <c r="H45" s="1">
        <f>SUM(F45-C45)</f>
        <v/>
      </c>
    </row>
    <row r="46">
      <c r="A46" s="2" t="inlineStr">
        <is>
          <t>Indus Valley Vessels</t>
        </is>
      </c>
      <c r="C46" s="1" t="n">
        <v>214.99</v>
      </c>
      <c r="F46" s="1" t="n">
        <v>1700</v>
      </c>
      <c r="H46" s="1">
        <f>SUM(F46-C46)</f>
        <v/>
      </c>
    </row>
    <row r="47">
      <c r="A47" s="3" t="inlineStr">
        <is>
          <t>Total</t>
        </is>
      </c>
      <c r="C47" s="4">
        <f>SUM(C40:C46)</f>
        <v/>
      </c>
      <c r="F47" s="4">
        <f>SUM(F40:F46)</f>
        <v/>
      </c>
      <c r="H47" s="4">
        <f>SUM(H40:H46)</f>
        <v/>
      </c>
    </row>
    <row r="49">
      <c r="A49" s="2" t="inlineStr">
        <is>
          <t>Sales 2025</t>
        </is>
      </c>
    </row>
    <row r="50">
      <c r="A50" s="3" t="inlineStr">
        <is>
          <t>Object</t>
        </is>
      </c>
      <c r="C50" s="3" t="inlineStr">
        <is>
          <t>Cost</t>
        </is>
      </c>
      <c r="F50" s="3" t="inlineStr">
        <is>
          <t>Sale Price</t>
        </is>
      </c>
      <c r="H50" s="3" t="inlineStr">
        <is>
          <t>Net Income</t>
        </is>
      </c>
      <c r="K50" s="3" t="inlineStr">
        <is>
          <t>Classifier</t>
        </is>
      </c>
    </row>
    <row r="51">
      <c r="A51" s="2" t="inlineStr">
        <is>
          <t>A Group of 10 Engraved Gems</t>
        </is>
      </c>
      <c r="C51" s="1" t="n">
        <v>1000</v>
      </c>
      <c r="H51" s="1">
        <f>IF(OR(F51="",C51=""),"",F51-C51)</f>
        <v/>
      </c>
    </row>
    <row r="52">
      <c r="A52" s="2" t="inlineStr">
        <is>
          <t>A Greek Amber(?) Ram's Head Protome</t>
        </is>
      </c>
      <c r="C52" s="1" t="n">
        <v>300</v>
      </c>
      <c r="H52" s="1">
        <f>IF(OR(F52="",C52=""),"",F52-C52)</f>
        <v/>
      </c>
    </row>
    <row r="53">
      <c r="A53" s="2" t="inlineStr">
        <is>
          <t>A Stone Cylinder Seal</t>
        </is>
      </c>
      <c r="C53" s="1" t="n">
        <v>300</v>
      </c>
      <c r="H53" s="1">
        <f>IF(OR(F53="",C53=""),"",F53-C53)</f>
        <v/>
      </c>
    </row>
    <row r="54">
      <c r="A54" s="2" t="inlineStr">
        <is>
          <t>Commission on Cypriot Head</t>
        </is>
      </c>
      <c r="C54" s="1" t="n">
        <v>1000</v>
      </c>
      <c r="H54" s="1">
        <f>IF(OR(F54="",C54=""),"",F54-C54)</f>
        <v/>
      </c>
    </row>
    <row r="55">
      <c r="A55" s="2" t="inlineStr">
        <is>
          <t>Commission on Seal Collection</t>
        </is>
      </c>
      <c r="C55" s="1" t="n">
        <v>1000</v>
      </c>
      <c r="H55" s="1">
        <f>IF(OR(F55="",C55=""),"",F55-C55)</f>
        <v/>
      </c>
    </row>
    <row r="56">
      <c r="A56" s="2" t="inlineStr">
        <is>
          <t>Scythian Faience Horse Plaque</t>
        </is>
      </c>
      <c r="C56" s="1" t="n">
        <v>1000</v>
      </c>
      <c r="H56" s="1">
        <f>IF(OR(F56="",C56=""),"",F56-C56)</f>
        <v/>
      </c>
    </row>
    <row r="57">
      <c r="A57" s="2" t="inlineStr">
        <is>
          <t>Syro-Hittite Terracotta Figure</t>
        </is>
      </c>
      <c r="C57" s="1" t="n">
        <v>600</v>
      </c>
      <c r="H57" s="1">
        <f>IF(OR(F57="",C57=""),"",F57-C57)</f>
        <v/>
      </c>
    </row>
    <row r="58">
      <c r="A58" s="2" t="inlineStr">
        <is>
          <t>A Group of 6 Roman Oil Lamps</t>
        </is>
      </c>
      <c r="C58" s="1" t="n">
        <v>600</v>
      </c>
      <c r="H58" s="1">
        <f>IF(OR(F58="",C58=""),"",F58-C58)</f>
        <v/>
      </c>
    </row>
    <row r="59">
      <c r="A59" s="2" t="inlineStr">
        <is>
          <t>A Cypriot Limestine Head</t>
        </is>
      </c>
      <c r="C59" s="1" t="n">
        <v>1000</v>
      </c>
      <c r="H59" s="1">
        <f>IF(OR(F59="",C59=""),"",F59-C59)</f>
        <v/>
      </c>
    </row>
    <row r="60">
      <c r="A60" s="2" t="inlineStr">
        <is>
          <t>A Roman Marble Torso</t>
        </is>
      </c>
      <c r="C60" s="1" t="n">
        <v>4000</v>
      </c>
      <c r="H60" s="1">
        <f>IF(OR(F60="",C60=""),"",F60-C60)</f>
        <v/>
      </c>
    </row>
    <row r="61">
      <c r="A61" s="2" t="inlineStr">
        <is>
          <t>Cypriot Bichrome Juglet</t>
        </is>
      </c>
      <c r="C61" s="1" t="n">
        <v>600</v>
      </c>
      <c r="H61" s="1">
        <f>IF(OR(F61="",C61=""),"",F61-C61)</f>
        <v/>
      </c>
    </row>
    <row r="62">
      <c r="A62" s="2" t="inlineStr">
        <is>
          <t>An Attic Black-Figured Fragment</t>
        </is>
      </c>
      <c r="C62" s="1" t="n">
        <v>334.44</v>
      </c>
      <c r="H62" s="1">
        <f>IF(OR(F62="",C62=""),"",F62-C62)</f>
        <v/>
      </c>
    </row>
    <row r="63">
      <c r="A63" s="2" t="inlineStr">
        <is>
          <t>A Luristan Bronze Ibex</t>
        </is>
      </c>
      <c r="C63" s="1" t="n">
        <v>234.44</v>
      </c>
      <c r="H63" s="1">
        <f>IF(OR(F63="",C63=""),"",F63-C63)</f>
        <v/>
      </c>
    </row>
    <row r="64">
      <c r="A64" s="2" t="inlineStr">
        <is>
          <t>An Egyptian Swivel Ring with Scarab</t>
        </is>
      </c>
      <c r="C64" s="1" t="n">
        <v>2228.76</v>
      </c>
      <c r="H64" s="1">
        <f>IF(OR(F64="",C64=""),"",F64-C64)</f>
        <v/>
      </c>
    </row>
    <row r="65">
      <c r="A65" s="2" t="inlineStr">
        <is>
          <t>A Canosan Terracotta Horse</t>
        </is>
      </c>
      <c r="C65" s="1" t="n">
        <v>1000</v>
      </c>
      <c r="H65" s="1">
        <f>IF(OR(F65="",C65=""),"",F65-C65)</f>
        <v/>
      </c>
    </row>
    <row r="66">
      <c r="A66" s="2" t="inlineStr">
        <is>
          <t>An Attic Black-Figured Column-Krater</t>
        </is>
      </c>
      <c r="C66" s="1" t="n">
        <v>4500</v>
      </c>
      <c r="H66" s="1">
        <f>IF(OR(F66="",C66=""),"",F66-C66)</f>
        <v/>
      </c>
    </row>
    <row r="67">
      <c r="A67" s="2" t="inlineStr">
        <is>
          <t>Roman Marble Base with Foot</t>
        </is>
      </c>
      <c r="C67" s="1" t="n">
        <v>500</v>
      </c>
      <c r="H67" s="1">
        <f>IF(OR(F67="",C67=""),"",F67-C67)</f>
        <v/>
      </c>
    </row>
    <row r="68">
      <c r="A68" s="2" t="inlineStr">
        <is>
          <t>Neolithic Flint Celt</t>
        </is>
      </c>
      <c r="C68" s="1" t="n">
        <v>195.78</v>
      </c>
      <c r="H68" s="1">
        <f>IF(OR(F68="",C68=""),"",F68-C68)</f>
        <v/>
      </c>
    </row>
    <row r="69">
      <c r="A69" s="2" t="inlineStr">
        <is>
          <t>Neolithic Danish Chert Adze</t>
        </is>
      </c>
      <c r="C69" s="1" t="n">
        <v>311.25</v>
      </c>
      <c r="H69" s="1">
        <f>IF(OR(F69="",C69=""),"",F69-C69)</f>
        <v/>
      </c>
    </row>
    <row r="70">
      <c r="A70" s="2" t="inlineStr">
        <is>
          <t>Three Lots from Lithics Sale</t>
        </is>
      </c>
      <c r="C70" s="1" t="n">
        <v>2240.27</v>
      </c>
      <c r="H70" s="1">
        <f>IF(OR(F70="",C70=""),"",F70-C70)</f>
        <v/>
      </c>
    </row>
    <row r="71">
      <c r="C71" s="1">
        <f>SUM(C51:C70)</f>
        <v/>
      </c>
      <c r="F71" s="1" t="n">
        <v>30000</v>
      </c>
      <c r="H71" s="1">
        <f>F71-C71</f>
        <v/>
      </c>
    </row>
    <row r="72">
      <c r="H72" s="1">
        <f>SUM(F72-C72)</f>
        <v/>
      </c>
    </row>
    <row r="73">
      <c r="A73" s="2" t="inlineStr">
        <is>
          <t>A Collection of Seals</t>
        </is>
      </c>
      <c r="B73" s="2" t="inlineStr">
        <is>
          <t>Erdal Dere</t>
        </is>
      </c>
      <c r="C73" s="1" t="n">
        <v>13000</v>
      </c>
      <c r="F73" s="1" t="n">
        <v>14000</v>
      </c>
      <c r="H73" s="1">
        <f>SUM(F73-C73)</f>
        <v/>
      </c>
    </row>
    <row r="74">
      <c r="A74" s="2" t="inlineStr">
        <is>
          <t>Mosaic Deal B — Plutus/Antiquarium</t>
        </is>
      </c>
      <c r="B74" s="2" t="inlineStr">
        <is>
          <t>Plutus &amp; Mnemosyne / DBA Antiquarium</t>
        </is>
      </c>
      <c r="C74" s="1" t="n">
        <v>50000</v>
      </c>
      <c r="F74" s="1" t="n">
        <v>50000</v>
      </c>
      <c r="H74" s="1">
        <f>F74-C74</f>
        <v/>
      </c>
      <c r="K74" s="2" t="inlineStr">
        <is>
          <t>SALE</t>
        </is>
      </c>
    </row>
    <row r="75">
      <c r="A75" s="2" t="inlineStr">
        <is>
          <t>Mosaic Deal A — Three Ancient Mosaics / Jamal Rifai</t>
        </is>
      </c>
      <c r="B75" s="2" t="inlineStr">
        <is>
          <t>Jamal M. Rifai (Cost ASK — personal BoA)</t>
        </is>
      </c>
      <c r="F75" s="1" t="n">
        <v>40000</v>
      </c>
      <c r="H75" s="1">
        <f>IF(OR(F75="",C75=""),"",F75-C75)</f>
        <v/>
      </c>
      <c r="K75" s="2" t="inlineStr">
        <is>
          <t>SALE</t>
        </is>
      </c>
    </row>
    <row r="76">
      <c r="A76" s="2" t="inlineStr">
        <is>
          <t>Canosan Terracotta Horse</t>
        </is>
      </c>
      <c r="B76" s="2" t="inlineStr">
        <is>
          <t>Hindman</t>
        </is>
      </c>
      <c r="C76" s="1" t="n">
        <v>900</v>
      </c>
      <c r="F76" s="1" t="n">
        <v>1000</v>
      </c>
      <c r="H76" s="1">
        <f>SUM(F76-C76)</f>
        <v/>
      </c>
    </row>
    <row r="77">
      <c r="A77" s="2" t="inlineStr">
        <is>
          <t>Sale 6428 Contract 303468 (object TBD)</t>
        </is>
      </c>
      <c r="B77" s="2" t="inlineStr">
        <is>
          <t>Cost TBD</t>
        </is>
      </c>
      <c r="F77" s="1" t="n">
        <v>11000</v>
      </c>
      <c r="H77" s="1">
        <f>IF(C77="","",F77-C77)</f>
        <v/>
      </c>
    </row>
    <row r="78">
      <c r="A78" s="2" t="inlineStr">
        <is>
          <t>Books (titles TBD)</t>
        </is>
      </c>
      <c r="B78" s="2" t="inlineStr">
        <is>
          <t>Cost TBD</t>
        </is>
      </c>
      <c r="F78" s="1" t="n">
        <v>1000</v>
      </c>
      <c r="H78" s="1">
        <f>IF(OR(F78="",C78=""),"",F78-C78)</f>
        <v/>
      </c>
    </row>
    <row r="79">
      <c r="A79" s="2" t="inlineStr">
        <is>
          <t>Roman Gold Belt</t>
        </is>
      </c>
      <c r="B79" s="2" t="inlineStr">
        <is>
          <t>Fortuna / Erdal Dere</t>
        </is>
      </c>
      <c r="C79" s="1" t="n">
        <v>45000</v>
      </c>
      <c r="F79" s="1" t="n">
        <v>50000</v>
      </c>
      <c r="H79" s="1">
        <f>F79-C79</f>
        <v/>
      </c>
      <c r="K79" s="2" t="inlineStr">
        <is>
          <t>SALE</t>
        </is>
      </c>
    </row>
    <row r="80">
      <c r="A80" s="2" t="inlineStr">
        <is>
          <t>Bronze head of a goddess, likely Venus (joint; EPGC share)</t>
        </is>
      </c>
      <c r="B80" s="2" t="inlineStr">
        <is>
          <t>Fortuna / Erdal Dere</t>
        </is>
      </c>
      <c r="C80" s="1" t="n">
        <v>20000</v>
      </c>
      <c r="F80" s="1" t="n">
        <v>26000</v>
      </c>
      <c r="H80" s="1">
        <f>F80-C80</f>
        <v/>
      </c>
      <c r="K80" s="2" t="inlineStr">
        <is>
          <t>SALE (joint, EPGC share)</t>
        </is>
      </c>
    </row>
    <row r="81">
      <c r="A81" s="2" t="inlineStr">
        <is>
          <t>August Fortuna joint — unnamed object (EPGC share)</t>
        </is>
      </c>
      <c r="B81" s="2" t="inlineStr">
        <is>
          <t>Fortuna / Erdal Dere</t>
        </is>
      </c>
      <c r="C81" s="1" t="n">
        <v>20000</v>
      </c>
      <c r="F81" s="1" t="n">
        <v>25000</v>
      </c>
      <c r="H81" s="1">
        <f>F81-C81</f>
        <v/>
      </c>
      <c r="K81" s="2" t="inlineStr">
        <is>
          <t>SALE (joint, EPGC share)</t>
        </is>
      </c>
    </row>
    <row r="82">
      <c r="A82" s="2" t="inlineStr">
        <is>
          <t>Total</t>
        </is>
      </c>
      <c r="H82" s="1">
        <f>SUM(H51:H76)+H79+H80+H81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2:E26"/>
  <sheetViews>
    <sheetView workbookViewId="0">
      <selection activeCell="A1" sqref="A1"/>
    </sheetView>
  </sheetViews>
  <sheetFormatPr baseColWidth="8" defaultRowHeight="15"/>
  <cols>
    <col width="44" customWidth="1" min="1" max="1"/>
    <col width="28" customWidth="1" min="2" max="2"/>
  </cols>
  <sheetData>
    <row r="22">
      <c r="A22" s="2" t="inlineStr">
        <is>
          <t>GCM Boards 2025</t>
        </is>
      </c>
    </row>
    <row r="23">
      <c r="A23" s="3" t="inlineStr">
        <is>
          <t>Fees</t>
        </is>
      </c>
      <c r="B23" s="3" t="inlineStr">
        <is>
          <t>Q1</t>
        </is>
      </c>
      <c r="C23" s="3" t="inlineStr">
        <is>
          <t>Q2</t>
        </is>
      </c>
      <c r="D23" s="3" t="inlineStr">
        <is>
          <t>Q3</t>
        </is>
      </c>
      <c r="E23" s="3" t="inlineStr">
        <is>
          <t>Q4</t>
        </is>
      </c>
    </row>
    <row r="24">
      <c r="A24" s="2" t="inlineStr">
        <is>
          <t>GCM Board</t>
        </is>
      </c>
      <c r="B24" s="1" t="n">
        <v>4100</v>
      </c>
      <c r="C24" s="1" t="n">
        <v>9200</v>
      </c>
      <c r="D24" s="1" t="n">
        <v>4100</v>
      </c>
      <c r="E24" s="1" t="n">
        <v>4100</v>
      </c>
    </row>
    <row r="25">
      <c r="A25" s="2" t="inlineStr">
        <is>
          <t>Total</t>
        </is>
      </c>
      <c r="B25" s="4">
        <f>SUM(B24)</f>
        <v/>
      </c>
      <c r="C25" s="4">
        <f>SUM(C24)</f>
        <v/>
      </c>
      <c r="D25" s="4">
        <f>SUM(D24)</f>
        <v/>
      </c>
      <c r="E25" s="4">
        <f>SUM(E24)</f>
        <v/>
      </c>
    </row>
    <row r="26">
      <c r="A26" s="3" t="inlineStr">
        <is>
          <t>Grand Total</t>
        </is>
      </c>
      <c r="E26" s="4">
        <f>SUM(B25:E25)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2:E9"/>
  <sheetViews>
    <sheetView workbookViewId="0">
      <selection activeCell="A1" sqref="A1"/>
    </sheetView>
  </sheetViews>
  <sheetFormatPr baseColWidth="8" defaultRowHeight="15"/>
  <cols>
    <col width="44" customWidth="1" min="1" max="1"/>
    <col width="28" customWidth="1" min="2" max="2"/>
  </cols>
  <sheetData>
    <row r="2">
      <c r="A2" s="2" t="inlineStr">
        <is>
          <t>Contractual Employee 2023</t>
        </is>
      </c>
    </row>
    <row r="3">
      <c r="A3" s="3" t="inlineStr">
        <is>
          <t>Income</t>
        </is>
      </c>
      <c r="B3" s="3" t="inlineStr">
        <is>
          <t>Q1</t>
        </is>
      </c>
      <c r="C3" s="3" t="inlineStr">
        <is>
          <t>Q2</t>
        </is>
      </c>
      <c r="D3" s="3" t="inlineStr">
        <is>
          <t>Q3</t>
        </is>
      </c>
      <c r="E3" s="3" t="inlineStr">
        <is>
          <t>Q4</t>
        </is>
      </c>
    </row>
    <row r="4">
      <c r="A4" s="2" t="inlineStr">
        <is>
          <t>Salary</t>
        </is>
      </c>
    </row>
    <row r="5">
      <c r="A5" s="2" t="inlineStr">
        <is>
          <t>Bonus</t>
        </is>
      </c>
    </row>
    <row r="6">
      <c r="A6" s="2" t="inlineStr">
        <is>
          <t>Total</t>
        </is>
      </c>
      <c r="B6" s="4">
        <f>SUM(B4)</f>
        <v/>
      </c>
      <c r="C6" s="4">
        <f>SUM(C4)</f>
        <v/>
      </c>
      <c r="D6" s="4">
        <f>SUM(D4)</f>
        <v/>
      </c>
      <c r="E6" s="4">
        <f>SUM(E4)</f>
        <v/>
      </c>
    </row>
    <row r="7">
      <c r="A7" s="3" t="inlineStr">
        <is>
          <t>Total Revenues</t>
        </is>
      </c>
      <c r="E7" s="4" t="n">
        <v>115000</v>
      </c>
    </row>
    <row r="9">
      <c r="A9" s="2" t="inlineStr">
        <is>
          <t>Contractual Employee 2024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3:E9"/>
  <sheetViews>
    <sheetView workbookViewId="0">
      <selection activeCell="A1" sqref="A1"/>
    </sheetView>
  </sheetViews>
  <sheetFormatPr baseColWidth="8" defaultRowHeight="15"/>
  <cols>
    <col width="44" customWidth="1" min="1" max="1"/>
    <col width="28" customWidth="1" min="2" max="2"/>
  </cols>
  <sheetData>
    <row r="3">
      <c r="A3" s="2" t="inlineStr">
        <is>
          <t>Contractual Employee 2022</t>
        </is>
      </c>
    </row>
    <row r="4">
      <c r="A4" s="3" t="inlineStr">
        <is>
          <t>Income</t>
        </is>
      </c>
      <c r="B4" s="3" t="inlineStr">
        <is>
          <t>Q1</t>
        </is>
      </c>
      <c r="C4" s="3" t="inlineStr">
        <is>
          <t>Q2</t>
        </is>
      </c>
      <c r="D4" s="3" t="inlineStr">
        <is>
          <t>Q3</t>
        </is>
      </c>
      <c r="E4" s="3" t="inlineStr">
        <is>
          <t>Q4</t>
        </is>
      </c>
    </row>
    <row r="5">
      <c r="A5" s="2" t="inlineStr">
        <is>
          <t>Salary</t>
        </is>
      </c>
      <c r="B5" s="1" t="n">
        <v>23000</v>
      </c>
      <c r="C5" s="1" t="n">
        <v>23000</v>
      </c>
      <c r="D5" s="1" t="n">
        <v>23000</v>
      </c>
      <c r="E5" s="1" t="n">
        <v>23000</v>
      </c>
    </row>
    <row r="6">
      <c r="A6" s="2" t="inlineStr">
        <is>
          <t>Total</t>
        </is>
      </c>
      <c r="B6" s="4">
        <f>SUM(B5)</f>
        <v/>
      </c>
      <c r="C6" s="4">
        <f>SUM(C5)</f>
        <v/>
      </c>
      <c r="D6" s="4">
        <f>SUM(D5)</f>
        <v/>
      </c>
      <c r="E6" s="4">
        <f>SUM(E5)</f>
        <v/>
      </c>
    </row>
    <row r="7">
      <c r="A7" s="3" t="inlineStr">
        <is>
          <t>Total Revenues</t>
        </is>
      </c>
      <c r="E7" s="4">
        <f>SUM(B6:E6)</f>
        <v/>
      </c>
    </row>
    <row r="9">
      <c r="A9" s="2" t="inlineStr">
        <is>
          <t>Contractual Employee 2023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cols>
    <col width="44" customWidth="1" min="1" max="1"/>
    <col width="28" customWidth="1" min="2" max="2"/>
  </cols>
  <sheetData>
    <row r="1">
      <c r="A1" s="2" t="inlineStr">
        <is>
          <t>Fidelity</t>
        </is>
      </c>
      <c r="B1" s="2" t="inlineStr">
        <is>
          <t>SEP IRA</t>
        </is>
      </c>
    </row>
    <row r="2">
      <c r="A2" s="2" t="inlineStr">
        <is>
          <t>ML</t>
        </is>
      </c>
      <c r="B2" s="2" t="inlineStr">
        <is>
          <t>UTMA EMMA COLEY</t>
        </is>
      </c>
    </row>
    <row r="3">
      <c r="A3" s="2" t="inlineStr">
        <is>
          <t>ML</t>
        </is>
      </c>
      <c r="B3" s="2" t="inlineStr">
        <is>
          <t>UTMA PHOEBE COLEY</t>
        </is>
      </c>
    </row>
    <row r="5">
      <c r="A5" s="3" t="inlineStr">
        <is>
          <t>Coinbase (ACH from Mercury 8291)</t>
        </is>
      </c>
      <c r="B5" s="2" t="inlineStr">
        <is>
          <t>Investment transfers — not EPGC Art Sales, not advisory. Distinct f...</t>
        </is>
      </c>
    </row>
    <row r="6">
      <c r="B6" s="3" t="inlineStr">
        <is>
          <t>JAN</t>
        </is>
      </c>
      <c r="C6" s="3" t="inlineStr">
        <is>
          <t>FEB</t>
        </is>
      </c>
      <c r="D6" s="3" t="inlineStr">
        <is>
          <t>MAR</t>
        </is>
      </c>
      <c r="E6" s="3" t="inlineStr">
        <is>
          <t>APR</t>
        </is>
      </c>
      <c r="F6" s="3" t="inlineStr">
        <is>
          <t>MAY</t>
        </is>
      </c>
      <c r="G6" s="3" t="inlineStr">
        <is>
          <t>JUN</t>
        </is>
      </c>
      <c r="H6" s="3" t="inlineStr">
        <is>
          <t>JUL</t>
        </is>
      </c>
      <c r="I6" s="3" t="inlineStr">
        <is>
          <t>AUG</t>
        </is>
      </c>
      <c r="J6" s="3" t="inlineStr">
        <is>
          <t>SEP</t>
        </is>
      </c>
      <c r="K6" s="3" t="inlineStr">
        <is>
          <t>OCT</t>
        </is>
      </c>
      <c r="L6" s="3" t="inlineStr">
        <is>
          <t>NOV</t>
        </is>
      </c>
      <c r="M6" s="3" t="inlineStr">
        <is>
          <t>DEC</t>
        </is>
      </c>
      <c r="N6" s="3" t="inlineStr">
        <is>
          <t>2025 NET</t>
        </is>
      </c>
    </row>
    <row r="7">
      <c r="A7" s="2" t="inlineStr">
        <is>
          <t>To Coinbase (funding)</t>
        </is>
      </c>
      <c r="B7" s="1" t="n">
        <v>0</v>
      </c>
      <c r="C7" s="1" t="n">
        <v>0</v>
      </c>
      <c r="D7" s="1" t="n">
        <v>0</v>
      </c>
      <c r="E7" s="1" t="n">
        <v>0</v>
      </c>
      <c r="F7" s="1" t="n">
        <v>0</v>
      </c>
      <c r="G7" s="1" t="n">
        <v>0</v>
      </c>
      <c r="H7" s="1" t="n">
        <v>0</v>
      </c>
      <c r="I7" s="1" t="n">
        <v>0</v>
      </c>
      <c r="J7" s="1" t="n">
        <v>-9000</v>
      </c>
      <c r="K7" s="1" t="n">
        <v>-10000</v>
      </c>
      <c r="L7" s="1" t="n">
        <v>-35000</v>
      </c>
      <c r="M7" s="1" t="n">
        <v>-5000</v>
      </c>
      <c r="N7" s="1">
        <f>SUM(B7:M7)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1:AB43"/>
  <sheetViews>
    <sheetView workbookViewId="0">
      <selection activeCell="A1" sqref="A1"/>
    </sheetView>
  </sheetViews>
  <sheetFormatPr baseColWidth="8" defaultRowHeight="15"/>
  <cols>
    <col width="44" customWidth="1" min="1" max="1"/>
    <col width="28" customWidth="1" min="2" max="2"/>
  </cols>
  <sheetData>
    <row r="1">
      <c r="B1" s="3" t="inlineStr">
        <is>
          <t>PROPERTY ADDRESS</t>
        </is>
      </c>
    </row>
    <row r="2">
      <c r="B2" s="2" t="inlineStr">
        <is>
          <t>INCOME</t>
        </is>
      </c>
    </row>
    <row r="3">
      <c r="B3" s="3" t="inlineStr">
        <is>
          <t>MULTI-PROPERTY INCOME OVERVIEW</t>
        </is>
      </c>
    </row>
    <row r="4">
      <c r="B4" s="2" t="inlineStr">
        <is>
          <t>MULTI-PROPERTY INCOME OVERVIEW</t>
        </is>
      </c>
      <c r="AB4" s="4">
        <f>SUM(P4:AA4)</f>
        <v/>
      </c>
    </row>
    <row r="5">
      <c r="B5" s="2" t="inlineStr">
        <is>
          <t>RENTAL INCOME</t>
        </is>
      </c>
      <c r="AB5" s="4">
        <f>SUM(P5:AA5)</f>
        <v/>
      </c>
    </row>
    <row r="6">
      <c r="B6" s="3" t="inlineStr">
        <is>
          <t>GROSS RENTAL INCOME</t>
        </is>
      </c>
      <c r="P6" s="1">
        <f>SUM(P4:P5)</f>
        <v/>
      </c>
      <c r="Q6" s="1">
        <f>SUM(Q4:Q5)</f>
        <v/>
      </c>
      <c r="R6" s="1">
        <f>SUM(R4:R5)</f>
        <v/>
      </c>
      <c r="S6" s="1">
        <f>SUM(S4:S5)</f>
        <v/>
      </c>
      <c r="T6" s="1">
        <f>SUM(T4:T5)</f>
        <v/>
      </c>
      <c r="U6" s="1">
        <f>SUM(U4:U5)</f>
        <v/>
      </c>
      <c r="V6" s="1">
        <f>SUM(V4:V5)</f>
        <v/>
      </c>
      <c r="W6" s="1">
        <f>SUM(W4:W5)</f>
        <v/>
      </c>
      <c r="X6" s="1">
        <f>SUM(X4:X5)</f>
        <v/>
      </c>
      <c r="Y6" s="1">
        <f>SUM(Y4:Y5)</f>
        <v/>
      </c>
      <c r="Z6" s="1">
        <f>SUM(Z4:Z5)</f>
        <v/>
      </c>
      <c r="AA6" s="1">
        <f>SUM(AA4:AA5)</f>
        <v/>
      </c>
      <c r="AB6" s="4">
        <f>SUM(P6:AA6)</f>
        <v/>
      </c>
    </row>
    <row r="8">
      <c r="B8" s="2" t="inlineStr">
        <is>
          <t>EXPENSES</t>
        </is>
      </c>
    </row>
    <row r="10">
      <c r="B10" s="2" t="inlineStr">
        <is>
          <t>MULTI-PROPERTY EXPENSES OVERVIEW</t>
        </is>
      </c>
      <c r="AB10" s="4">
        <f>SUM(P10:AA10)</f>
        <v/>
      </c>
    </row>
    <row r="11">
      <c r="B11" s="2" t="inlineStr">
        <is>
          <t>MARKETING / ADVERTISING</t>
        </is>
      </c>
      <c r="AB11" s="4">
        <f>SUM(P11:AA11)</f>
        <v/>
      </c>
    </row>
    <row r="12">
      <c r="B12" s="2" t="inlineStr">
        <is>
          <t>SERVICE FEES</t>
        </is>
      </c>
      <c r="AB12" s="4">
        <f>SUM(P12:AA12)</f>
        <v/>
      </c>
    </row>
    <row r="13">
      <c r="B13" s="2" t="inlineStr">
        <is>
          <t>REMITTED TAX</t>
        </is>
      </c>
      <c r="AB13" s="4">
        <f>SUM(P13:AA13)</f>
        <v/>
      </c>
    </row>
    <row r="14">
      <c r="B14" s="2" t="inlineStr">
        <is>
          <t>INSURANCE</t>
        </is>
      </c>
      <c r="AB14" s="4">
        <f>SUM(P14:AA14)</f>
        <v/>
      </c>
    </row>
    <row r="15">
      <c r="B15" s="2" t="inlineStr">
        <is>
          <t>INTERIOR MAINTENANCE</t>
        </is>
      </c>
      <c r="AB15" s="4">
        <f>SUM(P15:AA15)</f>
        <v/>
      </c>
    </row>
    <row r="16">
      <c r="B16" s="2" t="inlineStr">
        <is>
          <t>EXTERIOR REPAIRS</t>
        </is>
      </c>
      <c r="AB16" s="4">
        <f>SUM(P16:AA16)</f>
        <v/>
      </c>
    </row>
    <row r="17">
      <c r="B17" s="2" t="inlineStr">
        <is>
          <t>GROUNDSKEEPING</t>
        </is>
      </c>
      <c r="AB17" s="4">
        <f>SUM(P17:AA17)</f>
        <v/>
      </c>
    </row>
    <row r="18">
      <c r="AB18" s="4">
        <f>SUM(P18:AA18)</f>
        <v/>
      </c>
    </row>
    <row r="19">
      <c r="AB19" s="4">
        <f>SUM(P19:AA19)</f>
        <v/>
      </c>
    </row>
    <row r="20">
      <c r="AB20" s="4">
        <f>SUM(P20:AA20)</f>
        <v/>
      </c>
    </row>
    <row r="21">
      <c r="B21" s="2" t="inlineStr">
        <is>
          <t>VILLAGE WATER AND REFUSE</t>
        </is>
      </c>
      <c r="AB21" s="4">
        <f>SUM(P21:AA21)</f>
        <v/>
      </c>
    </row>
    <row r="22">
      <c r="B22" s="2" t="inlineStr">
        <is>
          <t>GAS</t>
        </is>
      </c>
      <c r="AB22" s="4">
        <f>SUM(P22:AA22)</f>
        <v/>
      </c>
    </row>
    <row r="23">
      <c r="B23" s="2" t="inlineStr">
        <is>
          <t>ELECTRIC</t>
        </is>
      </c>
      <c r="AB23" s="4">
        <f>SUM(P23:AA23)</f>
        <v/>
      </c>
    </row>
    <row r="24">
      <c r="B24" s="2" t="inlineStr">
        <is>
          <t>INTERNET</t>
        </is>
      </c>
      <c r="AB24" s="4">
        <f>SUM(P24:AA24)</f>
        <v/>
      </c>
    </row>
    <row r="25">
      <c r="B25" s="2" t="inlineStr">
        <is>
          <t>CORRESPONCES</t>
        </is>
      </c>
      <c r="AB25" s="4">
        <f>SUM(P25:AA25)</f>
        <v/>
      </c>
    </row>
    <row r="26">
      <c r="B26" s="2" t="inlineStr">
        <is>
          <t>INTERIOR DESINGOR</t>
        </is>
      </c>
      <c r="AB26" s="4">
        <f>SUM(P26:AA26)</f>
        <v/>
      </c>
    </row>
    <row r="27">
      <c r="B27" s="2" t="inlineStr">
        <is>
          <t>TRAVEL EXPENSES</t>
        </is>
      </c>
      <c r="AB27" s="4">
        <f>SUM(P27:AA27)</f>
        <v/>
      </c>
    </row>
    <row r="28">
      <c r="B28" s="2" t="inlineStr">
        <is>
          <t>EQUIPMENT/APPLIANCE PURCHASES</t>
        </is>
      </c>
      <c r="AB28" s="4">
        <f>SUM(P28:AA28)</f>
        <v/>
      </c>
    </row>
    <row r="29">
      <c r="B29" s="2" t="inlineStr">
        <is>
          <t>EQUIPMENT/APPLIANCE RENTAL FEES</t>
        </is>
      </c>
      <c r="AB29" s="4">
        <f>SUM(P29:AA29)</f>
        <v/>
      </c>
    </row>
    <row r="30">
      <c r="B30" s="2" t="inlineStr">
        <is>
          <t>LAND TAX</t>
        </is>
      </c>
      <c r="AB30" s="4">
        <f>SUM(P30:AA30)</f>
        <v/>
      </c>
    </row>
    <row r="31">
      <c r="B31" s="2" t="inlineStr">
        <is>
          <t>BORROWING EXPENSES</t>
        </is>
      </c>
      <c r="AB31" s="4">
        <f>SUM(P31:AA31)</f>
        <v/>
      </c>
    </row>
    <row r="32">
      <c r="B32" s="2" t="inlineStr">
        <is>
          <t>LOANS INTEREST</t>
        </is>
      </c>
      <c r="AB32" s="4">
        <f>SUM(P32:AA32)</f>
        <v/>
      </c>
    </row>
    <row r="33">
      <c r="B33" s="2" t="inlineStr">
        <is>
          <t>TRAVEL EXPENSES</t>
        </is>
      </c>
      <c r="AB33" s="4">
        <f>SUM(P33:AA33)</f>
        <v/>
      </c>
    </row>
    <row r="34">
      <c r="B34" s="2" t="inlineStr">
        <is>
          <t>MORTGAGE</t>
        </is>
      </c>
      <c r="AB34" s="4">
        <f>SUM(P34:AA34)</f>
        <v/>
      </c>
    </row>
    <row r="35">
      <c r="B35" s="2" t="inlineStr">
        <is>
          <t>HOA</t>
        </is>
      </c>
      <c r="AB35" s="4">
        <f>SUM(P35:AA35)</f>
        <v/>
      </c>
    </row>
    <row r="36">
      <c r="B36" s="2" t="inlineStr">
        <is>
          <t>TERMITE INSPECTION</t>
        </is>
      </c>
      <c r="AB36" s="4">
        <f>SUM(P36:AA36)</f>
        <v/>
      </c>
    </row>
    <row r="37">
      <c r="B37" s="2" t="inlineStr">
        <is>
          <t>OTHER</t>
        </is>
      </c>
      <c r="AB37" s="4">
        <f>SUM(P37:AA37)</f>
        <v/>
      </c>
    </row>
    <row r="38">
      <c r="B38" s="2" t="inlineStr">
        <is>
          <t>OTHER</t>
        </is>
      </c>
      <c r="AB38" s="4">
        <f>SUM(P38:AA38)</f>
        <v/>
      </c>
    </row>
    <row r="39">
      <c r="AB39" s="4">
        <f>SUM(P39:AA39)</f>
        <v/>
      </c>
    </row>
    <row r="40">
      <c r="AB40" s="4">
        <f>SUM(P40:AA40)</f>
        <v/>
      </c>
    </row>
    <row r="41">
      <c r="B41" s="3" t="inlineStr">
        <is>
          <t>TOTAL EXPENSES</t>
        </is>
      </c>
      <c r="P41" s="1">
        <f>SUM(P10:P40)</f>
        <v/>
      </c>
      <c r="Q41" s="1">
        <f>SUM(Q10:Q40)</f>
        <v/>
      </c>
      <c r="R41" s="1">
        <f>SUM(R10:R40)</f>
        <v/>
      </c>
      <c r="S41" s="1">
        <f>SUM(S10:S40)</f>
        <v/>
      </c>
      <c r="T41" s="1">
        <f>SUM(T10:T40)</f>
        <v/>
      </c>
      <c r="U41" s="1">
        <f>SUM(U10:U40)</f>
        <v/>
      </c>
      <c r="V41" s="1">
        <f>SUM(V10:V40)</f>
        <v/>
      </c>
      <c r="W41" s="1">
        <f>SUM(W10:W40)</f>
        <v/>
      </c>
      <c r="X41" s="1">
        <f>SUM(X10:X40)</f>
        <v/>
      </c>
      <c r="Y41" s="1">
        <f>SUM(Y10:Y40)</f>
        <v/>
      </c>
      <c r="Z41" s="1">
        <f>SUM(Z10:Z40)</f>
        <v/>
      </c>
      <c r="AA41" s="1">
        <f>SUM(AA10:AA40)</f>
        <v/>
      </c>
      <c r="AB41" s="4">
        <f>SUM(P41:AA41)</f>
        <v/>
      </c>
    </row>
    <row r="43">
      <c r="B43" s="3" t="inlineStr">
        <is>
          <t>YEAR-TO-DATE INCOME LESS EXPENSES</t>
        </is>
      </c>
      <c r="P43" s="1">
        <f>P6-P41</f>
        <v/>
      </c>
      <c r="Q43" s="1">
        <f>Q6-Q41</f>
        <v/>
      </c>
      <c r="R43" s="1">
        <f>R6-R41</f>
        <v/>
      </c>
      <c r="S43" s="1">
        <f>S6-S41</f>
        <v/>
      </c>
      <c r="T43" s="1">
        <f>T6-T41</f>
        <v/>
      </c>
      <c r="U43" s="1">
        <f>U6-U41</f>
        <v/>
      </c>
      <c r="V43" s="1">
        <f>V6-V41</f>
        <v/>
      </c>
      <c r="W43" s="1">
        <f>W6-W41</f>
        <v/>
      </c>
      <c r="X43" s="1">
        <f>X6-X41</f>
        <v/>
      </c>
      <c r="Y43" s="1">
        <f>Y6-Y41</f>
        <v/>
      </c>
      <c r="Z43" s="1">
        <f>Z6-Z41</f>
        <v/>
      </c>
      <c r="AA43" s="1">
        <f>AA6-AA41</f>
        <v/>
      </c>
      <c r="AB43" s="4">
        <f>AB6-AB41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44" customWidth="1" min="1" max="1"/>
    <col width="28" customWidth="1" min="2" max="2"/>
  </cols>
  <sheetData>
    <row r="1">
      <c r="A1" s="3" t="inlineStr">
        <is>
          <t>HOW THIS FILE IS MADE</t>
        </is>
      </c>
    </row>
    <row r="2">
      <c r="A2" s="2" t="inlineStr">
        <is>
          <t>This is last year's Personal Income.xlsx with a 2025 year block fil...</t>
        </is>
      </c>
    </row>
    <row r="3">
      <c r="A3" s="2" t="inlineStr">
        <is>
          <t>Last year file (model)</t>
        </is>
      </c>
      <c r="B3" s="2" t="inlineStr">
        <is>
          <t>Drive Personal Income.xlsx</t>
        </is>
      </c>
      <c r="C3" s="2" t="inlineStr">
        <is>
          <t>1qdewbEnTuc-DXdbqBmwHrKMetGm3I7Zo</t>
        </is>
      </c>
    </row>
    <row r="4">
      <c r="A4" s="2" t="inlineStr">
        <is>
          <t>This file</t>
        </is>
      </c>
      <c r="B4" s="2" t="inlineStr">
        <is>
          <t>Personal Income 2025.xlsx</t>
        </is>
      </c>
      <c r="C4" s="2" t="inlineStr">
        <is>
          <t>copy of that workbook + 2025 columns</t>
        </is>
      </c>
    </row>
    <row r="6">
      <c r="A6" s="3" t="inlineStr">
        <is>
          <t>Tab</t>
        </is>
      </c>
      <c r="B6" s="3" t="inlineStr">
        <is>
          <t>Line</t>
        </is>
      </c>
      <c r="C6" s="3" t="inlineStr">
        <is>
          <t>2025 amount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2026-09-21T18:56:02Z</dcterms:created>
  <dcterms:modified xsi:type="dcterms:W3CDTF">2026-09-21T18:56:02Z</dcterms:modified>
</cp:coreProperties>
</file>