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sz val="10"/>
    </font>
    <font>
      <name val="Century Gothic"/>
      <b val="1"/>
      <sz val="11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6" fillId="3" borderId="1" pivotButton="0" quotePrefix="0" xfId="0"/>
    <xf numFmtId="0" fontId="6" fillId="4" borderId="1" pivotButton="0" quotePrefix="0" xfId="0"/>
    <xf numFmtId="0" fontId="5" fillId="4" borderId="1" pivotButton="0" quotePrefix="0" xfId="0"/>
    <xf numFmtId="164" fontId="6" fillId="3" borderId="1" pivotButton="0" quotePrefix="0" xfId="0"/>
    <xf numFmtId="167" fontId="6" fillId="3" borderId="1" pivotButton="0" quotePrefix="0" xfId="0"/>
    <xf numFmtId="0" fontId="6" fillId="0" borderId="1" pivotButton="0" quotePrefix="0" xfId="0"/>
    <xf numFmtId="0" fontId="6" fillId="4" borderId="1" applyAlignment="1" pivotButton="0" quotePrefix="0" xfId="0">
      <alignment vertical="top" wrapText="1"/>
    </xf>
    <xf numFmtId="164" fontId="6" fillId="0" borderId="1" pivotButton="0" quotePrefix="0" xfId="0"/>
    <xf numFmtId="0" fontId="3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7" fillId="0" borderId="1" pivotButton="0" quotePrefix="0" xfId="0"/>
    <xf numFmtId="164" fontId="5" fillId="4" borderId="1" pivotButton="0" quotePrefix="0" xfId="0"/>
    <xf numFmtId="0" fontId="7" fillId="3" borderId="1" pivotButton="0" quotePrefix="0" xfId="0"/>
    <xf numFmtId="0" fontId="6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29" t="inlineStr">
        <is>
          <t>Books (titles TBD)</t>
        </is>
      </c>
      <c r="B77" s="30" t="inlineStr">
        <is>
          <t>Cost TBD</t>
        </is>
      </c>
      <c r="C77" s="31" t="n"/>
      <c r="E77" s="29" t="inlineStr">
        <is>
          <t>Aquinas Hobor</t>
        </is>
      </c>
      <c r="F77" s="32" t="n">
        <v>1000</v>
      </c>
      <c r="G77" s="33" t="n">
        <v>45692</v>
      </c>
      <c r="H77" s="34">
        <f>IF(OR(F77="",C77=""),"",F77-C77)</f>
        <v/>
      </c>
      <c r="I77" s="35" t="inlineStr">
        <is>
          <t>LOCKED 2026-09-20: book SALE $1,000 on Mercury 8291. Cost TBD — not in Income I8 yet (same as Sale 6428). Titles TBD. Not tax advice.</t>
        </is>
      </c>
    </row>
    <row r="78">
      <c r="A78" s="34" t="inlineStr">
        <is>
          <t>Total</t>
        </is>
      </c>
      <c r="H78" s="36">
        <f>SUM(H51:H75)</f>
        <v/>
      </c>
    </row>
    <row r="79">
      <c r="A79" s="3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38" t="inlineStr">
        <is>
          <t>Art Purchases/Inventory</t>
        </is>
      </c>
      <c r="B80" s="39" t="n"/>
      <c r="C80" s="40" t="n"/>
      <c r="D80" s="41" t="n"/>
      <c r="E80" s="42" t="n"/>
      <c r="F80" s="40" t="n"/>
      <c r="G80" s="41" t="n"/>
      <c r="H80" s="42" t="n"/>
      <c r="I80" s="43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9" t="inlineStr">
        <is>
          <t>30 Paleothic and Neolithic Stone Tools</t>
        </is>
      </c>
      <c r="B81" s="21" t="inlineStr">
        <is>
          <t>Holestein</t>
        </is>
      </c>
      <c r="C81" s="2" t="n">
        <v>4000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250</v>
      </c>
      <c r="D82" s="10" t="n">
        <v>45119</v>
      </c>
      <c r="E82" s="3" t="n"/>
    </row>
    <row r="83">
      <c r="A83" s="9" t="inlineStr">
        <is>
          <t>A Tairona Figure</t>
        </is>
      </c>
      <c r="B83" s="21" t="inlineStr">
        <is>
          <t>Live Auctioneers</t>
        </is>
      </c>
      <c r="C83" s="2" t="n">
        <v>300</v>
      </c>
      <c r="D83" s="10" t="n">
        <v>45119</v>
      </c>
      <c r="E83" s="3" t="n"/>
    </row>
    <row r="84">
      <c r="A84" s="9" t="inlineStr">
        <is>
          <t>A Pair of Greek Bronze Greeves</t>
        </is>
      </c>
      <c r="B84" s="21" t="inlineStr">
        <is>
          <t>ebay</t>
        </is>
      </c>
      <c r="C84" s="2" t="n">
        <v>200</v>
      </c>
      <c r="D84" s="10" t="n">
        <v>45145</v>
      </c>
      <c r="E84" s="3" t="n"/>
    </row>
    <row r="85">
      <c r="A85" s="9" t="inlineStr">
        <is>
          <t>An Illyrian Bronze Helmet</t>
        </is>
      </c>
      <c r="B85" s="21" t="inlineStr">
        <is>
          <t>ebay</t>
        </is>
      </c>
      <c r="C85" s="2" t="n">
        <v>551.25</v>
      </c>
      <c r="D85" s="10" t="n">
        <v>45114</v>
      </c>
      <c r="E85" s="3" t="n"/>
    </row>
    <row r="86">
      <c r="A86" s="9" t="inlineStr">
        <is>
          <t>An Egyptian Faience Ibis</t>
        </is>
      </c>
      <c r="B86" s="1" t="inlineStr">
        <is>
          <t>Hindman</t>
        </is>
      </c>
      <c r="C86" s="2" t="n">
        <v>375</v>
      </c>
      <c r="D86" s="10" t="n">
        <v>44343</v>
      </c>
      <c r="E86" s="10" t="n"/>
      <c r="F86" s="2" t="n"/>
      <c r="I86" s="3" t="n"/>
    </row>
    <row r="87">
      <c r="A87" s="9" t="inlineStr">
        <is>
          <t>African Stone Bracelet Upper Volta River 1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2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African Stone Bracelet Upper Volta River 4 0f 4</t>
        </is>
      </c>
      <c r="B89" s="1" t="inlineStr">
        <is>
          <t>Live Auctioneers</t>
        </is>
      </c>
      <c r="C89" s="2" t="n">
        <v>293</v>
      </c>
      <c r="D89" s="10" t="n">
        <v>44548</v>
      </c>
      <c r="F89" s="2" t="n"/>
      <c r="I89" s="3" t="n"/>
    </row>
    <row r="90">
      <c r="A90" s="9" t="inlineStr">
        <is>
          <t>A Saharan Stone Discoidal</t>
        </is>
      </c>
      <c r="B90" s="1" t="inlineStr">
        <is>
          <t>Pace African Art</t>
        </is>
      </c>
      <c r="C90" s="2" t="n">
        <v>1000</v>
      </c>
      <c r="D90" s="10" t="n">
        <v>44562</v>
      </c>
      <c r="F90" s="2" t="n"/>
      <c r="I90" s="3" t="n"/>
    </row>
    <row r="91">
      <c r="A91" s="9" t="inlineStr">
        <is>
          <t>Carved Ostrish Egg</t>
        </is>
      </c>
      <c r="B91" s="1" t="inlineStr">
        <is>
          <t xml:space="preserve">Etsy </t>
        </is>
      </c>
      <c r="C91" s="2" t="n">
        <v>90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30</v>
      </c>
      <c r="F92" s="2" t="n"/>
      <c r="I92" s="3" t="n"/>
    </row>
    <row r="93">
      <c r="A93" s="9" t="inlineStr">
        <is>
          <t>Carved Goose Egg</t>
        </is>
      </c>
      <c r="B93" s="1" t="inlineStr">
        <is>
          <t>Etsy</t>
        </is>
      </c>
      <c r="C93" s="2" t="n">
        <v>35</v>
      </c>
      <c r="F93" s="2" t="n"/>
      <c r="I93" s="3" t="n"/>
    </row>
    <row r="94">
      <c r="A94" s="9" t="inlineStr">
        <is>
          <t>Quimbaya Figure (Gift)</t>
        </is>
      </c>
      <c r="B94" s="1" t="inlineStr">
        <is>
          <t>Jeffrey Norris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 (Gift)</t>
        </is>
      </c>
      <c r="B95" s="1" t="inlineStr">
        <is>
          <t>Aquinas Hobor</t>
        </is>
      </c>
      <c r="C95" s="2" t="n">
        <v>10</v>
      </c>
      <c r="D95" s="10" t="n">
        <v>45079</v>
      </c>
      <c r="I95" s="3" t="n"/>
    </row>
    <row r="96">
      <c r="A96" s="9" t="inlineStr">
        <is>
          <t>A Saharan Stone Discoidal</t>
        </is>
      </c>
      <c r="B96" s="1" t="inlineStr">
        <is>
          <t>Aquinas Hobor</t>
        </is>
      </c>
      <c r="C96" s="16" t="n">
        <v>500</v>
      </c>
      <c r="D96" s="10" t="n">
        <v>45079</v>
      </c>
      <c r="F96" s="2" t="n"/>
      <c r="I96" s="3" t="n"/>
    </row>
    <row r="97">
      <c r="A97" s="9" t="inlineStr">
        <is>
          <t>Two Songye and Bozo Vessels</t>
        </is>
      </c>
      <c r="B97" s="1" t="inlineStr">
        <is>
          <t>Hindman</t>
        </is>
      </c>
      <c r="C97" s="16" t="n">
        <v>138.91</v>
      </c>
      <c r="D97" s="10" t="n">
        <v>45211</v>
      </c>
      <c r="F97" s="2" t="n"/>
      <c r="I97" s="3" t="n"/>
    </row>
    <row r="98">
      <c r="A98" s="9" t="inlineStr">
        <is>
          <t xml:space="preserve">Sword 9th Century </t>
        </is>
      </c>
      <c r="B98" s="1" t="inlineStr">
        <is>
          <t>Zevantiques</t>
        </is>
      </c>
      <c r="C98" s="16" t="n">
        <v>3000</v>
      </c>
      <c r="D98" s="10" t="n">
        <v>45311</v>
      </c>
      <c r="F98" s="2" t="n"/>
      <c r="I98" s="3" t="n"/>
    </row>
    <row r="99">
      <c r="A99" s="9" t="inlineStr">
        <is>
          <t>A Roman Marble Plaque with Insciption</t>
        </is>
      </c>
      <c r="B99" s="1" t="inlineStr">
        <is>
          <t>ebay</t>
        </is>
      </c>
      <c r="C99" s="16" t="n">
        <v>1331.41</v>
      </c>
      <c r="D99" s="10" t="n">
        <v>45546</v>
      </c>
      <c r="F99" s="2" t="n"/>
      <c r="I99" s="3" t="n"/>
    </row>
    <row r="100">
      <c r="A100" s="9" t="inlineStr">
        <is>
          <t>Erotic Intaglio Finger Ring</t>
        </is>
      </c>
      <c r="B100" s="1" t="inlineStr">
        <is>
          <t>ebay</t>
        </is>
      </c>
      <c r="C100" s="16" t="n">
        <v>205.07</v>
      </c>
      <c r="D100" s="10" t="n">
        <v>45446</v>
      </c>
      <c r="F100" s="2" t="n"/>
      <c r="I100" s="3" t="n"/>
    </row>
    <row r="101">
      <c r="B101" s="1" t="n"/>
      <c r="C101" s="16" t="n"/>
      <c r="D101" s="10" t="n"/>
      <c r="F101" s="2" t="n"/>
      <c r="I101" s="3" t="n"/>
    </row>
    <row r="102">
      <c r="A102" s="12" t="inlineStr">
        <is>
          <t>Total</t>
        </is>
      </c>
      <c r="B102" s="1" t="n"/>
      <c r="C102" s="13" t="n"/>
      <c r="F102" s="2" t="n"/>
      <c r="I102" s="3" t="n"/>
    </row>
    <row r="103">
      <c r="B103" s="1" t="n"/>
      <c r="C103" s="2" t="n"/>
      <c r="F103" s="2" t="n"/>
      <c r="I103" s="3" t="n"/>
    </row>
    <row r="104">
      <c r="A104" s="38" t="inlineStr">
        <is>
          <t>Office/Business Inventory</t>
        </is>
      </c>
      <c r="B104" s="39" t="n"/>
      <c r="C104" s="40" t="n"/>
      <c r="D104" s="42" t="n"/>
      <c r="E104" s="42" t="n"/>
      <c r="F104" s="40" t="n"/>
      <c r="G104" s="42" t="n"/>
      <c r="H104" s="42" t="n"/>
      <c r="I104" s="43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9" t="inlineStr">
        <is>
          <t>Sofa</t>
        </is>
      </c>
      <c r="B105" s="1" t="n"/>
      <c r="C105" s="2" t="n"/>
      <c r="F105" s="2" t="n"/>
      <c r="I105" s="3" t="n"/>
    </row>
    <row r="106">
      <c r="A106" s="9" t="inlineStr">
        <is>
          <t>Space Heater</t>
        </is>
      </c>
      <c r="B106" s="1" t="n"/>
      <c r="C106" s="2" t="n"/>
      <c r="F106" s="2" t="n"/>
      <c r="I106" s="3" t="n"/>
    </row>
    <row r="107">
      <c r="A107" s="9" t="inlineStr">
        <is>
          <t>Shelving</t>
        </is>
      </c>
      <c r="B107" s="1" t="n"/>
      <c r="C107" s="2" t="n"/>
      <c r="F107" s="2" t="n"/>
      <c r="I107" s="3" t="n"/>
    </row>
    <row r="108">
      <c r="A108" s="9" t="inlineStr">
        <is>
          <t>Storage Bins</t>
        </is>
      </c>
      <c r="B108" s="1" t="n"/>
      <c r="C108" s="2" t="n"/>
      <c r="F108" s="2" t="n"/>
      <c r="I108" s="3" t="n"/>
    </row>
    <row r="109">
      <c r="A109" s="9" t="inlineStr">
        <is>
          <t>Table</t>
        </is>
      </c>
      <c r="B109" s="1" t="n"/>
      <c r="C109" s="2" t="n"/>
      <c r="F109" s="2" t="n"/>
      <c r="I109" s="3" t="n"/>
    </row>
    <row r="110">
      <c r="A110" s="9" t="inlineStr">
        <is>
          <t>Computer</t>
        </is>
      </c>
      <c r="B110" s="1" t="n"/>
      <c r="C110" s="2" t="n"/>
      <c r="F110" s="2" t="n"/>
      <c r="I110" s="3" t="n"/>
    </row>
    <row r="111">
      <c r="A111" s="9" t="inlineStr">
        <is>
          <t>Art Library</t>
        </is>
      </c>
      <c r="B111" s="1" t="n"/>
      <c r="C111" s="2" t="n"/>
      <c r="F111" s="2" t="n"/>
      <c r="I111" s="3" t="n"/>
    </row>
    <row r="112">
      <c r="A112" s="9" t="inlineStr">
        <is>
          <t>Standing Desk</t>
        </is>
      </c>
      <c r="B112" s="1" t="n"/>
      <c r="C112" s="2" t="n"/>
      <c r="F112" s="2" t="n"/>
      <c r="I112" s="3" t="n"/>
    </row>
    <row r="113">
      <c r="B113" s="1" t="n"/>
      <c r="C113" s="2" t="n"/>
      <c r="F113" s="2" t="n"/>
      <c r="I113" s="3" t="n"/>
    </row>
    <row r="114">
      <c r="A114" s="44" t="inlineStr">
        <is>
          <t>2025 CC inventory (not in Cost total until object is named)</t>
        </is>
      </c>
      <c r="B114" s="1" t="n"/>
      <c r="C114" s="2" t="n"/>
      <c r="F114" s="2" t="n"/>
      <c r="I114" s="3" t="n"/>
    </row>
    <row r="115">
      <c r="A115" s="22" t="inlineStr">
        <is>
          <t>Los Angeles Modern Auctions (inventory purchase)</t>
        </is>
      </c>
      <c r="B115" s="22" t="inlineStr">
        <is>
          <t>Sapphire 5423</t>
        </is>
      </c>
      <c r="C115" s="45" t="n">
        <v>6821.06</v>
      </c>
      <c r="D115" s="22" t="inlineStr">
        <is>
          <t>2025-07-24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45" t="n">
        <v>282.24</v>
      </c>
      <c r="D116" s="22" t="inlineStr">
        <is>
          <t>2025-04-03</t>
        </is>
      </c>
    </row>
    <row r="117">
      <c r="A117" s="22" t="inlineStr">
        <is>
          <t>Hindman LLC (inventory purchase)</t>
        </is>
      </c>
      <c r="B117" s="22" t="inlineStr">
        <is>
          <t>Sapphire 5423</t>
        </is>
      </c>
      <c r="C117" s="45" t="n">
        <v>403.51</v>
      </c>
      <c r="D117" s="22" t="inlineStr">
        <is>
          <t>2025-07-29</t>
        </is>
      </c>
    </row>
    <row r="118">
      <c r="A118" s="22" t="inlineStr">
        <is>
          <t>The Great Frame Up (inventory framing)</t>
        </is>
      </c>
      <c r="B118" s="22" t="inlineStr">
        <is>
          <t>Sapphire 5423</t>
        </is>
      </c>
      <c r="C118" s="45" t="n">
        <v>536.41</v>
      </c>
      <c r="D118" s="22" t="inlineStr">
        <is>
          <t>2025-02-16</t>
        </is>
      </c>
    </row>
    <row r="119"/>
    <row r="120">
      <c r="A120" s="46" t="inlineStr">
        <is>
          <t>2025 Mercury 8291 — David Aaron Limited is LOCKED consultant fee (not Art Sales)</t>
        </is>
      </c>
    </row>
    <row r="121">
      <c r="A121" s="29" t="inlineStr">
        <is>
          <t>NOT a 2025 art sale — David Aaron Limited consultant fee (EPGC Consultant June)</t>
        </is>
      </c>
      <c r="B121" s="29" t="inlineStr">
        <is>
          <t>David Aaron Limited</t>
        </is>
      </c>
      <c r="C121" s="29" t="n"/>
      <c r="D121" s="29" t="n"/>
      <c r="E121" s="29" t="n"/>
      <c r="F121" s="32" t="n"/>
      <c r="G121" s="47" t="n"/>
      <c r="H121" s="47" t="n"/>
      <c r="I121" s="29" t="inlineStr">
        <is>
          <t>LOCKED 2026-09-20: consultant fee, not a sale. $13,595 is on EPGC Consultant June. Not tax advice.</t>
        </is>
      </c>
    </row>
    <row r="122"/>
    <row r="123">
      <c r="A123" s="46" t="inlineStr">
        <is>
          <t>2025 Mercury COGS — Newstar Jewelers (LOCKED jewelry fabrication)</t>
        </is>
      </c>
    </row>
    <row r="124">
      <c r="A124" s="48" t="inlineStr">
        <is>
          <t>Newstar Jewelers — jewelry from intaglios / engraved gems / scarabs</t>
        </is>
      </c>
      <c r="B124" s="48" t="inlineStr">
        <is>
          <t>Mercury 8291</t>
        </is>
      </c>
      <c r="C124" s="49" t="n">
        <v>8000</v>
      </c>
      <c r="D124" s="48" t="inlineStr">
        <is>
          <t>2025-10-14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8" t="inlineStr">
        <is>
          <t>Newstar Jewelers — jewelry from intaglios / engraved gems / scarabs</t>
        </is>
      </c>
      <c r="B125" s="48" t="inlineStr">
        <is>
          <t>Mercury 8291</t>
        </is>
      </c>
      <c r="C125" s="49" t="n">
        <v>8000</v>
      </c>
      <c r="D125" s="48" t="inlineStr">
        <is>
          <t>2025-11-12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48" t="inlineStr">
        <is>
          <t>Newstar Jewelers — jewelry from intaglios / engraved gems / scarabs (3 of 3)</t>
        </is>
      </c>
      <c r="B126" s="48" t="inlineStr">
        <is>
          <t>Mercury 8291</t>
        </is>
      </c>
      <c r="C126" s="49" t="n">
        <v>7581</v>
      </c>
      <c r="D126" s="48" t="inlineStr">
        <is>
          <t>2025-12-24</t>
        </is>
      </c>
      <c r="I126" s="22" t="inlineStr">
        <is>
          <t>LOCKED COGS fabrication. Not in sold-lot Cost total (Feb Berk lots already sold). Identify which gems/intaglios/scarabs.</t>
        </is>
      </c>
    </row>
    <row r="127">
      <c r="A127" s="22" t="inlineStr">
        <is>
          <t>Newstar 2025 total</t>
        </is>
      </c>
      <c r="C127" s="49">
        <f>SUM(C123:C125)</f>
        <v/>
      </c>
    </row>
    <row r="128"/>
    <row r="129">
      <c r="A129" s="50" t="inlineStr">
        <is>
          <t>2025 Mercury ASK — Fortuna inventory remaining (not in Cost total until object is named)</t>
        </is>
      </c>
    </row>
    <row r="130">
      <c r="A130" s="31" t="inlineStr">
        <is>
          <t>Fortuna / Erdal Dere — object TBD</t>
        </is>
      </c>
      <c r="B130" s="31" t="inlineStr">
        <is>
          <t>Mercury 8291</t>
        </is>
      </c>
      <c r="C130" s="45" t="n">
        <v>20000</v>
      </c>
      <c r="D130" s="31" t="inlineStr">
        <is>
          <t>2025-05-09</t>
        </is>
      </c>
      <c r="I130" s="22" t="inlineStr">
        <is>
          <t>ASK: inventory purchase vs other. Do not add to sold Cost until named (avoid double count).</t>
        </is>
      </c>
    </row>
    <row r="131">
      <c r="A131" s="31" t="inlineStr">
        <is>
          <t>Fortuna / Erdal Dere — object TBD</t>
        </is>
      </c>
      <c r="B131" s="31" t="inlineStr">
        <is>
          <t>Mercury 8291</t>
        </is>
      </c>
      <c r="C131" s="45" t="n">
        <v>45000</v>
      </c>
      <c r="D131" s="31" t="inlineStr">
        <is>
          <t>2025-07-21</t>
        </is>
      </c>
      <c r="I131" s="22" t="inlineStr">
        <is>
          <t>ASK: inventory purchase vs other. Do not add to sold Cost until named (avoid double count).</t>
        </is>
      </c>
    </row>
    <row r="132">
      <c r="A132" s="31" t="inlineStr">
        <is>
          <t>Fortuna / Erdal Dere — object TBD</t>
        </is>
      </c>
      <c r="B132" s="31" t="inlineStr">
        <is>
          <t>Mercury 8291</t>
        </is>
      </c>
      <c r="C132" s="45" t="n">
        <v>20000</v>
      </c>
      <c r="D132" s="31" t="inlineStr">
        <is>
          <t>2025-08-15</t>
        </is>
      </c>
      <c r="I132" s="22" t="inlineStr">
        <is>
          <t>ASK: inventory purchase vs other. Do not add to sold Cost until named (avoid double count).</t>
        </is>
      </c>
    </row>
    <row r="133">
      <c r="A133" s="22" t="inlineStr">
        <is>
          <t>Fortuna remaining 2025 (excl. seals $13,000 already on row 73)</t>
        </is>
      </c>
      <c r="C133" s="45" t="n">
        <v>85000</v>
      </c>
    </row>
    <row r="13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2026-09-20T13:37:53Z</dcterms:created>
  <dcterms:modified xsi:type="dcterms:W3CDTF">2026-09-20T13:37:53Z</dcterms:modified>
</cp:coreProperties>
</file>