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t Sales and Purchas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  <color rgb="001F4E79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5F5E3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164" fontId="0" fillId="0" borderId="0" pivotButton="0" quotePrefix="0" xfId="0"/>
    <xf numFmtId="2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14" customWidth="1" min="4" max="4"/>
    <col width="18" customWidth="1" min="5" max="5"/>
    <col width="12" customWidth="1" min="6" max="6"/>
    <col width="12" customWidth="1" min="7" max="7"/>
    <col width="12" customWidth="1" min="8" max="8"/>
    <col width="10" customWidth="1" min="9" max="9"/>
  </cols>
  <sheetData>
    <row r="1">
      <c r="A1" s="1" t="inlineStr">
        <is>
          <t>Sales 2025 — COGS = Cost column; Net Income = Sale Price − Cost</t>
        </is>
      </c>
    </row>
    <row r="2">
      <c r="A2" s="2" t="inlineStr">
        <is>
          <t>Object</t>
        </is>
      </c>
      <c r="B2" s="2" t="inlineStr">
        <is>
          <t>From</t>
        </is>
      </c>
      <c r="C2" s="2" t="inlineStr">
        <is>
          <t>Cost (COGS)</t>
        </is>
      </c>
      <c r="D2" s="2" t="inlineStr">
        <is>
          <t>Purchase Date</t>
        </is>
      </c>
      <c r="E2" s="2" t="inlineStr">
        <is>
          <t>To</t>
        </is>
      </c>
      <c r="F2" s="2" t="inlineStr">
        <is>
          <t>Sale Price</t>
        </is>
      </c>
      <c r="G2" s="2" t="inlineStr">
        <is>
          <t>Sale Date</t>
        </is>
      </c>
      <c r="H2" s="2" t="inlineStr">
        <is>
          <t>Net Income</t>
        </is>
      </c>
      <c r="I2" s="2" t="inlineStr">
        <is>
          <t>ROI</t>
        </is>
      </c>
    </row>
    <row r="3">
      <c r="A3" t="inlineStr">
        <is>
          <t>A Group of 10 Engraved Gems</t>
        </is>
      </c>
      <c r="B3" t="inlineStr">
        <is>
          <t>Erdal Dere</t>
        </is>
      </c>
      <c r="C3" s="3" t="n">
        <v>1000</v>
      </c>
      <c r="E3" t="inlineStr">
        <is>
          <t>Harlan J. Berk</t>
        </is>
      </c>
      <c r="F3" s="4" t="n"/>
      <c r="G3" s="5" t="n">
        <v>45695</v>
      </c>
      <c r="H3">
        <f>IF(OR(F3="",C3=""),"",F3-C3)</f>
        <v/>
      </c>
      <c r="I3">
        <f>IF(OR(H3="",C3=0),"",H3/C3)</f>
        <v/>
      </c>
    </row>
    <row r="4">
      <c r="A4" t="inlineStr">
        <is>
          <t>A Greek Amber(?) Ram's Head Protome</t>
        </is>
      </c>
      <c r="B4" t="inlineStr">
        <is>
          <t>Erdal Dere</t>
        </is>
      </c>
      <c r="C4" s="3" t="n">
        <v>300</v>
      </c>
      <c r="E4" t="inlineStr">
        <is>
          <t>Harlan J. Berk</t>
        </is>
      </c>
      <c r="F4" s="4" t="n"/>
      <c r="G4" s="5" t="n">
        <v>45695</v>
      </c>
      <c r="H4">
        <f>IF(OR(F4="",C4=""),"",F4-C4)</f>
        <v/>
      </c>
      <c r="I4">
        <f>IF(OR(H4="",C4=0),"",H4/C4)</f>
        <v/>
      </c>
    </row>
    <row r="5">
      <c r="A5" t="inlineStr">
        <is>
          <t>A Stone Cylinder Seal</t>
        </is>
      </c>
      <c r="B5" t="inlineStr">
        <is>
          <t>Estate Sale</t>
        </is>
      </c>
      <c r="C5" s="3" t="n">
        <v>300</v>
      </c>
      <c r="E5" t="inlineStr">
        <is>
          <t>Harlan J. Berk</t>
        </is>
      </c>
      <c r="F5" s="4" t="n"/>
      <c r="G5" s="5" t="n">
        <v>45695</v>
      </c>
      <c r="H5">
        <f>IF(OR(F5="",C5=""),"",F5-C5)</f>
        <v/>
      </c>
      <c r="I5">
        <f>IF(OR(H5="",C5=0),"",H5/C5)</f>
        <v/>
      </c>
    </row>
    <row r="6">
      <c r="A6" t="inlineStr">
        <is>
          <t>Commission on Cypriot Head</t>
        </is>
      </c>
      <c r="B6" t="inlineStr">
        <is>
          <t>Asher Edelman</t>
        </is>
      </c>
      <c r="C6" s="3" t="n">
        <v>1000</v>
      </c>
      <c r="E6" t="inlineStr">
        <is>
          <t>Harlan J. Berk</t>
        </is>
      </c>
      <c r="F6" s="4" t="n"/>
      <c r="G6" s="5" t="n">
        <v>45695</v>
      </c>
      <c r="H6">
        <f>IF(OR(F6="",C6=""),"",F6-C6)</f>
        <v/>
      </c>
      <c r="I6">
        <f>IF(OR(H6="",C6=0),"",H6/C6)</f>
        <v/>
      </c>
    </row>
    <row r="7">
      <c r="A7" t="inlineStr">
        <is>
          <t>Commission on Seal Collection</t>
        </is>
      </c>
      <c r="B7" t="inlineStr">
        <is>
          <t>Erdal Dere</t>
        </is>
      </c>
      <c r="C7" s="3" t="n">
        <v>1000</v>
      </c>
      <c r="E7" t="inlineStr">
        <is>
          <t>Harlan J. Berk</t>
        </is>
      </c>
      <c r="F7" s="4" t="n"/>
      <c r="G7" s="5" t="n">
        <v>45695</v>
      </c>
      <c r="H7">
        <f>IF(OR(F7="",C7=""),"",F7-C7)</f>
        <v/>
      </c>
      <c r="I7">
        <f>IF(OR(H7="",C7=0),"",H7/C7)</f>
        <v/>
      </c>
    </row>
    <row r="8">
      <c r="A8" t="inlineStr">
        <is>
          <t>Scythian Faience Horse Plaque</t>
        </is>
      </c>
      <c r="B8" t="inlineStr">
        <is>
          <t>Estate Sale</t>
        </is>
      </c>
      <c r="C8" s="3" t="n">
        <v>1000</v>
      </c>
      <c r="E8" t="inlineStr">
        <is>
          <t>Harlan J. Berk</t>
        </is>
      </c>
      <c r="F8" s="4" t="n"/>
      <c r="G8" s="5" t="n">
        <v>45695</v>
      </c>
      <c r="H8">
        <f>IF(OR(F8="",C8=""),"",F8-C8)</f>
        <v/>
      </c>
      <c r="I8">
        <f>IF(OR(H8="",C8=0),"",H8/C8)</f>
        <v/>
      </c>
    </row>
    <row r="9">
      <c r="A9" t="inlineStr">
        <is>
          <t>Syro-Hittite Terracotta Figure</t>
        </is>
      </c>
      <c r="B9" t="inlineStr">
        <is>
          <t>Estate Sale</t>
        </is>
      </c>
      <c r="C9" s="3" t="n">
        <v>600</v>
      </c>
      <c r="E9" t="inlineStr">
        <is>
          <t>Harlan J. Berk</t>
        </is>
      </c>
      <c r="F9" s="4" t="n"/>
      <c r="G9" s="5" t="n">
        <v>45695</v>
      </c>
      <c r="H9">
        <f>IF(OR(F9="",C9=""),"",F9-C9)</f>
        <v/>
      </c>
      <c r="I9">
        <f>IF(OR(H9="",C9=0),"",H9/C9)</f>
        <v/>
      </c>
    </row>
    <row r="10">
      <c r="A10" t="inlineStr">
        <is>
          <t>A Group of 6 Roman Oil Lamps</t>
        </is>
      </c>
      <c r="B10" t="inlineStr">
        <is>
          <t>Estate Sale</t>
        </is>
      </c>
      <c r="C10" s="3" t="n">
        <v>600</v>
      </c>
      <c r="E10" t="inlineStr">
        <is>
          <t>Harlan J. Berk</t>
        </is>
      </c>
      <c r="F10" s="4" t="n"/>
      <c r="G10" s="5" t="n">
        <v>45695</v>
      </c>
      <c r="H10">
        <f>IF(OR(F10="",C10=""),"",F10-C10)</f>
        <v/>
      </c>
      <c r="I10">
        <f>IF(OR(H10="",C10=0),"",H10/C10)</f>
        <v/>
      </c>
    </row>
    <row r="11">
      <c r="A11" t="inlineStr">
        <is>
          <t>A Cypriot Limestine Head</t>
        </is>
      </c>
      <c r="B11" t="inlineStr">
        <is>
          <t>Estate Sale</t>
        </is>
      </c>
      <c r="C11" s="3" t="n">
        <v>1000</v>
      </c>
      <c r="E11" t="inlineStr">
        <is>
          <t>Harlan J. Berk</t>
        </is>
      </c>
      <c r="F11" s="4" t="n"/>
      <c r="G11" s="5" t="n">
        <v>45695</v>
      </c>
      <c r="H11">
        <f>IF(OR(F11="",C11=""),"",F11-C11)</f>
        <v/>
      </c>
      <c r="I11">
        <f>IF(OR(H11="",C11=0),"",H11/C11)</f>
        <v/>
      </c>
    </row>
    <row r="12">
      <c r="A12" t="inlineStr">
        <is>
          <t>A Roman Marble Torso</t>
        </is>
      </c>
      <c r="B12" t="inlineStr">
        <is>
          <t>William Pearlstein</t>
        </is>
      </c>
      <c r="C12" s="3" t="n">
        <v>4000</v>
      </c>
      <c r="E12" t="inlineStr">
        <is>
          <t>Harlan J. Berk</t>
        </is>
      </c>
      <c r="F12" s="4" t="n"/>
      <c r="G12" s="5" t="n">
        <v>45695</v>
      </c>
      <c r="H12">
        <f>IF(OR(F12="",C12=""),"",F12-C12)</f>
        <v/>
      </c>
      <c r="I12">
        <f>IF(OR(H12="",C12=0),"",H12/C12)</f>
        <v/>
      </c>
    </row>
    <row r="13">
      <c r="A13" t="inlineStr">
        <is>
          <t>Cypriot Bichrome Juglet</t>
        </is>
      </c>
      <c r="B13" t="inlineStr">
        <is>
          <t>Live Auctioneers</t>
        </is>
      </c>
      <c r="C13" s="3" t="n">
        <v>600</v>
      </c>
      <c r="E13" t="inlineStr">
        <is>
          <t>Harlan J. Berk</t>
        </is>
      </c>
      <c r="F13" s="4" t="n"/>
      <c r="G13" s="5" t="n">
        <v>45695</v>
      </c>
      <c r="H13">
        <f>IF(OR(F13="",C13=""),"",F13-C13)</f>
        <v/>
      </c>
      <c r="I13">
        <f>IF(OR(H13="",C13=0),"",H13/C13)</f>
        <v/>
      </c>
    </row>
    <row r="14">
      <c r="A14" t="inlineStr">
        <is>
          <t>An Attic Black-Figured Fragment</t>
        </is>
      </c>
      <c r="B14" t="inlineStr">
        <is>
          <t>Hindman</t>
        </is>
      </c>
      <c r="C14" s="3" t="n">
        <v>334.44</v>
      </c>
      <c r="D14" s="5" t="n">
        <v>45071</v>
      </c>
      <c r="E14" t="inlineStr">
        <is>
          <t>Harlan J. Berk</t>
        </is>
      </c>
      <c r="F14" s="4" t="n"/>
      <c r="G14" s="5" t="n">
        <v>45695</v>
      </c>
      <c r="H14">
        <f>IF(OR(F14="",C14=""),"",F14-C14)</f>
        <v/>
      </c>
      <c r="I14">
        <f>IF(OR(H14="",C14=0),"",H14/C14)</f>
        <v/>
      </c>
    </row>
    <row r="15">
      <c r="A15" t="inlineStr">
        <is>
          <t>A Luristan Bronze Ibex</t>
        </is>
      </c>
      <c r="B15" t="inlineStr">
        <is>
          <t>Hindman</t>
        </is>
      </c>
      <c r="C15" s="3" t="n">
        <v>234.44</v>
      </c>
      <c r="D15" s="5" t="n">
        <v>45071</v>
      </c>
      <c r="E15" t="inlineStr">
        <is>
          <t>Harlan J. Berk</t>
        </is>
      </c>
      <c r="F15" s="4" t="n"/>
      <c r="G15" s="5" t="n">
        <v>45695</v>
      </c>
      <c r="H15">
        <f>IF(OR(F15="",C15=""),"",F15-C15)</f>
        <v/>
      </c>
      <c r="I15">
        <f>IF(OR(H15="",C15=0),"",H15/C15)</f>
        <v/>
      </c>
    </row>
    <row r="16">
      <c r="A16" t="inlineStr">
        <is>
          <t>An Egyptian Swivel Ring with Scarab</t>
        </is>
      </c>
      <c r="B16" t="inlineStr">
        <is>
          <t>Live Auctioneers</t>
        </is>
      </c>
      <c r="C16" s="3" t="n">
        <v>2228.76</v>
      </c>
      <c r="E16" t="inlineStr">
        <is>
          <t>Harlan J. Berk</t>
        </is>
      </c>
      <c r="F16" s="4" t="n"/>
      <c r="G16" s="5" t="n">
        <v>45695</v>
      </c>
      <c r="H16">
        <f>IF(OR(F16="",C16=""),"",F16-C16)</f>
        <v/>
      </c>
      <c r="I16">
        <f>IF(OR(H16="",C16=0),"",H16/C16)</f>
        <v/>
      </c>
    </row>
    <row r="17">
      <c r="A17" t="inlineStr">
        <is>
          <t>A Canosan Terracotta Horse</t>
        </is>
      </c>
      <c r="B17" t="inlineStr">
        <is>
          <t>Hindman</t>
        </is>
      </c>
      <c r="C17" s="3" t="n">
        <v>1000</v>
      </c>
      <c r="E17" t="inlineStr">
        <is>
          <t>Harlan J. Berk</t>
        </is>
      </c>
      <c r="F17" s="4" t="n"/>
      <c r="G17" s="5" t="n">
        <v>45695</v>
      </c>
      <c r="H17">
        <f>IF(OR(F17="",C17=""),"",F17-C17)</f>
        <v/>
      </c>
      <c r="I17">
        <f>IF(OR(H17="",C17=0),"",H17/C17)</f>
        <v/>
      </c>
    </row>
    <row r="18">
      <c r="A18" t="inlineStr">
        <is>
          <t>An Attic Black-Figured Column-Krater</t>
        </is>
      </c>
      <c r="B18" t="inlineStr">
        <is>
          <t>Antiquarium/Benningson</t>
        </is>
      </c>
      <c r="C18" s="3" t="n">
        <v>4500</v>
      </c>
      <c r="D18" s="5" t="n">
        <v>45275</v>
      </c>
      <c r="E18" t="inlineStr">
        <is>
          <t>Harlan J. Berk</t>
        </is>
      </c>
      <c r="F18" s="4" t="n"/>
      <c r="G18" s="5" t="n">
        <v>45695</v>
      </c>
      <c r="H18">
        <f>IF(OR(F18="",C18=""),"",F18-C18)</f>
        <v/>
      </c>
      <c r="I18">
        <f>IF(OR(H18="",C18=0),"",H18/C18)</f>
        <v/>
      </c>
    </row>
    <row r="19">
      <c r="A19" t="inlineStr">
        <is>
          <t>Roman Marble Base with Foot</t>
        </is>
      </c>
      <c r="B19" t="inlineStr">
        <is>
          <t>Arte Primitivo</t>
        </is>
      </c>
      <c r="C19" s="3" t="n">
        <v>500</v>
      </c>
      <c r="E19" t="inlineStr">
        <is>
          <t>Harlan J. Berk</t>
        </is>
      </c>
      <c r="F19" s="4" t="n"/>
      <c r="G19" s="5" t="n">
        <v>45695</v>
      </c>
      <c r="H19">
        <f>IF(OR(F19="",C19=""),"",F19-C19)</f>
        <v/>
      </c>
      <c r="I19">
        <f>IF(OR(H19="",C19=0),"",H19/C19)</f>
        <v/>
      </c>
    </row>
    <row r="20">
      <c r="A20" t="inlineStr">
        <is>
          <t>Neolithic Flint Celt</t>
        </is>
      </c>
      <c r="B20" t="inlineStr">
        <is>
          <t>Arte Primitivo</t>
        </is>
      </c>
      <c r="C20" s="3" t="n">
        <v>195.78</v>
      </c>
      <c r="D20" s="5" t="n">
        <v>44908</v>
      </c>
      <c r="E20" t="inlineStr">
        <is>
          <t>Harlan J. Berk</t>
        </is>
      </c>
      <c r="F20" s="4" t="n"/>
      <c r="G20" s="5" t="n">
        <v>45695</v>
      </c>
      <c r="H20">
        <f>IF(OR(F20="",C20=""),"",F20-C20)</f>
        <v/>
      </c>
      <c r="I20">
        <f>IF(OR(H20="",C20=0),"",H20/C20)</f>
        <v/>
      </c>
    </row>
    <row r="21">
      <c r="A21" t="inlineStr">
        <is>
          <t>Neolithic Danish Chert Adze</t>
        </is>
      </c>
      <c r="B21" t="inlineStr">
        <is>
          <t>Live Auctioneers</t>
        </is>
      </c>
      <c r="C21" s="3" t="n">
        <v>311.25</v>
      </c>
      <c r="D21" s="5" t="n">
        <v>44284</v>
      </c>
      <c r="E21" t="inlineStr">
        <is>
          <t>Harlan J. Berk</t>
        </is>
      </c>
      <c r="F21" s="4" t="n"/>
      <c r="G21" s="5" t="n">
        <v>45695</v>
      </c>
      <c r="H21">
        <f>IF(OR(F21="",C21=""),"",F21-C21)</f>
        <v/>
      </c>
      <c r="I21">
        <f>IF(OR(H21="",C21=0),"",H21/C21)</f>
        <v/>
      </c>
    </row>
    <row r="22">
      <c r="A22" t="inlineStr">
        <is>
          <t>Three Lots from Lithics Sale</t>
        </is>
      </c>
      <c r="B22" t="inlineStr">
        <is>
          <t>Hindman</t>
        </is>
      </c>
      <c r="C22" s="3" t="n">
        <v>2240.27</v>
      </c>
      <c r="D22" s="5" t="n">
        <v>45356</v>
      </c>
      <c r="E22" t="inlineStr">
        <is>
          <t>Harlan J. Berk</t>
        </is>
      </c>
      <c r="F22" s="4" t="n"/>
      <c r="G22" s="5" t="n">
        <v>45695</v>
      </c>
      <c r="H22">
        <f>IF(OR(F22="",C22=""),"",F22-C22)</f>
        <v/>
      </c>
      <c r="I22">
        <f>IF(OR(H22="",C22=0),"",H22/C22)</f>
        <v/>
      </c>
    </row>
    <row r="23">
      <c r="C23" s="3">
        <f>SUM(C51:C70)</f>
        <v/>
      </c>
      <c r="F23" t="n">
        <v>30000</v>
      </c>
      <c r="H23">
        <f>IF(OR(F23="",C23=""),"",F23-C23)</f>
        <v/>
      </c>
      <c r="I23">
        <f>IF(OR(H23="",C23=0),"",H23/C23)</f>
        <v/>
      </c>
    </row>
    <row r="24">
      <c r="A24" t="inlineStr">
        <is>
          <t>Total</t>
        </is>
      </c>
      <c r="C24">
        <f>SUM(C3:C23)</f>
        <v/>
      </c>
      <c r="F24">
        <f>SUM(F3:F23)</f>
        <v/>
      </c>
      <c r="H24">
        <f>SUM(H3:H23)</f>
        <v/>
      </c>
    </row>
    <row r="25"/>
    <row r="26">
      <c r="A26" s="4" t="inlineStr">
        <is>
          <t>Yellow Sale Price = still need buyer invoices. Green Cost = COGS already entered.</t>
        </is>
      </c>
    </row>
    <row r="27"/>
    <row r="28">
      <c r="A28" s="4" t="inlineStr">
        <is>
          <t>2025 CC inventory (CONFIRMED category — NOT in Cost total until object is identified)</t>
        </is>
      </c>
    </row>
    <row r="29">
      <c r="A29" t="inlineStr">
        <is>
          <t>Los Angeles Modern Auctions (inventory purchase)</t>
        </is>
      </c>
      <c r="B29" t="inlineStr">
        <is>
          <t>Sapphire 5423</t>
        </is>
      </c>
      <c r="C29" s="6" t="n">
        <v>6821.06</v>
      </c>
      <c r="D29" t="inlineStr">
        <is>
          <t>2025-07-24</t>
        </is>
      </c>
    </row>
    <row r="30">
      <c r="A30" t="inlineStr">
        <is>
          <t>Hindman LLC (inventory purchase)</t>
        </is>
      </c>
      <c r="B30" t="inlineStr">
        <is>
          <t>Sapphire 5423</t>
        </is>
      </c>
      <c r="C30" s="6" t="n">
        <v>282.24</v>
      </c>
      <c r="D30" t="inlineStr">
        <is>
          <t>2025-04-03</t>
        </is>
      </c>
    </row>
    <row r="31">
      <c r="A31" t="inlineStr">
        <is>
          <t>Hindman LLC (inventory purchase)</t>
        </is>
      </c>
      <c r="B31" t="inlineStr">
        <is>
          <t>Sapphire 5423</t>
        </is>
      </c>
      <c r="C31" s="6" t="n">
        <v>403.51</v>
      </c>
      <c r="D31" t="inlineStr">
        <is>
          <t>2025-07-29</t>
        </is>
      </c>
    </row>
    <row r="32">
      <c r="A32" s="4" t="inlineStr">
        <is>
          <t>The Great Frame Up (inventory framing)</t>
        </is>
      </c>
      <c r="B32" t="inlineStr">
        <is>
          <t>Sapphire 5423</t>
        </is>
      </c>
      <c r="C32" s="6" t="n">
        <v>536.41</v>
      </c>
      <c r="D32" t="inlineStr">
        <is>
          <t>2025-02-16</t>
        </is>
      </c>
    </row>
    <row r="33">
      <c r="A33" s="4" t="inlineStr">
        <is>
          <t>User 2026-09-18: these are inventory, not EPGC operating expense. Do not add into Cost (COGS) total until the object is named — avoid double count vs Mercury.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2026-09-18T16:13:23Z</dcterms:created>
  <dcterms:modified xsi:type="dcterms:W3CDTF">2026-09-18T16:13:23Z</dcterms:modified>
</cp:coreProperties>
</file>