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 Sales and Purch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&quot;$&quot;* #,##0.00_);_(&quot;$&quot;* \(#,##0.00\);_(&quot;$&quot;* &quot;-&quot;??_);_(@_)"/>
    <numFmt numFmtId="165" formatCode="yyyy-mm-dd h:mm:ss"/>
    <numFmt numFmtId="166" formatCode="&quot;$&quot;#,##0_);[Red]\(&quot;$&quot;#,##0\)"/>
    <numFmt numFmtId="167" formatCode="YYYY-MM-DD"/>
  </numFmts>
  <fonts count="8">
    <font>
      <name val="Calibri"/>
      <family val="2"/>
      <color theme="1"/>
      <sz val="11"/>
      <scheme val="minor"/>
    </font>
    <font>
      <name val="Calibri"/>
      <color theme="1"/>
      <sz val="11"/>
    </font>
    <font>
      <name val="Calibri"/>
      <color theme="1"/>
      <sz val="14"/>
    </font>
    <font>
      <name val="Calibri"/>
      <b val="1"/>
      <color theme="1"/>
      <sz val="11"/>
    </font>
    <font>
      <name val="Calibri"/>
      <color theme="1"/>
      <scheme val="minor"/>
    </font>
    <font>
      <name val="Calibri"/>
      <color theme="1"/>
      <sz val="11"/>
      <scheme val="minor"/>
    </font>
    <font>
      <name val="Century Gothic"/>
      <sz val="10"/>
    </font>
    <font>
      <name val="Century Gothic"/>
      <b val="1"/>
      <sz val="11"/>
    </font>
  </fonts>
  <fills count="6">
    <fill>
      <patternFill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7CAAC"/>
      </patternFill>
    </fill>
  </fills>
  <borders count="4">
    <border>
      <left/>
      <right/>
      <top/>
      <bottom/>
      <diagonal/>
    </border>
    <border/>
    <border>
      <left/>
      <right/>
      <top/>
      <bottom/>
    </border>
    <border>
      <bottom style="thin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4" fontId="1" fillId="0" borderId="1" pivotButton="0" quotePrefix="0" xfId="0"/>
    <xf numFmtId="9" fontId="1" fillId="0" borderId="1" pivotButton="0" quotePrefix="0" xfId="0"/>
    <xf numFmtId="0" fontId="2" fillId="0" borderId="1" pivotButton="0" quotePrefix="0" xfId="0"/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/>
    </xf>
    <xf numFmtId="9" fontId="3" fillId="0" borderId="1" applyAlignment="1" pivotButton="0" quotePrefix="0" xfId="0">
      <alignment horizontal="left"/>
    </xf>
    <xf numFmtId="0" fontId="4" fillId="0" borderId="1" pivotButton="0" quotePrefix="0" xfId="0"/>
    <xf numFmtId="14" fontId="1" fillId="0" borderId="1" pivotButton="0" quotePrefix="0" xfId="0"/>
    <xf numFmtId="164" fontId="1" fillId="0" borderId="1" applyAlignment="1" pivotButton="0" quotePrefix="0" xfId="0">
      <alignment horizontal="right" vertical="center"/>
    </xf>
    <xf numFmtId="0" fontId="3" fillId="0" borderId="1" pivotButton="0" quotePrefix="0" xfId="0"/>
    <xf numFmtId="164" fontId="3" fillId="0" borderId="1" pivotButton="0" quotePrefix="0" xfId="0"/>
    <xf numFmtId="164" fontId="3" fillId="2" borderId="2" pivotButton="0" quotePrefix="0" xfId="0"/>
    <xf numFmtId="1" fontId="1" fillId="0" borderId="1" pivotButton="0" quotePrefix="0" xfId="0"/>
    <xf numFmtId="166" fontId="1" fillId="0" borderId="1" pivotButton="0" quotePrefix="0" xfId="0"/>
    <xf numFmtId="166" fontId="3" fillId="0" borderId="1" pivotButton="0" quotePrefix="0" xfId="0"/>
    <xf numFmtId="0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/>
    </xf>
    <xf numFmtId="14" fontId="1" fillId="0" borderId="1" applyAlignment="1" pivotButton="0" quotePrefix="0" xfId="0">
      <alignment horizontal="left"/>
    </xf>
    <xf numFmtId="164" fontId="1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vertical="bottom"/>
    </xf>
    <xf numFmtId="164" fontId="1" fillId="3" borderId="1" pivotButton="0" quotePrefix="0" xfId="0"/>
    <xf numFmtId="167" fontId="1" fillId="3" borderId="1" applyAlignment="1" pivotButton="0" quotePrefix="0" xfId="0">
      <alignment horizontal="left"/>
    </xf>
    <xf numFmtId="164" fontId="1" fillId="3" borderId="1" applyAlignment="1" pivotButton="0" quotePrefix="0" xfId="0">
      <alignment horizontal="left"/>
    </xf>
    <xf numFmtId="167" fontId="1" fillId="0" borderId="1" applyAlignment="1" pivotButton="0" quotePrefix="0" xfId="0">
      <alignment horizontal="left"/>
    </xf>
    <xf numFmtId="164" fontId="1" fillId="4" borderId="1" applyAlignment="1" pivotButton="0" quotePrefix="0" xfId="0">
      <alignment horizontal="left"/>
    </xf>
    <xf numFmtId="164" fontId="1" fillId="5" borderId="1" applyAlignment="1" pivotButton="0" quotePrefix="0" xfId="0">
      <alignment horizontal="left"/>
    </xf>
    <xf numFmtId="0" fontId="6" fillId="3" borderId="1" pivotButton="0" quotePrefix="0" xfId="0"/>
    <xf numFmtId="0" fontId="6" fillId="4" borderId="1" pivotButton="0" quotePrefix="0" xfId="0"/>
    <xf numFmtId="0" fontId="5" fillId="4" borderId="1" pivotButton="0" quotePrefix="0" xfId="0"/>
    <xf numFmtId="164" fontId="6" fillId="3" borderId="1" pivotButton="0" quotePrefix="0" xfId="0"/>
    <xf numFmtId="167" fontId="6" fillId="3" borderId="1" pivotButton="0" quotePrefix="0" xfId="0"/>
    <xf numFmtId="0" fontId="6" fillId="0" borderId="1" pivotButton="0" quotePrefix="0" xfId="0"/>
    <xf numFmtId="0" fontId="6" fillId="4" borderId="1" applyAlignment="1" pivotButton="0" quotePrefix="0" xfId="0">
      <alignment vertical="top" wrapText="1"/>
    </xf>
    <xf numFmtId="164" fontId="6" fillId="0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3" pivotButton="0" quotePrefix="0" xfId="0"/>
    <xf numFmtId="0" fontId="1" fillId="0" borderId="3" applyAlignment="1" pivotButton="0" quotePrefix="0" xfId="0">
      <alignment horizontal="left" vertical="center"/>
    </xf>
    <xf numFmtId="164" fontId="1" fillId="0" borderId="3" pivotButton="0" quotePrefix="0" xfId="0"/>
    <xf numFmtId="14" fontId="1" fillId="0" borderId="3" pivotButton="0" quotePrefix="0" xfId="0"/>
    <xf numFmtId="0" fontId="1" fillId="0" borderId="3" pivotButton="0" quotePrefix="0" xfId="0"/>
    <xf numFmtId="9" fontId="1" fillId="0" borderId="3" pivotButton="0" quotePrefix="0" xfId="0"/>
    <xf numFmtId="0" fontId="7" fillId="0" borderId="1" pivotButton="0" quotePrefix="0" xfId="0"/>
    <xf numFmtId="164" fontId="5" fillId="4" borderId="1" pivotButton="0" quotePrefix="0" xfId="0"/>
    <xf numFmtId="0" fontId="7" fillId="3" borderId="1" pivotButton="0" quotePrefix="0" xfId="0"/>
    <xf numFmtId="0" fontId="6" fillId="3" borderId="1" applyAlignment="1" pivotButton="0" quotePrefix="0" xfId="0">
      <alignment vertical="bottom"/>
    </xf>
    <xf numFmtId="0" fontId="5" fillId="3" borderId="1" pivotButton="0" quotePrefix="0" xfId="0"/>
    <xf numFmtId="164" fontId="5" fillId="3" borderId="1" pivotButton="0" quotePrefix="0" xfId="0"/>
    <xf numFmtId="0" fontId="6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cols>
    <col width="47.86" customWidth="1" min="1" max="1"/>
    <col width="20.57" customWidth="1" min="2" max="2"/>
    <col width="19.57" customWidth="1" min="3" max="3"/>
    <col width="16.57" customWidth="1" min="4" max="4"/>
    <col width="19.14" customWidth="1" min="5" max="5"/>
    <col width="17.43" customWidth="1" min="6" max="6"/>
    <col width="24.86" customWidth="1" min="7" max="7"/>
    <col width="16.14" customWidth="1" min="8" max="8"/>
    <col width="13.57" customWidth="1" min="9" max="9"/>
    <col width="19.43" customWidth="1" min="10" max="10"/>
    <col width="8.710000000000001" customWidth="1" min="11" max="11"/>
  </cols>
  <sheetData>
    <row r="1">
      <c r="B1" s="1" t="n"/>
      <c r="C1" s="2" t="n"/>
      <c r="F1" s="2" t="n"/>
      <c r="I1" s="3" t="n"/>
    </row>
    <row r="2">
      <c r="A2" s="4" t="inlineStr">
        <is>
          <t>Sales 2022</t>
        </is>
      </c>
      <c r="B2" s="4" t="n"/>
      <c r="C2" s="4" t="n"/>
      <c r="D2" s="4" t="n"/>
      <c r="E2" s="4" t="n"/>
      <c r="F2" s="4" t="n"/>
      <c r="G2" s="4" t="n"/>
      <c r="H2" s="4" t="n"/>
      <c r="I2" s="3" t="n"/>
    </row>
    <row r="3">
      <c r="A3" s="5" t="inlineStr">
        <is>
          <t>Object</t>
        </is>
      </c>
      <c r="B3" s="6" t="inlineStr">
        <is>
          <t>From</t>
        </is>
      </c>
      <c r="C3" s="7" t="inlineStr">
        <is>
          <t>Cost</t>
        </is>
      </c>
      <c r="D3" s="5" t="inlineStr">
        <is>
          <t xml:space="preserve">Purchase Date </t>
        </is>
      </c>
      <c r="E3" s="5" t="inlineStr">
        <is>
          <t>To</t>
        </is>
      </c>
      <c r="F3" s="7" t="inlineStr">
        <is>
          <t>Sale Price</t>
        </is>
      </c>
      <c r="G3" s="5" t="inlineStr">
        <is>
          <t>Sale Date</t>
        </is>
      </c>
      <c r="H3" s="5" t="inlineStr">
        <is>
          <t>Net Income</t>
        </is>
      </c>
      <c r="I3" s="8" t="inlineStr">
        <is>
          <t>ROI (%)</t>
        </is>
      </c>
      <c r="J3" s="5" t="inlineStr">
        <is>
          <t xml:space="preserve">Days in Inventory </t>
        </is>
      </c>
    </row>
    <row r="4">
      <c r="A4" s="9" t="inlineStr">
        <is>
          <t>An Ashanti Wood Fertility Figure</t>
        </is>
      </c>
      <c r="B4" s="1" t="inlineStr">
        <is>
          <t>Live Auctioneers</t>
        </is>
      </c>
      <c r="C4" s="2" t="n">
        <v>450</v>
      </c>
      <c r="D4" s="10" t="n">
        <v>44344</v>
      </c>
      <c r="E4" s="9" t="inlineStr">
        <is>
          <t>Hindman</t>
        </is>
      </c>
      <c r="F4" s="2" t="n">
        <v>500</v>
      </c>
      <c r="G4" s="10" t="n">
        <v>44755</v>
      </c>
      <c r="H4" s="2">
        <f>SUM(F4-C4)</f>
        <v/>
      </c>
      <c r="I4" s="3">
        <f>H4/C4</f>
        <v/>
      </c>
      <c r="J4" s="9">
        <f>G4-D4</f>
        <v/>
      </c>
    </row>
    <row r="5">
      <c r="A5" s="9" t="inlineStr">
        <is>
          <t>A Large Maya Hardstone Celt</t>
        </is>
      </c>
      <c r="B5" s="1" t="inlineStr">
        <is>
          <t>Live Auctioneers</t>
        </is>
      </c>
      <c r="C5" s="2" t="n">
        <v>906.37</v>
      </c>
      <c r="D5" s="10" t="n">
        <v>44535</v>
      </c>
      <c r="E5" s="9" t="inlineStr">
        <is>
          <t>Hindman</t>
        </is>
      </c>
      <c r="F5" s="2" t="n">
        <v>1000</v>
      </c>
      <c r="G5" s="10" t="n">
        <v>44755</v>
      </c>
      <c r="H5" s="2">
        <f>SUM(F5-C5)</f>
        <v/>
      </c>
      <c r="I5" s="3">
        <f>H5/C5</f>
        <v/>
      </c>
      <c r="J5" s="9">
        <f>G5-D5</f>
        <v/>
      </c>
    </row>
    <row r="6">
      <c r="A6" s="9" t="inlineStr">
        <is>
          <t>A Mezcala Stone Figure</t>
        </is>
      </c>
      <c r="B6" s="1" t="inlineStr">
        <is>
          <t>Live Auctioneers</t>
        </is>
      </c>
      <c r="C6" s="11" t="n">
        <v>239</v>
      </c>
      <c r="D6" s="10" t="n">
        <v>44548</v>
      </c>
      <c r="E6" s="9" t="inlineStr">
        <is>
          <t>Hindman</t>
        </is>
      </c>
      <c r="F6" s="2" t="n">
        <v>400</v>
      </c>
      <c r="G6" s="10" t="n">
        <v>44755</v>
      </c>
      <c r="H6" s="2">
        <f>SUM(F6-C6)</f>
        <v/>
      </c>
      <c r="I6" s="3">
        <f>H6/C6</f>
        <v/>
      </c>
      <c r="J6" s="9">
        <f>G6-D6</f>
        <v/>
      </c>
    </row>
    <row r="7">
      <c r="A7" s="9" t="inlineStr">
        <is>
          <t>A Veracruz Sonriente Figure</t>
        </is>
      </c>
      <c r="B7" s="1" t="inlineStr">
        <is>
          <t>Live Auctioneers</t>
        </is>
      </c>
      <c r="C7" s="2" t="n">
        <v>900</v>
      </c>
      <c r="D7" s="10" t="n">
        <v>44569</v>
      </c>
      <c r="E7" s="9" t="inlineStr">
        <is>
          <t>Hindman</t>
        </is>
      </c>
      <c r="F7" s="2" t="n">
        <v>1100</v>
      </c>
      <c r="G7" s="10" t="n">
        <v>44755</v>
      </c>
      <c r="H7" s="2">
        <f>SUM(F7-C7)</f>
        <v/>
      </c>
      <c r="I7" s="3">
        <f>H7/C7</f>
        <v/>
      </c>
      <c r="J7" s="9">
        <f>G7-D7</f>
        <v/>
      </c>
    </row>
    <row r="8">
      <c r="A8" s="9" t="inlineStr">
        <is>
          <t>A Tairona Metal Tumbaga</t>
        </is>
      </c>
      <c r="B8" s="1" t="inlineStr">
        <is>
          <t>Live Auctioneers</t>
        </is>
      </c>
      <c r="C8" s="2" t="n">
        <v>172</v>
      </c>
      <c r="D8" s="10" t="n">
        <v>44569</v>
      </c>
      <c r="E8" s="9" t="inlineStr">
        <is>
          <t>Hindman</t>
        </is>
      </c>
      <c r="F8" s="2" t="n">
        <v>375</v>
      </c>
      <c r="G8" s="10" t="n">
        <v>44755</v>
      </c>
      <c r="H8" s="2">
        <f>SUM(F8-C8)</f>
        <v/>
      </c>
      <c r="I8" s="3">
        <f>H8/C8</f>
        <v/>
      </c>
      <c r="J8" s="9">
        <f>G8-D8</f>
        <v/>
      </c>
    </row>
    <row r="9">
      <c r="A9" s="9" t="inlineStr">
        <is>
          <t>Four Thracian Gilt-Silver Double Eagle Plaques</t>
        </is>
      </c>
      <c r="B9" s="1" t="inlineStr">
        <is>
          <t>Hindman</t>
        </is>
      </c>
      <c r="C9" s="2" t="n">
        <v>400</v>
      </c>
      <c r="D9" s="10" t="n">
        <v>44343</v>
      </c>
      <c r="E9" s="9" t="inlineStr">
        <is>
          <t>Hindman</t>
        </is>
      </c>
      <c r="F9" s="2" t="n">
        <v>500</v>
      </c>
      <c r="G9" s="10" t="n">
        <v>44877</v>
      </c>
      <c r="H9" s="2">
        <f>SUM(F9-C9)</f>
        <v/>
      </c>
      <c r="I9" s="3">
        <f>H9/C9</f>
        <v/>
      </c>
      <c r="J9" s="9">
        <f>G9-D9</f>
        <v/>
      </c>
    </row>
    <row r="10">
      <c r="A10" s="9" t="inlineStr">
        <is>
          <t>A Thracian Gilt-Silver Tondo of a Female Bust</t>
        </is>
      </c>
      <c r="B10" s="1" t="inlineStr">
        <is>
          <t>Hindman</t>
        </is>
      </c>
      <c r="C10" s="2" t="n">
        <v>375</v>
      </c>
      <c r="D10" s="10" t="n">
        <v>44343</v>
      </c>
      <c r="E10" s="9" t="inlineStr">
        <is>
          <t>Hindman</t>
        </is>
      </c>
      <c r="F10" s="2" t="n">
        <v>700</v>
      </c>
      <c r="G10" s="10" t="n">
        <v>44877</v>
      </c>
      <c r="H10" s="2">
        <f>SUM(F10-C10)</f>
        <v/>
      </c>
      <c r="I10" s="3">
        <f>H10/C10</f>
        <v/>
      </c>
      <c r="J10" s="9">
        <f>G10-D10</f>
        <v/>
      </c>
    </row>
    <row r="11">
      <c r="A11" s="9" t="inlineStr">
        <is>
          <t>A Pair of Canosan Painted Pottery Oinochoai</t>
        </is>
      </c>
      <c r="B11" s="1" t="inlineStr">
        <is>
          <t>Hindman</t>
        </is>
      </c>
      <c r="C11" s="2" t="n">
        <v>6250</v>
      </c>
      <c r="D11" s="10" t="n">
        <v>44343</v>
      </c>
      <c r="E11" s="10" t="inlineStr">
        <is>
          <t>Hindman</t>
        </is>
      </c>
      <c r="F11" s="2" t="n">
        <v>15000</v>
      </c>
      <c r="G11" s="10" t="n">
        <v>44877</v>
      </c>
      <c r="H11" s="2">
        <f>SUM(F11-C11)</f>
        <v/>
      </c>
      <c r="I11" s="3">
        <f>H11/C11</f>
        <v/>
      </c>
      <c r="J11" s="9">
        <f>G11-D11</f>
        <v/>
      </c>
    </row>
    <row r="12">
      <c r="A12" s="9" t="inlineStr">
        <is>
          <t xml:space="preserve">Thirteen Saharan Stone Bracelets and Discoidals </t>
        </is>
      </c>
      <c r="B12" s="1" t="inlineStr">
        <is>
          <t>Amyas Naegele</t>
        </is>
      </c>
      <c r="C12" s="2" t="n">
        <v>6100</v>
      </c>
      <c r="D12" s="10" t="n">
        <v>44692</v>
      </c>
      <c r="E12" s="9" t="inlineStr">
        <is>
          <t>Aquinas Hobor</t>
        </is>
      </c>
      <c r="F12" s="2" t="n">
        <v>8000</v>
      </c>
      <c r="G12" s="10" t="n">
        <v>44908</v>
      </c>
      <c r="H12" s="2">
        <f>SUM(F12-C12)</f>
        <v/>
      </c>
      <c r="I12" s="3">
        <f>H12/C12</f>
        <v/>
      </c>
      <c r="J12" s="9">
        <f>G12-D12</f>
        <v/>
      </c>
    </row>
    <row r="13">
      <c r="A13" s="9" t="inlineStr">
        <is>
          <t>A Greek Style Bronze Corinthian Helmet</t>
        </is>
      </c>
      <c r="B13" s="1" t="inlineStr">
        <is>
          <t>EBay</t>
        </is>
      </c>
      <c r="C13" s="2" t="n">
        <v>5250.97</v>
      </c>
      <c r="D13" s="10" t="n">
        <v>44895</v>
      </c>
      <c r="E13" s="9" t="inlineStr">
        <is>
          <t>Marco Mercanti</t>
        </is>
      </c>
      <c r="F13" s="2" t="n">
        <v>9000</v>
      </c>
      <c r="G13" s="10" t="n">
        <v>44908</v>
      </c>
      <c r="H13" s="2">
        <f>SUM(F13-C13)</f>
        <v/>
      </c>
      <c r="I13" s="3">
        <f>H13/C13</f>
        <v/>
      </c>
      <c r="J13" s="9">
        <f>G13-D13</f>
        <v/>
      </c>
    </row>
    <row r="14">
      <c r="A14" s="12" t="inlineStr">
        <is>
          <t>Total</t>
        </is>
      </c>
      <c r="B14" s="1" t="n"/>
      <c r="C14" s="13">
        <f>SUM(C4:C13)</f>
        <v/>
      </c>
      <c r="D14" s="10" t="n"/>
      <c r="F14" s="13">
        <f>SUM(F4:F13)</f>
        <v/>
      </c>
      <c r="G14" s="10" t="n"/>
      <c r="H14" s="14">
        <f>SUM(H4:H13)</f>
        <v/>
      </c>
      <c r="I14" s="3">
        <f>H14/C14</f>
        <v/>
      </c>
      <c r="J14" s="15">
        <f>AVERAGE(J4:J13)</f>
        <v/>
      </c>
    </row>
    <row r="15">
      <c r="A15" s="4" t="inlineStr">
        <is>
          <t>Sales 2023</t>
        </is>
      </c>
      <c r="B15" s="4" t="n"/>
      <c r="C15" s="4" t="n"/>
      <c r="D15" s="4" t="n"/>
      <c r="E15" s="4" t="n"/>
      <c r="F15" s="4" t="n"/>
      <c r="G15" s="4" t="n"/>
      <c r="H15" s="4" t="n"/>
      <c r="I15" s="3" t="n"/>
    </row>
    <row r="16">
      <c r="A16" s="5" t="inlineStr">
        <is>
          <t>Object</t>
        </is>
      </c>
      <c r="B16" s="6" t="inlineStr">
        <is>
          <t>From</t>
        </is>
      </c>
      <c r="C16" s="7" t="inlineStr">
        <is>
          <t>Cost</t>
        </is>
      </c>
      <c r="D16" s="5" t="inlineStr">
        <is>
          <t xml:space="preserve">Purchase Date </t>
        </is>
      </c>
      <c r="E16" s="5" t="inlineStr">
        <is>
          <t>To</t>
        </is>
      </c>
      <c r="F16" s="7" t="inlineStr">
        <is>
          <t>Sale Price</t>
        </is>
      </c>
      <c r="G16" s="5" t="inlineStr">
        <is>
          <t>Sale Date</t>
        </is>
      </c>
      <c r="H16" s="5" t="inlineStr">
        <is>
          <t>Net Income</t>
        </is>
      </c>
      <c r="I16" s="3" t="n"/>
    </row>
    <row r="17">
      <c r="A17" s="9" t="inlineStr">
        <is>
          <t>Greek Bronze Cheek Pieces</t>
        </is>
      </c>
      <c r="B17" s="1" t="inlineStr">
        <is>
          <t>eBay</t>
        </is>
      </c>
      <c r="C17" s="2" t="n">
        <v>2870.43</v>
      </c>
      <c r="D17" s="10" t="n">
        <v>44918</v>
      </c>
      <c r="E17" s="9" t="inlineStr">
        <is>
          <t>Hindman</t>
        </is>
      </c>
      <c r="F17" s="2" t="n">
        <v>8500</v>
      </c>
      <c r="G17" s="10" t="n">
        <v>45071</v>
      </c>
      <c r="H17" s="2">
        <f>SUM(F17-C17)</f>
        <v/>
      </c>
      <c r="I17" s="3">
        <f>H17/C17</f>
        <v/>
      </c>
      <c r="J17" s="9">
        <f>G17-D17</f>
        <v/>
      </c>
    </row>
    <row r="18">
      <c r="A18" s="9" t="inlineStr">
        <is>
          <t>Egyptian Neolithic Flint Tools (2)</t>
        </is>
      </c>
      <c r="B18" s="1" t="inlineStr">
        <is>
          <t>Arte Primitivo</t>
        </is>
      </c>
      <c r="C18" s="2" t="n">
        <v>392.14</v>
      </c>
      <c r="D18" s="10" t="n">
        <v>44908</v>
      </c>
      <c r="E18" s="9" t="inlineStr">
        <is>
          <t>Hindman</t>
        </is>
      </c>
      <c r="F18" s="2" t="n">
        <v>2500</v>
      </c>
      <c r="G18" s="10" t="n">
        <v>45071</v>
      </c>
      <c r="H18" s="2">
        <f>SUM(F18-C18)</f>
        <v/>
      </c>
      <c r="I18" s="3">
        <f>H18/C18</f>
        <v/>
      </c>
      <c r="J18" s="9">
        <f>G18-D18</f>
        <v/>
      </c>
    </row>
    <row r="19">
      <c r="A19" s="9" t="inlineStr">
        <is>
          <t>Apulian Red Figure Fragment</t>
        </is>
      </c>
      <c r="B19" s="1" t="inlineStr">
        <is>
          <t>Aaron Berk</t>
        </is>
      </c>
      <c r="C19" s="2" t="n">
        <v>750</v>
      </c>
      <c r="D19" s="10" t="n">
        <v>44718</v>
      </c>
      <c r="E19" s="9" t="inlineStr">
        <is>
          <t>Hindman</t>
        </is>
      </c>
      <c r="F19" s="2" t="n">
        <v>600</v>
      </c>
      <c r="G19" s="10" t="n">
        <v>45071</v>
      </c>
      <c r="H19" s="2">
        <f>SUM(F19-C19)</f>
        <v/>
      </c>
      <c r="I19" s="3">
        <f>H19/C19</f>
        <v/>
      </c>
      <c r="J19" s="9">
        <f>G19-D19</f>
        <v/>
      </c>
    </row>
    <row r="20">
      <c r="A20" s="9" t="inlineStr">
        <is>
          <t>A Roman-Style Rock Crystal Amphoriskos</t>
        </is>
      </c>
      <c r="B20" s="1" t="inlineStr">
        <is>
          <t>Live Auctioneers</t>
        </is>
      </c>
      <c r="C20" s="2" t="n">
        <v>1351.78</v>
      </c>
      <c r="D20" s="10" t="n">
        <v>44770</v>
      </c>
      <c r="E20" s="9" t="inlineStr">
        <is>
          <t>Hindman</t>
        </is>
      </c>
      <c r="F20" s="2" t="n">
        <v>1900</v>
      </c>
      <c r="G20" s="10" t="n">
        <v>45071</v>
      </c>
      <c r="H20" s="2">
        <f>SUM(F20-C20)</f>
        <v/>
      </c>
      <c r="I20" s="3">
        <f>H20/C20</f>
        <v/>
      </c>
      <c r="J20" s="9">
        <f>G20-D20</f>
        <v/>
      </c>
    </row>
    <row r="21">
      <c r="A21" s="12" t="inlineStr">
        <is>
          <t>A Roman Mosaic</t>
        </is>
      </c>
      <c r="B21" s="1" t="inlineStr">
        <is>
          <t>ebay</t>
        </is>
      </c>
      <c r="C21" s="2" t="n">
        <v>3938</v>
      </c>
      <c r="D21" s="10" t="n">
        <v>45087</v>
      </c>
      <c r="E21" s="9" t="inlineStr">
        <is>
          <t>Aaron Berk</t>
        </is>
      </c>
      <c r="F21" s="2" t="n">
        <v>8500</v>
      </c>
      <c r="G21" s="10" t="n">
        <v>45099</v>
      </c>
      <c r="H21" s="2">
        <f>SUM(F21-C21)</f>
        <v/>
      </c>
      <c r="I21" s="3">
        <f>H21/C21</f>
        <v/>
      </c>
      <c r="J21" s="9">
        <f>G21-D21</f>
        <v/>
      </c>
    </row>
    <row r="22">
      <c r="A22" s="9" t="inlineStr">
        <is>
          <t>Pre-Columbian Jade Earspools</t>
        </is>
      </c>
      <c r="B22" s="1" t="inlineStr">
        <is>
          <t>Live Auctioneers</t>
        </is>
      </c>
      <c r="C22" s="2" t="n">
        <v>233</v>
      </c>
      <c r="D22" s="10" t="n">
        <v>45086</v>
      </c>
      <c r="E22" s="9" t="inlineStr">
        <is>
          <t>Aaron Berk</t>
        </is>
      </c>
      <c r="F22" s="2" t="n">
        <v>500</v>
      </c>
      <c r="G22" s="10" t="n">
        <v>45099</v>
      </c>
      <c r="H22" s="2">
        <f>SUM(F22-C22)</f>
        <v/>
      </c>
      <c r="I22" s="3">
        <f>H22/C22</f>
        <v/>
      </c>
      <c r="J22" s="9">
        <f>G22-D22</f>
        <v/>
      </c>
    </row>
    <row r="23">
      <c r="A23" s="9" t="inlineStr">
        <is>
          <t>Teo Alabaster Mask</t>
        </is>
      </c>
      <c r="B23" s="1" t="inlineStr">
        <is>
          <t>Live Auctioneers</t>
        </is>
      </c>
      <c r="C23" s="2" t="n">
        <v>701.5</v>
      </c>
      <c r="D23" s="10" t="n">
        <v>45086</v>
      </c>
      <c r="E23" s="9" t="inlineStr">
        <is>
          <t>Aaron Berk</t>
        </is>
      </c>
      <c r="F23" s="2" t="n">
        <v>2000</v>
      </c>
      <c r="G23" s="10" t="n">
        <v>45099</v>
      </c>
      <c r="H23" s="2">
        <f>SUM(F23-C23)</f>
        <v/>
      </c>
      <c r="I23" s="3">
        <f>H23/C23</f>
        <v/>
      </c>
      <c r="J23" s="9">
        <f>G23-D23</f>
        <v/>
      </c>
    </row>
    <row r="24">
      <c r="A24" s="9" t="inlineStr">
        <is>
          <t>Mezcala Stone Temple</t>
        </is>
      </c>
      <c r="B24" s="1" t="inlineStr">
        <is>
          <t>Live Auctioneers</t>
        </is>
      </c>
      <c r="C24" s="2" t="n">
        <v>233</v>
      </c>
      <c r="D24" s="10" t="n">
        <v>45086</v>
      </c>
      <c r="E24" s="9" t="inlineStr">
        <is>
          <t>Aaron Berk</t>
        </is>
      </c>
      <c r="F24" s="2" t="n">
        <v>500</v>
      </c>
      <c r="G24" s="10" t="n">
        <v>45099</v>
      </c>
      <c r="H24" s="2">
        <f>SUM(F24-C24)</f>
        <v/>
      </c>
      <c r="I24" s="3">
        <f>H24/C24</f>
        <v/>
      </c>
      <c r="J24" s="9">
        <f>G24-D24</f>
        <v/>
      </c>
    </row>
    <row r="25">
      <c r="A25" s="9" t="inlineStr">
        <is>
          <t>Mezcala Stone Figure</t>
        </is>
      </c>
      <c r="B25" s="1" t="inlineStr">
        <is>
          <t>Live Auctioneers</t>
        </is>
      </c>
      <c r="C25" s="2" t="n">
        <v>233</v>
      </c>
      <c r="D25" s="10" t="n">
        <v>45086</v>
      </c>
      <c r="E25" s="9" t="inlineStr">
        <is>
          <t>Aaron Berk</t>
        </is>
      </c>
      <c r="F25" s="2" t="n">
        <v>500</v>
      </c>
      <c r="G25" s="10" t="n">
        <v>45099</v>
      </c>
      <c r="H25" s="2">
        <f>SUM(F25-C25)</f>
        <v/>
      </c>
      <c r="I25" s="3">
        <f>H25/C25</f>
        <v/>
      </c>
      <c r="J25" s="9">
        <f>G25-D25</f>
        <v/>
      </c>
    </row>
    <row r="26">
      <c r="A26" s="9" t="inlineStr">
        <is>
          <t>GREEK BRONZE HELMET OF PHRYGIAN TYPE</t>
        </is>
      </c>
      <c r="B26" s="1" t="inlineStr">
        <is>
          <t>ebay</t>
        </is>
      </c>
      <c r="C26" s="2" t="n">
        <v>2000</v>
      </c>
      <c r="D26" s="10" t="n">
        <v>44918</v>
      </c>
      <c r="E26" s="9" t="inlineStr">
        <is>
          <t>Aaron Berk</t>
        </is>
      </c>
      <c r="F26" s="2" t="n">
        <v>7000</v>
      </c>
      <c r="G26" s="10" t="n">
        <v>45099</v>
      </c>
      <c r="H26" s="2">
        <f>SUM(F26-C26)</f>
        <v/>
      </c>
      <c r="I26" s="3">
        <f>H26/C26</f>
        <v/>
      </c>
      <c r="J26" s="9">
        <f>G26-D26</f>
        <v/>
      </c>
    </row>
    <row r="27">
      <c r="A27" s="9" t="inlineStr">
        <is>
          <t>Bactrian Style Stone Votive</t>
        </is>
      </c>
      <c r="B27" s="1" t="inlineStr">
        <is>
          <t>ebay</t>
        </is>
      </c>
      <c r="C27" s="2" t="n">
        <v>990</v>
      </c>
      <c r="D27" s="10" t="n">
        <v>44918</v>
      </c>
      <c r="E27" s="9" t="inlineStr">
        <is>
          <t>Aaron Berk</t>
        </is>
      </c>
      <c r="F27" s="2" t="n">
        <v>1000</v>
      </c>
      <c r="G27" s="10" t="n">
        <v>45099</v>
      </c>
      <c r="H27" s="2">
        <f>SUM(F27-C27)</f>
        <v/>
      </c>
      <c r="I27" s="3">
        <f>H27/C27</f>
        <v/>
      </c>
      <c r="J27" s="9">
        <f>G27-D27</f>
        <v/>
      </c>
    </row>
    <row r="28">
      <c r="A28" s="9" t="inlineStr">
        <is>
          <t>A Roman Bronze Knife</t>
        </is>
      </c>
      <c r="B28" s="1" t="inlineStr">
        <is>
          <t>Ebay</t>
        </is>
      </c>
      <c r="C28" s="16" t="n">
        <v>110</v>
      </c>
      <c r="D28" s="10" t="n">
        <v>44988</v>
      </c>
      <c r="E28" s="9" t="inlineStr">
        <is>
          <t>Gift</t>
        </is>
      </c>
      <c r="F28" s="2" t="n">
        <v>100</v>
      </c>
      <c r="G28" s="10" t="n">
        <v>45097</v>
      </c>
      <c r="H28" s="2">
        <f>SUM(F28-C28)</f>
        <v/>
      </c>
      <c r="I28" s="3">
        <f>H28/C28</f>
        <v/>
      </c>
      <c r="J28" s="9">
        <f>G28-D28</f>
        <v/>
      </c>
    </row>
    <row r="29">
      <c r="A29" s="9" t="inlineStr">
        <is>
          <t>Collection of Cylinder Seals</t>
        </is>
      </c>
      <c r="B29" s="1" t="inlineStr">
        <is>
          <t>Erdal Dere</t>
        </is>
      </c>
      <c r="C29" s="16" t="n">
        <v>360000</v>
      </c>
      <c r="D29" s="10" t="n">
        <v>45135</v>
      </c>
      <c r="E29" s="9" t="inlineStr">
        <is>
          <t>Aaron Berk</t>
        </is>
      </c>
      <c r="F29" s="2" t="n">
        <v>410000</v>
      </c>
      <c r="G29" s="10" t="n">
        <v>45135</v>
      </c>
      <c r="H29" s="2">
        <f>SUM(F29-C29)</f>
        <v/>
      </c>
      <c r="I29" s="3">
        <f>H29/C29</f>
        <v/>
      </c>
      <c r="J29" s="9">
        <f>G29-D29</f>
        <v/>
      </c>
    </row>
    <row r="30">
      <c r="A30" s="9" t="inlineStr">
        <is>
          <t>An Egyptian Cylinder Seal</t>
        </is>
      </c>
      <c r="B30" s="1" t="inlineStr">
        <is>
          <t>Erdal Dere</t>
        </is>
      </c>
      <c r="C30" s="16" t="n">
        <v>3600</v>
      </c>
      <c r="D30" s="10" t="n">
        <v>45191</v>
      </c>
      <c r="E30" s="9" t="inlineStr">
        <is>
          <t>Aaron Berk</t>
        </is>
      </c>
      <c r="F30" s="2" t="n">
        <v>4000</v>
      </c>
      <c r="G30" s="10" t="n">
        <v>45192</v>
      </c>
      <c r="H30" s="2">
        <f>SUM(F30-C30)</f>
        <v/>
      </c>
      <c r="I30" s="3">
        <f>H30/C30</f>
        <v/>
      </c>
      <c r="J30" s="9">
        <f>G30-D30</f>
        <v/>
      </c>
    </row>
    <row r="31">
      <c r="A31" s="9" t="inlineStr">
        <is>
          <t>A Collection of Tablets</t>
        </is>
      </c>
      <c r="B31" s="1" t="inlineStr">
        <is>
          <t>Danny Anavian</t>
        </is>
      </c>
      <c r="C31" s="16" t="n">
        <v>45000</v>
      </c>
      <c r="D31" s="10" t="n">
        <v>45237</v>
      </c>
      <c r="E31" s="9" t="inlineStr">
        <is>
          <t>Aaron Berk</t>
        </is>
      </c>
      <c r="F31" s="16" t="n">
        <v>55000</v>
      </c>
      <c r="G31" s="10" t="n">
        <v>45244</v>
      </c>
      <c r="H31" s="2">
        <f>SUM(F31-C31)</f>
        <v/>
      </c>
      <c r="I31" s="3">
        <f>H31/C31</f>
        <v/>
      </c>
      <c r="J31" s="9">
        <f>G31-D31</f>
        <v/>
      </c>
    </row>
    <row r="32">
      <c r="A32" s="9" t="inlineStr">
        <is>
          <t>A Gold Coin</t>
        </is>
      </c>
      <c r="B32" s="1" t="inlineStr">
        <is>
          <t>Erdal Dere</t>
        </is>
      </c>
      <c r="C32" s="16" t="n">
        <v>4000</v>
      </c>
      <c r="D32" s="10" t="n">
        <v>45246</v>
      </c>
      <c r="E32" s="9" t="inlineStr">
        <is>
          <t>Felix Brejente</t>
        </is>
      </c>
      <c r="F32" s="2" t="n">
        <v>4700</v>
      </c>
      <c r="G32" s="10" t="n">
        <v>45246</v>
      </c>
      <c r="H32" s="2">
        <f>SUM(F32-C32)</f>
        <v/>
      </c>
      <c r="I32" s="3">
        <f>H32/C32</f>
        <v/>
      </c>
      <c r="J32" s="9">
        <f>G32-D32</f>
        <v/>
      </c>
    </row>
    <row r="33">
      <c r="A33" s="9" t="inlineStr">
        <is>
          <t>Bactrian Chlorite Vessel</t>
        </is>
      </c>
      <c r="B33" s="1" t="inlineStr">
        <is>
          <t>Ebay</t>
        </is>
      </c>
      <c r="C33" s="2" t="n">
        <v>10</v>
      </c>
      <c r="D33" s="10" t="n">
        <v>44895</v>
      </c>
      <c r="E33" s="3" t="inlineStr">
        <is>
          <t>Hindman</t>
        </is>
      </c>
      <c r="F33" s="2" t="n">
        <v>2000</v>
      </c>
      <c r="G33" s="10" t="n">
        <v>45265</v>
      </c>
      <c r="H33" s="2">
        <f>SUM(F33-C33)</f>
        <v/>
      </c>
      <c r="I33" s="3">
        <f>H33/C33</f>
        <v/>
      </c>
      <c r="J33" s="9">
        <f>G33-D33</f>
        <v/>
      </c>
    </row>
    <row r="34">
      <c r="A34" s="9" t="inlineStr">
        <is>
          <t>An Egyptian Limestone Head of Hathor</t>
        </is>
      </c>
      <c r="B34" s="1" t="inlineStr">
        <is>
          <t>Ebay</t>
        </is>
      </c>
      <c r="C34" s="2" t="n">
        <v>50</v>
      </c>
      <c r="D34" s="10" t="n">
        <v>44911</v>
      </c>
      <c r="E34" s="9" t="inlineStr">
        <is>
          <t>Harlan J. Berk</t>
        </is>
      </c>
      <c r="F34" s="2" t="n">
        <v>1000</v>
      </c>
      <c r="G34" s="10" t="n">
        <v>45261</v>
      </c>
      <c r="H34" s="2">
        <f>SUM(F34-C34)</f>
        <v/>
      </c>
      <c r="I34" s="3">
        <f>H34/C34</f>
        <v/>
      </c>
      <c r="J34" s="9">
        <f>G34-D34</f>
        <v/>
      </c>
    </row>
    <row r="35">
      <c r="A35" s="9" t="inlineStr">
        <is>
          <t>Native America Banner Stone (Butterfly)</t>
        </is>
      </c>
      <c r="B35" s="1" t="inlineStr">
        <is>
          <t>Amyas Naegele</t>
        </is>
      </c>
      <c r="C35" s="2" t="n">
        <v>50</v>
      </c>
      <c r="D35" s="10" t="n">
        <v>44911</v>
      </c>
      <c r="E35" s="9" t="inlineStr">
        <is>
          <t>Harlan J. Berk</t>
        </is>
      </c>
      <c r="F35" s="2" t="n">
        <v>100</v>
      </c>
      <c r="G35" s="10" t="n">
        <v>45261</v>
      </c>
      <c r="H35" s="2">
        <f>SUM(F35-C35)</f>
        <v/>
      </c>
      <c r="I35" s="3">
        <f>H35/C35</f>
        <v/>
      </c>
      <c r="J35" s="9">
        <f>G35-D35</f>
        <v/>
      </c>
    </row>
    <row r="36">
      <c r="A36" s="9" t="inlineStr">
        <is>
          <t>Native America Banner Stone (Anthro)</t>
        </is>
      </c>
      <c r="B36" s="1" t="inlineStr">
        <is>
          <t>Amyas Naegele</t>
        </is>
      </c>
      <c r="C36" s="2" t="n">
        <v>50</v>
      </c>
      <c r="D36" s="10" t="n">
        <v>44911</v>
      </c>
      <c r="E36" s="9" t="inlineStr">
        <is>
          <t>Harlan J. Berk</t>
        </is>
      </c>
      <c r="F36" s="2" t="n">
        <v>100</v>
      </c>
      <c r="G36" s="10" t="n">
        <v>45261</v>
      </c>
      <c r="H36" s="2">
        <f>SUM(F36-C36)</f>
        <v/>
      </c>
      <c r="I36" s="3">
        <f>H36/C36</f>
        <v/>
      </c>
      <c r="J36" s="9">
        <f>G36-D36</f>
        <v/>
      </c>
    </row>
    <row r="37">
      <c r="A37" s="12" t="inlineStr">
        <is>
          <t>Total</t>
        </is>
      </c>
      <c r="B37" s="1" t="n"/>
      <c r="C37" s="13">
        <f>SUM(C17:C36)</f>
        <v/>
      </c>
      <c r="D37" s="10" t="n"/>
      <c r="F37" s="13">
        <f>SUM(F17:F36)</f>
        <v/>
      </c>
      <c r="G37" s="10" t="n"/>
      <c r="H37" s="14">
        <f>SUM(H17:H36)</f>
        <v/>
      </c>
      <c r="I37" s="3">
        <f>H37/C37</f>
        <v/>
      </c>
      <c r="J37" s="15">
        <f>AVERAGE(J17:J36)</f>
        <v/>
      </c>
    </row>
    <row r="38">
      <c r="A38" s="4" t="inlineStr">
        <is>
          <t>Sales 2024</t>
        </is>
      </c>
      <c r="B38" s="4" t="n"/>
      <c r="C38" s="4" t="n"/>
      <c r="D38" s="4" t="n"/>
      <c r="E38" s="4" t="n"/>
      <c r="F38" s="4" t="n"/>
      <c r="G38" s="4" t="n"/>
      <c r="H38" s="4" t="n"/>
      <c r="I38" s="3" t="n"/>
    </row>
    <row r="39">
      <c r="A39" s="5" t="inlineStr">
        <is>
          <t>Object</t>
        </is>
      </c>
      <c r="B39" s="6" t="inlineStr">
        <is>
          <t>From</t>
        </is>
      </c>
      <c r="C39" s="7" t="inlineStr">
        <is>
          <t>Cost</t>
        </is>
      </c>
      <c r="D39" s="5" t="inlineStr">
        <is>
          <t xml:space="preserve">Purchase Date </t>
        </is>
      </c>
      <c r="E39" s="5" t="inlineStr">
        <is>
          <t>To</t>
        </is>
      </c>
      <c r="F39" s="7" t="inlineStr">
        <is>
          <t>Sale Price</t>
        </is>
      </c>
      <c r="G39" s="5" t="inlineStr">
        <is>
          <t>Sale Date</t>
        </is>
      </c>
      <c r="H39" s="5" t="inlineStr">
        <is>
          <t>Net Income</t>
        </is>
      </c>
      <c r="I39" s="3" t="n"/>
    </row>
    <row r="40">
      <c r="A40" s="9" t="inlineStr">
        <is>
          <t>A Valdivian Stone Votive Axe</t>
        </is>
      </c>
      <c r="B40" s="1" t="inlineStr">
        <is>
          <t>Arte Primitivo</t>
        </is>
      </c>
      <c r="C40" s="16" t="n">
        <v>470</v>
      </c>
      <c r="D40" s="10" t="n">
        <v>45196</v>
      </c>
      <c r="E40" s="9" t="inlineStr">
        <is>
          <t>Hindman</t>
        </is>
      </c>
      <c r="F40" s="2" t="n">
        <v>600</v>
      </c>
      <c r="G40" s="10" t="n">
        <v>45000</v>
      </c>
      <c r="H40" s="2">
        <f>SUM(F40-C40)</f>
        <v/>
      </c>
      <c r="I40" s="3">
        <f>H40/C40</f>
        <v/>
      </c>
    </row>
    <row r="41">
      <c r="A41" s="9" t="inlineStr">
        <is>
          <t>A Roman Marble Leg</t>
        </is>
      </c>
      <c r="B41" s="1" t="inlineStr">
        <is>
          <t>Harlan J. Berk</t>
        </is>
      </c>
      <c r="C41" s="16" t="n">
        <v>2500</v>
      </c>
      <c r="D41" s="10" t="n">
        <v>45379</v>
      </c>
      <c r="E41" s="9" t="inlineStr">
        <is>
          <t>WhiteCube</t>
        </is>
      </c>
      <c r="F41" s="2" t="n">
        <v>2982</v>
      </c>
      <c r="G41" s="10" t="n">
        <v>45379</v>
      </c>
      <c r="H41" s="2">
        <f>SUM(F41-C41)</f>
        <v/>
      </c>
      <c r="I41" s="3">
        <f>H41/C41</f>
        <v/>
      </c>
    </row>
    <row r="42">
      <c r="A42" s="9" t="inlineStr">
        <is>
          <t>Sword 10th Century Viking</t>
        </is>
      </c>
      <c r="B42" s="1" t="inlineStr">
        <is>
          <t>Zevantiques</t>
        </is>
      </c>
      <c r="C42" s="16" t="n">
        <v>1416.99</v>
      </c>
      <c r="D42" s="10" t="n">
        <v>45311</v>
      </c>
      <c r="E42" s="9" t="inlineStr">
        <is>
          <t>Harlan J. Berk</t>
        </is>
      </c>
      <c r="F42" s="2" t="n">
        <v>6500</v>
      </c>
      <c r="G42" s="10" t="n">
        <v>45448</v>
      </c>
      <c r="H42" s="2">
        <f>SUM(F42-C42)</f>
        <v/>
      </c>
      <c r="I42" s="3">
        <f>H42/C42</f>
        <v/>
      </c>
    </row>
    <row r="43">
      <c r="A43" s="9" t="inlineStr">
        <is>
          <t>A Collection of Cylinder Seal</t>
        </is>
      </c>
      <c r="B43" s="1" t="inlineStr">
        <is>
          <t>Erdal Dere</t>
        </is>
      </c>
      <c r="C43" s="16" t="n">
        <v>33000</v>
      </c>
      <c r="D43" s="10" t="n">
        <v>45468</v>
      </c>
      <c r="E43" s="9" t="inlineStr">
        <is>
          <t>Harlan J. Berk</t>
        </is>
      </c>
      <c r="F43" s="2" t="n">
        <v>36000</v>
      </c>
      <c r="G43" s="10" t="n">
        <v>45468</v>
      </c>
      <c r="H43" s="2">
        <f>SUM(F43-C43)</f>
        <v/>
      </c>
      <c r="I43" s="3" t="n"/>
    </row>
    <row r="44">
      <c r="A44" s="9" t="inlineStr">
        <is>
          <t>A Roman Glass Beaker</t>
        </is>
      </c>
      <c r="B44" s="1" t="inlineStr">
        <is>
          <t>Erdal Dere</t>
        </is>
      </c>
      <c r="C44" s="16" t="n">
        <v>25000</v>
      </c>
      <c r="D44" s="10" t="n">
        <v>45408</v>
      </c>
      <c r="E44" s="9" t="inlineStr">
        <is>
          <t>Erdal Dere</t>
        </is>
      </c>
      <c r="F44" s="2" t="n">
        <v>37500</v>
      </c>
      <c r="G44" s="10" t="n">
        <v>45656</v>
      </c>
      <c r="H44" s="2">
        <f>SUM(F44-C44)</f>
        <v/>
      </c>
      <c r="I44" s="3">
        <f>H44/C44</f>
        <v/>
      </c>
    </row>
    <row r="45">
      <c r="A45" s="9" t="inlineStr">
        <is>
          <t>An Egyptian Limestone Head of a Pharaoh</t>
        </is>
      </c>
      <c r="B45" s="1" t="inlineStr">
        <is>
          <t>Live Auctioneers</t>
        </is>
      </c>
      <c r="C45" s="16" t="n">
        <v>1885.96</v>
      </c>
      <c r="D45" s="10" t="n">
        <v>45414</v>
      </c>
      <c r="E45" s="9" t="inlineStr">
        <is>
          <t>Harlan J. Berk</t>
        </is>
      </c>
      <c r="F45" s="2" t="n">
        <v>5500</v>
      </c>
      <c r="G45" s="10" t="n">
        <v>45621</v>
      </c>
      <c r="H45" s="2">
        <f>SUM(F45-C45)</f>
        <v/>
      </c>
      <c r="I45" s="3">
        <f>H45/C45</f>
        <v/>
      </c>
    </row>
    <row r="46">
      <c r="A46" s="9" t="inlineStr">
        <is>
          <t>Indus Valley Vessels</t>
        </is>
      </c>
      <c r="B46" s="1" t="inlineStr">
        <is>
          <t>Ebay</t>
        </is>
      </c>
      <c r="C46" s="2" t="n">
        <v>214.99</v>
      </c>
      <c r="D46" s="10" t="n">
        <v>45345</v>
      </c>
      <c r="E46" s="9" t="inlineStr">
        <is>
          <t>Hindman</t>
        </is>
      </c>
      <c r="F46" s="2" t="n">
        <v>1700</v>
      </c>
      <c r="G46" s="10" t="n">
        <v>45435</v>
      </c>
      <c r="H46" s="2">
        <f>SUM(F46-C46)</f>
        <v/>
      </c>
      <c r="I46" s="3">
        <f>H46/C46</f>
        <v/>
      </c>
    </row>
    <row r="47">
      <c r="A47" s="12" t="inlineStr">
        <is>
          <t>Total</t>
        </is>
      </c>
      <c r="B47" s="1" t="n"/>
      <c r="C47" s="17">
        <f>SUM(C40:C46)</f>
        <v/>
      </c>
      <c r="D47" s="10" t="n"/>
      <c r="F47" s="13">
        <f>SUM(F40:F46)</f>
        <v/>
      </c>
      <c r="G47" s="10" t="n"/>
      <c r="H47" s="14">
        <f>SUM(H40:H46)</f>
        <v/>
      </c>
      <c r="I47" s="3">
        <f>H47/C47</f>
        <v/>
      </c>
      <c r="J47" s="15">
        <f>AVERAGE(J26:J46)</f>
        <v/>
      </c>
    </row>
    <row r="48">
      <c r="B48" s="1" t="n"/>
      <c r="C48" s="2" t="n"/>
      <c r="F48" s="2" t="n"/>
      <c r="I48" s="3" t="n"/>
    </row>
    <row r="49">
      <c r="A49" s="4" t="inlineStr">
        <is>
          <t>Sales 2025</t>
        </is>
      </c>
      <c r="B49" s="4" t="n"/>
      <c r="C49" s="4" t="n"/>
      <c r="D49" s="4" t="n"/>
      <c r="E49" s="4" t="n"/>
      <c r="F49" s="4" t="n"/>
      <c r="G49" s="4" t="n"/>
      <c r="H49" s="4" t="n"/>
      <c r="I49" s="3" t="n"/>
    </row>
    <row r="50">
      <c r="A50" s="5" t="inlineStr">
        <is>
          <t>Object</t>
        </is>
      </c>
      <c r="B50" s="6" t="inlineStr">
        <is>
          <t>From</t>
        </is>
      </c>
      <c r="C50" s="7" t="inlineStr">
        <is>
          <t>Cost</t>
        </is>
      </c>
      <c r="D50" s="5" t="inlineStr">
        <is>
          <t xml:space="preserve">Purchase Date </t>
        </is>
      </c>
      <c r="E50" s="5" t="inlineStr">
        <is>
          <t>To</t>
        </is>
      </c>
      <c r="F50" s="7" t="inlineStr">
        <is>
          <t>Sale Price</t>
        </is>
      </c>
      <c r="G50" s="5" t="inlineStr">
        <is>
          <t>Sale Date</t>
        </is>
      </c>
      <c r="H50" s="5" t="inlineStr">
        <is>
          <t>Net Income</t>
        </is>
      </c>
      <c r="I50" s="3" t="n"/>
    </row>
    <row r="51">
      <c r="A51" s="18" t="inlineStr">
        <is>
          <t>A Group of 10 Engraved Gems</t>
        </is>
      </c>
      <c r="B51" s="1" t="inlineStr">
        <is>
          <t>Erdal Dere</t>
        </is>
      </c>
      <c r="C51" s="19" t="n">
        <v>1000</v>
      </c>
      <c r="D51" s="18" t="n"/>
      <c r="E51" s="18" t="inlineStr">
        <is>
          <t>Harlan J. Berk</t>
        </is>
      </c>
      <c r="F51" s="19" t="n"/>
      <c r="G51" s="20" t="n">
        <v>45695</v>
      </c>
      <c r="H51" s="18">
        <f>IF(OR(F51="",C51=""),"",F51-C51)</f>
        <v/>
      </c>
      <c r="I51" s="3">
        <f>IF(OR(H51="",C51=0),"",H51/C51)</f>
        <v/>
      </c>
    </row>
    <row r="52">
      <c r="A52" s="18" t="inlineStr">
        <is>
          <t>A Greek Amber(?) Ram's Head Protome</t>
        </is>
      </c>
      <c r="B52" s="1" t="inlineStr">
        <is>
          <t>Erdal Dere</t>
        </is>
      </c>
      <c r="C52" s="19" t="n">
        <v>300</v>
      </c>
      <c r="D52" s="18" t="n"/>
      <c r="E52" s="18" t="inlineStr">
        <is>
          <t>Harlan J. Berk</t>
        </is>
      </c>
      <c r="F52" s="19" t="n"/>
      <c r="G52" s="20" t="n">
        <v>45695</v>
      </c>
      <c r="H52" s="18">
        <f>IF(OR(F52="",C52=""),"",F52-C52)</f>
        <v/>
      </c>
      <c r="I52" s="3">
        <f>IF(OR(H52="",C52=0),"",H52/C52)</f>
        <v/>
      </c>
    </row>
    <row r="53">
      <c r="A53" s="18" t="inlineStr">
        <is>
          <t>A Stone Cylinder Seal</t>
        </is>
      </c>
      <c r="B53" s="1" t="inlineStr">
        <is>
          <t>Estate Sale</t>
        </is>
      </c>
      <c r="C53" s="19" t="n">
        <v>300</v>
      </c>
      <c r="D53" s="18" t="n"/>
      <c r="E53" s="18" t="inlineStr">
        <is>
          <t>Harlan J. Berk</t>
        </is>
      </c>
      <c r="F53" s="19" t="n"/>
      <c r="G53" s="20" t="n">
        <v>45695</v>
      </c>
      <c r="H53" s="18">
        <f>IF(OR(F53="",C53=""),"",F53-C53)</f>
        <v/>
      </c>
      <c r="I53" s="3">
        <f>IF(OR(H53="",C53=0),"",H53/C53)</f>
        <v/>
      </c>
    </row>
    <row r="54">
      <c r="A54" s="18" t="inlineStr">
        <is>
          <t>Commission on Cypriot Head</t>
        </is>
      </c>
      <c r="B54" s="1" t="inlineStr">
        <is>
          <t>Asher Edelman</t>
        </is>
      </c>
      <c r="C54" s="2" t="n">
        <v>1000</v>
      </c>
      <c r="D54" s="18" t="n"/>
      <c r="E54" s="18" t="inlineStr">
        <is>
          <t>Harlan J. Berk</t>
        </is>
      </c>
      <c r="F54" s="19" t="n"/>
      <c r="G54" s="20" t="n">
        <v>45695</v>
      </c>
      <c r="H54" s="18">
        <f>IF(OR(F54="",C54=""),"",F54-C54)</f>
        <v/>
      </c>
      <c r="I54" s="3">
        <f>IF(OR(H54="",C54=0),"",H54/C54)</f>
        <v/>
      </c>
    </row>
    <row r="55">
      <c r="A55" s="18" t="inlineStr">
        <is>
          <t>Commission on Seal Collection</t>
        </is>
      </c>
      <c r="B55" s="1" t="inlineStr">
        <is>
          <t>Erdal Dere</t>
        </is>
      </c>
      <c r="C55" s="19" t="n">
        <v>1000</v>
      </c>
      <c r="D55" s="18" t="n"/>
      <c r="E55" s="18" t="inlineStr">
        <is>
          <t>Harlan J. Berk</t>
        </is>
      </c>
      <c r="F55" s="19" t="n"/>
      <c r="G55" s="20" t="n">
        <v>45695</v>
      </c>
      <c r="H55" s="18">
        <f>IF(OR(F55="",C55=""),"",F55-C55)</f>
        <v/>
      </c>
      <c r="I55" s="3">
        <f>IF(OR(H55="",C55=0),"",H55/C55)</f>
        <v/>
      </c>
    </row>
    <row r="56">
      <c r="A56" s="18" t="inlineStr">
        <is>
          <t>Scythian Faience Horse Plaque</t>
        </is>
      </c>
      <c r="B56" s="1" t="inlineStr">
        <is>
          <t>Estate Sale</t>
        </is>
      </c>
      <c r="C56" s="19" t="n">
        <v>1000</v>
      </c>
      <c r="D56" s="18" t="n"/>
      <c r="E56" s="18" t="inlineStr">
        <is>
          <t>Harlan J. Berk</t>
        </is>
      </c>
      <c r="F56" s="19" t="n"/>
      <c r="G56" s="20" t="n">
        <v>45695</v>
      </c>
      <c r="H56" s="18">
        <f>IF(OR(F56="",C56=""),"",F56-C56)</f>
        <v/>
      </c>
      <c r="I56" s="3">
        <f>IF(OR(H56="",C56=0),"",H56/C56)</f>
        <v/>
      </c>
    </row>
    <row r="57">
      <c r="A57" s="18" t="inlineStr">
        <is>
          <t>Syro-Hittite Terracotta Figure</t>
        </is>
      </c>
      <c r="B57" s="1" t="inlineStr">
        <is>
          <t>Estate Sale</t>
        </is>
      </c>
      <c r="C57" s="19" t="n">
        <v>600</v>
      </c>
      <c r="D57" s="18" t="n"/>
      <c r="E57" s="18" t="inlineStr">
        <is>
          <t>Harlan J. Berk</t>
        </is>
      </c>
      <c r="F57" s="19" t="n"/>
      <c r="G57" s="20" t="n">
        <v>45695</v>
      </c>
      <c r="H57" s="18">
        <f>IF(OR(F57="",C57=""),"",F57-C57)</f>
        <v/>
      </c>
      <c r="I57" s="3">
        <f>IF(OR(H57="",C57=0),"",H57/C57)</f>
        <v/>
      </c>
    </row>
    <row r="58">
      <c r="A58" s="18" t="inlineStr">
        <is>
          <t>A Group of 6 Roman Oil Lamps</t>
        </is>
      </c>
      <c r="B58" s="1" t="inlineStr">
        <is>
          <t>Estate Sale</t>
        </is>
      </c>
      <c r="C58" s="19" t="n">
        <v>600</v>
      </c>
      <c r="D58" s="18" t="n"/>
      <c r="E58" s="18" t="inlineStr">
        <is>
          <t>Harlan J. Berk</t>
        </is>
      </c>
      <c r="F58" s="19" t="n"/>
      <c r="G58" s="20" t="n">
        <v>45695</v>
      </c>
      <c r="H58" s="18">
        <f>IF(OR(F58="",C58=""),"",F58-C58)</f>
        <v/>
      </c>
      <c r="I58" s="3">
        <f>IF(OR(H58="",C58=0),"",H58/C58)</f>
        <v/>
      </c>
    </row>
    <row r="59">
      <c r="A59" s="18" t="inlineStr">
        <is>
          <t>A Cypriot Limestine Head</t>
        </is>
      </c>
      <c r="B59" s="1" t="inlineStr">
        <is>
          <t>Estate Sale</t>
        </is>
      </c>
      <c r="C59" s="19" t="n">
        <v>1000</v>
      </c>
      <c r="D59" s="18" t="n"/>
      <c r="E59" s="18" t="inlineStr">
        <is>
          <t>Harlan J. Berk</t>
        </is>
      </c>
      <c r="F59" s="19" t="n"/>
      <c r="G59" s="20" t="n">
        <v>45695</v>
      </c>
      <c r="H59" s="18">
        <f>IF(OR(F59="",C59=""),"",F59-C59)</f>
        <v/>
      </c>
      <c r="I59" s="3">
        <f>IF(OR(H59="",C59=0),"",H59/C59)</f>
        <v/>
      </c>
    </row>
    <row r="60">
      <c r="A60" s="18" t="inlineStr">
        <is>
          <t>A Roman Marble Torso</t>
        </is>
      </c>
      <c r="B60" s="1" t="inlineStr">
        <is>
          <t>William Pearlstein</t>
        </is>
      </c>
      <c r="C60" s="19" t="n">
        <v>4000</v>
      </c>
      <c r="D60" s="18" t="n"/>
      <c r="E60" s="18" t="inlineStr">
        <is>
          <t>Harlan J. Berk</t>
        </is>
      </c>
      <c r="F60" s="19" t="n"/>
      <c r="G60" s="20" t="n">
        <v>45695</v>
      </c>
      <c r="H60" s="18">
        <f>IF(OR(F60="",C60=""),"",F60-C60)</f>
        <v/>
      </c>
      <c r="I60" s="3">
        <f>IF(OR(H60="",C60=0),"",H60/C60)</f>
        <v/>
      </c>
    </row>
    <row r="61">
      <c r="A61" s="18" t="inlineStr">
        <is>
          <t>Cypriot Bichrome Juglet</t>
        </is>
      </c>
      <c r="B61" s="1" t="inlineStr">
        <is>
          <t>Live Auctioneers</t>
        </is>
      </c>
      <c r="C61" s="19" t="n">
        <v>600</v>
      </c>
      <c r="D61" s="18" t="n"/>
      <c r="E61" s="18" t="inlineStr">
        <is>
          <t>Harlan J. Berk</t>
        </is>
      </c>
      <c r="F61" s="19" t="n"/>
      <c r="G61" s="20" t="n">
        <v>45695</v>
      </c>
      <c r="H61" s="18">
        <f>IF(OR(F61="",C61=""),"",F61-C61)</f>
        <v/>
      </c>
      <c r="I61" s="3">
        <f>IF(OR(H61="",C61=0),"",H61/C61)</f>
        <v/>
      </c>
    </row>
    <row r="62">
      <c r="A62" s="9" t="inlineStr">
        <is>
          <t>An Attic Black-Figured Fragment</t>
        </is>
      </c>
      <c r="B62" s="21" t="inlineStr">
        <is>
          <t>Hindman</t>
        </is>
      </c>
      <c r="C62" s="2" t="n">
        <v>334.44</v>
      </c>
      <c r="D62" s="10" t="n">
        <v>45071</v>
      </c>
      <c r="E62" s="3" t="inlineStr">
        <is>
          <t>Harlan J. Berk</t>
        </is>
      </c>
      <c r="G62" s="20" t="n">
        <v>45695</v>
      </c>
      <c r="H62" s="22">
        <f>IF(OR(F62="",C62=""),"",F62-C62)</f>
        <v/>
      </c>
      <c r="I62" s="22">
        <f>IF(OR(H62="",C62=0),"",H62/C62)</f>
        <v/>
      </c>
    </row>
    <row r="63">
      <c r="A63" s="9" t="inlineStr">
        <is>
          <t>A Luristan Bronze Ibex</t>
        </is>
      </c>
      <c r="B63" s="21" t="inlineStr">
        <is>
          <t>Hindman</t>
        </is>
      </c>
      <c r="C63" s="2" t="n">
        <v>234.44</v>
      </c>
      <c r="D63" s="10" t="n">
        <v>45071</v>
      </c>
      <c r="E63" s="3" t="inlineStr">
        <is>
          <t>Harlan J. Berk</t>
        </is>
      </c>
      <c r="G63" s="20" t="n">
        <v>45695</v>
      </c>
      <c r="H63" s="22">
        <f>IF(OR(F63="",C63=""),"",F63-C63)</f>
        <v/>
      </c>
      <c r="I63" s="22">
        <f>IF(OR(H63="",C63=0),"",H63/C63)</f>
        <v/>
      </c>
    </row>
    <row r="64">
      <c r="A64" s="9" t="inlineStr">
        <is>
          <t>An Egyptian Swivel Ring with Scarab</t>
        </is>
      </c>
      <c r="B64" s="21" t="inlineStr">
        <is>
          <t>Live Auctioneers</t>
        </is>
      </c>
      <c r="C64" s="2" t="n">
        <v>2228.76</v>
      </c>
      <c r="D64" s="10" t="n"/>
      <c r="E64" s="3" t="inlineStr">
        <is>
          <t>Harlan J. Berk</t>
        </is>
      </c>
      <c r="G64" s="20" t="n">
        <v>45695</v>
      </c>
      <c r="H64" s="22">
        <f>IF(OR(F64="",C64=""),"",F64-C64)</f>
        <v/>
      </c>
      <c r="I64" s="22">
        <f>IF(OR(H64="",C64=0),"",H64/C64)</f>
        <v/>
      </c>
    </row>
    <row r="65">
      <c r="A65" s="9" t="inlineStr">
        <is>
          <t>A Canosan Terracotta Horse</t>
        </is>
      </c>
      <c r="B65" s="21" t="inlineStr">
        <is>
          <t>Hindman</t>
        </is>
      </c>
      <c r="C65" s="2" t="n">
        <v>1000</v>
      </c>
      <c r="D65" s="10" t="n"/>
      <c r="E65" s="3" t="inlineStr">
        <is>
          <t>Harlan J. Berk</t>
        </is>
      </c>
      <c r="G65" s="20" t="n">
        <v>45695</v>
      </c>
      <c r="H65" s="22">
        <f>IF(OR(F65="",C65=""),"",F65-C65)</f>
        <v/>
      </c>
      <c r="I65" s="22">
        <f>IF(OR(H65="",C65=0),"",H65/C65)</f>
        <v/>
      </c>
    </row>
    <row r="66">
      <c r="A66" s="9" t="inlineStr">
        <is>
          <t>An Attic Black-Figured Column-Krater</t>
        </is>
      </c>
      <c r="B66" s="1" t="inlineStr">
        <is>
          <t>Antiquarium/Benningson</t>
        </is>
      </c>
      <c r="C66" s="16" t="n">
        <v>4500</v>
      </c>
      <c r="D66" s="10" t="n">
        <v>45275</v>
      </c>
      <c r="E66" s="9" t="inlineStr">
        <is>
          <t>Harlan J. Berk</t>
        </is>
      </c>
      <c r="F66" s="2" t="n"/>
      <c r="G66" s="20" t="n">
        <v>45695</v>
      </c>
      <c r="H66" s="22">
        <f>IF(OR(F66="",C66=""),"",F66-C66)</f>
        <v/>
      </c>
      <c r="I66" s="3">
        <f>IF(OR(H66="",C66=0),"",H66/C66)</f>
        <v/>
      </c>
    </row>
    <row r="67">
      <c r="A67" s="9" t="inlineStr">
        <is>
          <t>Roman Marble Base with Foot</t>
        </is>
      </c>
      <c r="B67" s="1" t="inlineStr">
        <is>
          <t>Arte Primitivo</t>
        </is>
      </c>
      <c r="C67" s="16" t="n">
        <v>500</v>
      </c>
      <c r="D67" s="10" t="n"/>
      <c r="E67" s="9" t="inlineStr">
        <is>
          <t>Harlan J. Berk</t>
        </is>
      </c>
      <c r="F67" s="2" t="n"/>
      <c r="G67" s="20" t="n">
        <v>45695</v>
      </c>
      <c r="H67" s="22">
        <f>IF(OR(F67="",C67=""),"",F67-C67)</f>
        <v/>
      </c>
      <c r="I67" s="3">
        <f>IF(OR(H67="",C67=0),"",H67/C67)</f>
        <v/>
      </c>
    </row>
    <row r="68">
      <c r="A68" s="9" t="inlineStr">
        <is>
          <t>Neolithic Flint Celt</t>
        </is>
      </c>
      <c r="B68" s="1" t="inlineStr">
        <is>
          <t>Arte Primitivo</t>
        </is>
      </c>
      <c r="C68" s="2" t="n">
        <v>195.78</v>
      </c>
      <c r="D68" s="10" t="n">
        <v>44908</v>
      </c>
      <c r="E68" s="9" t="inlineStr">
        <is>
          <t>Harlan J. Berk</t>
        </is>
      </c>
      <c r="F68" s="2" t="n"/>
      <c r="G68" s="20" t="n">
        <v>45695</v>
      </c>
      <c r="H68" s="22">
        <f>IF(OR(F68="",C68=""),"",F68-C68)</f>
        <v/>
      </c>
      <c r="I68" s="3">
        <f>IF(OR(H68="",C68=0),"",H68/C68)</f>
        <v/>
      </c>
    </row>
    <row r="69">
      <c r="A69" s="9" t="inlineStr">
        <is>
          <t>Neolithic Danish Chert Adze</t>
        </is>
      </c>
      <c r="B69" s="1" t="inlineStr">
        <is>
          <t>Live Auctioneers</t>
        </is>
      </c>
      <c r="C69" s="2" t="n">
        <v>311.25</v>
      </c>
      <c r="D69" s="10" t="n">
        <v>44284</v>
      </c>
      <c r="E69" s="9" t="inlineStr">
        <is>
          <t>Harlan J. Berk</t>
        </is>
      </c>
      <c r="F69" s="2" t="n"/>
      <c r="G69" s="20" t="n">
        <v>45695</v>
      </c>
      <c r="H69" s="22">
        <f>IF(OR(F69="",C69=""),"",F69-C69)</f>
        <v/>
      </c>
      <c r="I69" s="3">
        <f>IF(OR(H69="",C69=0),"",H69/C69)</f>
        <v/>
      </c>
    </row>
    <row r="70">
      <c r="A70" s="9" t="inlineStr">
        <is>
          <t>Three Lots from Lithics Sale</t>
        </is>
      </c>
      <c r="B70" s="1" t="inlineStr">
        <is>
          <t>Hindman</t>
        </is>
      </c>
      <c r="C70" s="16" t="n">
        <v>2240.27</v>
      </c>
      <c r="D70" s="10" t="n">
        <v>45356</v>
      </c>
      <c r="E70" s="9" t="inlineStr">
        <is>
          <t>Harlan J. Berk</t>
        </is>
      </c>
      <c r="F70" s="2" t="n"/>
      <c r="G70" s="20" t="n">
        <v>45695</v>
      </c>
      <c r="H70" s="22">
        <f>IF(OR(F70="",C70=""),"",F70-C70)</f>
        <v/>
      </c>
      <c r="I70" s="3">
        <f>IF(OR(H70="",C70=0),"",H70/C70)</f>
        <v/>
      </c>
    </row>
    <row r="71">
      <c r="B71" s="1" t="n"/>
      <c r="C71" s="2">
        <f>SUM(C51:C70)</f>
        <v/>
      </c>
      <c r="D71" s="10" t="n"/>
      <c r="F71" s="23" t="n">
        <v>30000</v>
      </c>
      <c r="G71" s="24" t="n">
        <v>45695</v>
      </c>
      <c r="H71" s="2">
        <f>F71-C71</f>
        <v/>
      </c>
      <c r="I71" s="3" t="n"/>
    </row>
    <row r="72">
      <c r="B72" s="1" t="n"/>
      <c r="C72" s="2" t="n"/>
      <c r="D72" s="10" t="n"/>
      <c r="F72" s="2" t="n"/>
      <c r="G72" s="20" t="n"/>
      <c r="H72" s="2">
        <f>SUM(F72-C72)</f>
        <v/>
      </c>
      <c r="I72" s="3" t="n"/>
    </row>
    <row r="73">
      <c r="A73" s="18" t="inlineStr">
        <is>
          <t>A Collection of Seals</t>
        </is>
      </c>
      <c r="B73" s="1" t="inlineStr">
        <is>
          <t>Erdal Dere</t>
        </is>
      </c>
      <c r="C73" s="25" t="n">
        <v>13000</v>
      </c>
      <c r="D73" s="26" t="n">
        <v>45665</v>
      </c>
      <c r="E73" s="18" t="inlineStr">
        <is>
          <t>Harlan J. Berk</t>
        </is>
      </c>
      <c r="F73" s="25" t="n">
        <v>14000</v>
      </c>
      <c r="G73" s="26" t="n">
        <v>45667</v>
      </c>
      <c r="H73" s="2">
        <f>SUM(F73-C73)</f>
        <v/>
      </c>
      <c r="I73" s="3" t="n"/>
    </row>
    <row r="74">
      <c r="A74" s="18" t="inlineStr">
        <is>
          <t>Three Ancient Mosaics</t>
        </is>
      </c>
      <c r="B74" s="1" t="inlineStr">
        <is>
          <t>Jamal Rifai and Antiquarium</t>
        </is>
      </c>
      <c r="C74" s="25" t="n">
        <v>90000</v>
      </c>
      <c r="D74" s="20" t="n">
        <v>45709</v>
      </c>
      <c r="E74" s="18" t="inlineStr">
        <is>
          <t>Jonathan Yantis</t>
        </is>
      </c>
      <c r="F74" s="25" t="n">
        <v>105000</v>
      </c>
      <c r="G74" s="20" t="n">
        <v>45709</v>
      </c>
      <c r="H74" s="2">
        <f>SUM(F74-C74)</f>
        <v/>
      </c>
      <c r="I74" s="3" t="n"/>
    </row>
    <row r="75">
      <c r="A75" s="18" t="inlineStr">
        <is>
          <t>Canosan Terracotta Horse</t>
        </is>
      </c>
      <c r="B75" s="1" t="inlineStr">
        <is>
          <t>Hindman</t>
        </is>
      </c>
      <c r="C75" s="19" t="n">
        <v>900</v>
      </c>
      <c r="D75" s="20" t="n"/>
      <c r="E75" s="18" t="inlineStr">
        <is>
          <t>Erdal Dere</t>
        </is>
      </c>
      <c r="F75" s="19" t="n">
        <v>1000</v>
      </c>
      <c r="G75" s="20" t="n"/>
      <c r="H75" s="2">
        <f>SUM(F75-C75)</f>
        <v/>
      </c>
      <c r="I75" s="3" t="n"/>
    </row>
    <row r="76">
      <c r="A76" s="18" t="inlineStr">
        <is>
          <t>Sale 6428 Contract 303468 (object TBD)</t>
        </is>
      </c>
      <c r="B76" s="1" t="inlineStr">
        <is>
          <t>Cost TBD</t>
        </is>
      </c>
      <c r="C76" s="27" t="n"/>
      <c r="D76" s="20" t="n"/>
      <c r="E76" s="18" t="inlineStr">
        <is>
          <t>Freeman's LLC — check to Megan (joint 0203)</t>
        </is>
      </c>
      <c r="F76" s="28" t="n">
        <v>11000</v>
      </c>
      <c r="G76" s="20" t="inlineStr">
        <is>
          <t>2025-12-24</t>
        </is>
      </c>
      <c r="H76" s="2">
        <f>IF(C76="","",F76-C76)</f>
        <v/>
      </c>
      <c r="I76" s="3" t="n"/>
    </row>
    <row r="77">
      <c r="A77" s="29" t="inlineStr">
        <is>
          <t>Books (titles TBD)</t>
        </is>
      </c>
      <c r="B77" s="30" t="inlineStr">
        <is>
          <t>Cost TBD</t>
        </is>
      </c>
      <c r="C77" s="31" t="n"/>
      <c r="E77" s="29" t="inlineStr">
        <is>
          <t>Aquinas Hobor</t>
        </is>
      </c>
      <c r="F77" s="32" t="n">
        <v>1000</v>
      </c>
      <c r="G77" s="33" t="n">
        <v>45692</v>
      </c>
      <c r="H77" s="34">
        <f>IF(OR(F77="",C77=""),"",F77-C77)</f>
        <v/>
      </c>
      <c r="I77" s="35" t="inlineStr">
        <is>
          <t>LOCKED 2026-09-20: book SALE $1,000 on Mercury 8291. Cost TBD — not in Income I8 yet (same as Sale 6428). Titles TBD. Not tax advice.</t>
        </is>
      </c>
    </row>
    <row r="78">
      <c r="A78" s="34" t="inlineStr">
        <is>
          <t>Total</t>
        </is>
      </c>
      <c r="H78" s="36">
        <f>SUM(H51:H75)</f>
        <v/>
      </c>
    </row>
    <row r="79">
      <c r="A79" s="37" t="inlineStr">
        <is>
          <t>Mercury 8291 MATCHED: Berk $14,000 (1/10 seals) + $30,000 (2/7 lots). EOEB $105,000 (2/21 mosaics). Fortuna $13,000 (1/8 seals Cost). Plutus $50,000 of mosaics $90,000 Cost — $40,000 of Cost not on 8291 (ASK). Newstar $23,581 is jewelry fabrication COGS, parked below — not in sold-lot Cost (Berk gem/scarab lots already sold in February). David Aaron $13,595 (6/24) is LOCKED consultant fee — not a sale (EPGC Consultant June). Aquinas Hobor $1,000 (2/4) is LOCKED book sale — EPGC Art Sales February; Cost TBD (not in I8). Not tax advice.</t>
        </is>
      </c>
    </row>
    <row r="80">
      <c r="A80" s="38" t="inlineStr">
        <is>
          <t>Art Purchases/Inventory</t>
        </is>
      </c>
      <c r="B80" s="39" t="n"/>
      <c r="C80" s="40" t="n"/>
      <c r="D80" s="41" t="n"/>
      <c r="E80" s="42" t="n"/>
      <c r="F80" s="40" t="n"/>
      <c r="G80" s="41" t="n"/>
      <c r="H80" s="42" t="n"/>
      <c r="I80" s="43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>
      <c r="A81" s="9" t="inlineStr">
        <is>
          <t>30 Paleothic and Neolithic Stone Tools</t>
        </is>
      </c>
      <c r="B81" s="21" t="inlineStr">
        <is>
          <t>Holestein</t>
        </is>
      </c>
      <c r="C81" s="2" t="n">
        <v>4000</v>
      </c>
      <c r="E81" s="3" t="n"/>
    </row>
    <row r="82">
      <c r="A82" s="9" t="inlineStr">
        <is>
          <t>A Tairona Figure</t>
        </is>
      </c>
      <c r="B82" s="21" t="inlineStr">
        <is>
          <t>Live Auctioneers</t>
        </is>
      </c>
      <c r="C82" s="2" t="n">
        <v>250</v>
      </c>
      <c r="D82" s="10" t="n">
        <v>45119</v>
      </c>
      <c r="E82" s="3" t="n"/>
    </row>
    <row r="83">
      <c r="A83" s="9" t="inlineStr">
        <is>
          <t>A Tairona Figure</t>
        </is>
      </c>
      <c r="B83" s="21" t="inlineStr">
        <is>
          <t>Live Auctioneers</t>
        </is>
      </c>
      <c r="C83" s="2" t="n">
        <v>300</v>
      </c>
      <c r="D83" s="10" t="n">
        <v>45119</v>
      </c>
      <c r="E83" s="3" t="n"/>
    </row>
    <row r="84">
      <c r="A84" s="9" t="inlineStr">
        <is>
          <t>A Pair of Greek Bronze Greeves</t>
        </is>
      </c>
      <c r="B84" s="21" t="inlineStr">
        <is>
          <t>ebay</t>
        </is>
      </c>
      <c r="C84" s="2" t="n">
        <v>200</v>
      </c>
      <c r="D84" s="10" t="n">
        <v>45145</v>
      </c>
      <c r="E84" s="3" t="n"/>
    </row>
    <row r="85">
      <c r="A85" s="9" t="inlineStr">
        <is>
          <t>An Illyrian Bronze Helmet</t>
        </is>
      </c>
      <c r="B85" s="21" t="inlineStr">
        <is>
          <t>ebay</t>
        </is>
      </c>
      <c r="C85" s="2" t="n">
        <v>551.25</v>
      </c>
      <c r="D85" s="10" t="n">
        <v>45114</v>
      </c>
      <c r="E85" s="3" t="n"/>
    </row>
    <row r="86">
      <c r="A86" s="9" t="inlineStr">
        <is>
          <t>An Egyptian Faience Ibis</t>
        </is>
      </c>
      <c r="B86" s="1" t="inlineStr">
        <is>
          <t>Hindman</t>
        </is>
      </c>
      <c r="C86" s="2" t="n">
        <v>375</v>
      </c>
      <c r="D86" s="10" t="n">
        <v>44343</v>
      </c>
      <c r="E86" s="10" t="n"/>
      <c r="F86" s="2" t="n"/>
      <c r="I86" s="3" t="n"/>
    </row>
    <row r="87">
      <c r="A87" s="9" t="inlineStr">
        <is>
          <t>African Stone Bracelet Upper Volta River 1 0f 4</t>
        </is>
      </c>
      <c r="B87" s="1" t="inlineStr">
        <is>
          <t>Live Auctioneers</t>
        </is>
      </c>
      <c r="C87" s="2" t="n">
        <v>293</v>
      </c>
      <c r="D87" s="10" t="n">
        <v>44548</v>
      </c>
      <c r="F87" s="2" t="n"/>
      <c r="I87" s="3" t="n"/>
    </row>
    <row r="88">
      <c r="A88" s="9" t="inlineStr">
        <is>
          <t>African Stone Bracelet Upper Volta River 2 0f 4</t>
        </is>
      </c>
      <c r="B88" s="1" t="inlineStr">
        <is>
          <t>Live Auctioneers</t>
        </is>
      </c>
      <c r="C88" s="2" t="n">
        <v>293</v>
      </c>
      <c r="D88" s="10" t="n">
        <v>44548</v>
      </c>
      <c r="F88" s="2" t="n"/>
      <c r="I88" s="3" t="n"/>
    </row>
    <row r="89">
      <c r="A89" s="9" t="inlineStr">
        <is>
          <t>African Stone Bracelet Upper Volta River 4 0f 4</t>
        </is>
      </c>
      <c r="B89" s="1" t="inlineStr">
        <is>
          <t>Live Auctioneers</t>
        </is>
      </c>
      <c r="C89" s="2" t="n">
        <v>293</v>
      </c>
      <c r="D89" s="10" t="n">
        <v>44548</v>
      </c>
      <c r="F89" s="2" t="n"/>
      <c r="I89" s="3" t="n"/>
    </row>
    <row r="90">
      <c r="A90" s="9" t="inlineStr">
        <is>
          <t>A Saharan Stone Discoidal</t>
        </is>
      </c>
      <c r="B90" s="1" t="inlineStr">
        <is>
          <t>Pace African Art</t>
        </is>
      </c>
      <c r="C90" s="2" t="n">
        <v>1000</v>
      </c>
      <c r="D90" s="10" t="n">
        <v>44562</v>
      </c>
      <c r="F90" s="2" t="n"/>
      <c r="I90" s="3" t="n"/>
    </row>
    <row r="91">
      <c r="A91" s="9" t="inlineStr">
        <is>
          <t>Carved Ostrish Egg</t>
        </is>
      </c>
      <c r="B91" s="1" t="inlineStr">
        <is>
          <t xml:space="preserve">Etsy </t>
        </is>
      </c>
      <c r="C91" s="2" t="n">
        <v>90</v>
      </c>
      <c r="F91" s="2" t="n"/>
      <c r="I91" s="3" t="n"/>
    </row>
    <row r="92">
      <c r="A92" s="9" t="inlineStr">
        <is>
          <t>Carved Goose Egg</t>
        </is>
      </c>
      <c r="B92" s="1" t="inlineStr">
        <is>
          <t>Etsy</t>
        </is>
      </c>
      <c r="C92" s="2" t="n">
        <v>30</v>
      </c>
      <c r="F92" s="2" t="n"/>
      <c r="I92" s="3" t="n"/>
    </row>
    <row r="93">
      <c r="A93" s="9" t="inlineStr">
        <is>
          <t>Carved Goose Egg</t>
        </is>
      </c>
      <c r="B93" s="1" t="inlineStr">
        <is>
          <t>Etsy</t>
        </is>
      </c>
      <c r="C93" s="2" t="n">
        <v>35</v>
      </c>
      <c r="F93" s="2" t="n"/>
      <c r="I93" s="3" t="n"/>
    </row>
    <row r="94">
      <c r="A94" s="9" t="inlineStr">
        <is>
          <t>Quimbaya Figure (Gift)</t>
        </is>
      </c>
      <c r="B94" s="1" t="inlineStr">
        <is>
          <t>Jeffrey Norris</t>
        </is>
      </c>
      <c r="C94" s="2" t="n">
        <v>10</v>
      </c>
      <c r="D94" s="10" t="n">
        <v>45079</v>
      </c>
      <c r="I94" s="3" t="n"/>
    </row>
    <row r="95">
      <c r="A95" s="9" t="inlineStr">
        <is>
          <t>A Saharan Stone Discoidal (Gift)</t>
        </is>
      </c>
      <c r="B95" s="1" t="inlineStr">
        <is>
          <t>Aquinas Hobor</t>
        </is>
      </c>
      <c r="C95" s="2" t="n">
        <v>10</v>
      </c>
      <c r="D95" s="10" t="n">
        <v>45079</v>
      </c>
      <c r="I95" s="3" t="n"/>
    </row>
    <row r="96">
      <c r="A96" s="9" t="inlineStr">
        <is>
          <t>A Saharan Stone Discoidal</t>
        </is>
      </c>
      <c r="B96" s="1" t="inlineStr">
        <is>
          <t>Aquinas Hobor</t>
        </is>
      </c>
      <c r="C96" s="16" t="n">
        <v>500</v>
      </c>
      <c r="D96" s="10" t="n">
        <v>45079</v>
      </c>
      <c r="F96" s="2" t="n"/>
      <c r="I96" s="3" t="n"/>
    </row>
    <row r="97">
      <c r="A97" s="9" t="inlineStr">
        <is>
          <t>Two Songye and Bozo Vessels</t>
        </is>
      </c>
      <c r="B97" s="1" t="inlineStr">
        <is>
          <t>Hindman</t>
        </is>
      </c>
      <c r="C97" s="16" t="n">
        <v>138.91</v>
      </c>
      <c r="D97" s="10" t="n">
        <v>45211</v>
      </c>
      <c r="F97" s="2" t="n"/>
      <c r="I97" s="3" t="n"/>
    </row>
    <row r="98">
      <c r="A98" s="9" t="inlineStr">
        <is>
          <t xml:space="preserve">Sword 9th Century </t>
        </is>
      </c>
      <c r="B98" s="1" t="inlineStr">
        <is>
          <t>Zevantiques</t>
        </is>
      </c>
      <c r="C98" s="16" t="n">
        <v>3000</v>
      </c>
      <c r="D98" s="10" t="n">
        <v>45311</v>
      </c>
      <c r="F98" s="2" t="n"/>
      <c r="I98" s="3" t="n"/>
    </row>
    <row r="99">
      <c r="A99" s="9" t="inlineStr">
        <is>
          <t>A Roman Marble Plaque with Insciption</t>
        </is>
      </c>
      <c r="B99" s="1" t="inlineStr">
        <is>
          <t>ebay</t>
        </is>
      </c>
      <c r="C99" s="16" t="n">
        <v>1331.41</v>
      </c>
      <c r="D99" s="10" t="n">
        <v>45546</v>
      </c>
      <c r="F99" s="2" t="n"/>
      <c r="I99" s="3" t="n"/>
    </row>
    <row r="100">
      <c r="A100" s="9" t="inlineStr">
        <is>
          <t>Erotic Intaglio Finger Ring</t>
        </is>
      </c>
      <c r="B100" s="1" t="inlineStr">
        <is>
          <t>ebay</t>
        </is>
      </c>
      <c r="C100" s="16" t="n">
        <v>205.07</v>
      </c>
      <c r="D100" s="10" t="n">
        <v>45446</v>
      </c>
      <c r="F100" s="2" t="n"/>
      <c r="I100" s="3" t="n"/>
    </row>
    <row r="101">
      <c r="B101" s="1" t="n"/>
      <c r="C101" s="16" t="n"/>
      <c r="D101" s="10" t="n"/>
      <c r="F101" s="2" t="n"/>
      <c r="I101" s="3" t="n"/>
    </row>
    <row r="102">
      <c r="A102" s="12" t="inlineStr">
        <is>
          <t>Total</t>
        </is>
      </c>
      <c r="B102" s="1" t="n"/>
      <c r="C102" s="13" t="n"/>
      <c r="F102" s="2" t="n"/>
      <c r="I102" s="3" t="n"/>
    </row>
    <row r="103">
      <c r="B103" s="1" t="n"/>
      <c r="C103" s="2" t="n"/>
      <c r="F103" s="2" t="n"/>
      <c r="I103" s="3" t="n"/>
    </row>
    <row r="104">
      <c r="A104" s="38" t="inlineStr">
        <is>
          <t>Office/Business Inventory</t>
        </is>
      </c>
      <c r="B104" s="39" t="n"/>
      <c r="C104" s="40" t="n"/>
      <c r="D104" s="42" t="n"/>
      <c r="E104" s="42" t="n"/>
      <c r="F104" s="40" t="n"/>
      <c r="G104" s="42" t="n"/>
      <c r="H104" s="42" t="n"/>
      <c r="I104" s="43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>
      <c r="A105" s="9" t="inlineStr">
        <is>
          <t>Sofa</t>
        </is>
      </c>
      <c r="B105" s="1" t="n"/>
      <c r="C105" s="2" t="n"/>
      <c r="F105" s="2" t="n"/>
      <c r="I105" s="3" t="n"/>
    </row>
    <row r="106">
      <c r="A106" s="9" t="inlineStr">
        <is>
          <t>Space Heater</t>
        </is>
      </c>
      <c r="B106" s="1" t="n"/>
      <c r="C106" s="2" t="n"/>
      <c r="F106" s="2" t="n"/>
      <c r="I106" s="3" t="n"/>
    </row>
    <row r="107">
      <c r="A107" s="9" t="inlineStr">
        <is>
          <t>Shelving</t>
        </is>
      </c>
      <c r="B107" s="1" t="n"/>
      <c r="C107" s="2" t="n"/>
      <c r="F107" s="2" t="n"/>
      <c r="I107" s="3" t="n"/>
    </row>
    <row r="108">
      <c r="A108" s="9" t="inlineStr">
        <is>
          <t>Storage Bins</t>
        </is>
      </c>
      <c r="B108" s="1" t="n"/>
      <c r="C108" s="2" t="n"/>
      <c r="F108" s="2" t="n"/>
      <c r="I108" s="3" t="n"/>
    </row>
    <row r="109">
      <c r="A109" s="9" t="inlineStr">
        <is>
          <t>Table</t>
        </is>
      </c>
      <c r="B109" s="1" t="n"/>
      <c r="C109" s="2" t="n"/>
      <c r="F109" s="2" t="n"/>
      <c r="I109" s="3" t="n"/>
    </row>
    <row r="110">
      <c r="A110" s="9" t="inlineStr">
        <is>
          <t>Computer</t>
        </is>
      </c>
      <c r="B110" s="1" t="n"/>
      <c r="C110" s="2" t="n"/>
      <c r="F110" s="2" t="n"/>
      <c r="I110" s="3" t="n"/>
    </row>
    <row r="111">
      <c r="A111" s="9" t="inlineStr">
        <is>
          <t>Art Library</t>
        </is>
      </c>
      <c r="B111" s="1" t="n"/>
      <c r="C111" s="2" t="n"/>
      <c r="F111" s="2" t="n"/>
      <c r="I111" s="3" t="n"/>
    </row>
    <row r="112">
      <c r="A112" s="9" t="inlineStr">
        <is>
          <t>Standing Desk</t>
        </is>
      </c>
      <c r="B112" s="1" t="n"/>
      <c r="C112" s="2" t="n"/>
      <c r="F112" s="2" t="n"/>
      <c r="I112" s="3" t="n"/>
    </row>
    <row r="113">
      <c r="B113" s="1" t="n"/>
      <c r="C113" s="2" t="n"/>
      <c r="F113" s="2" t="n"/>
      <c r="I113" s="3" t="n"/>
    </row>
    <row r="114">
      <c r="A114" s="44" t="inlineStr">
        <is>
          <t>2025 CC inventory (not in Cost total until object is named)</t>
        </is>
      </c>
      <c r="B114" s="1" t="n"/>
      <c r="C114" s="2" t="n"/>
      <c r="F114" s="2" t="n"/>
      <c r="I114" s="3" t="n"/>
    </row>
    <row r="115">
      <c r="A115" s="22" t="inlineStr">
        <is>
          <t>Los Angeles Modern Auctions (inventory purchase)</t>
        </is>
      </c>
      <c r="B115" s="22" t="inlineStr">
        <is>
          <t>Sapphire 5423</t>
        </is>
      </c>
      <c r="C115" s="45" t="n">
        <v>6821.06</v>
      </c>
      <c r="D115" s="22" t="inlineStr">
        <is>
          <t>2025-07-24</t>
        </is>
      </c>
    </row>
    <row r="116">
      <c r="A116" s="22" t="inlineStr">
        <is>
          <t>Hindman LLC (inventory purchase)</t>
        </is>
      </c>
      <c r="B116" s="22" t="inlineStr">
        <is>
          <t>Sapphire 5423</t>
        </is>
      </c>
      <c r="C116" s="45" t="n">
        <v>282.24</v>
      </c>
      <c r="D116" s="22" t="inlineStr">
        <is>
          <t>2025-04-03</t>
        </is>
      </c>
    </row>
    <row r="117">
      <c r="A117" s="22" t="inlineStr">
        <is>
          <t>Hindman LLC (inventory purchase)</t>
        </is>
      </c>
      <c r="B117" s="22" t="inlineStr">
        <is>
          <t>Sapphire 5423</t>
        </is>
      </c>
      <c r="C117" s="45" t="n">
        <v>403.51</v>
      </c>
      <c r="D117" s="22" t="inlineStr">
        <is>
          <t>2025-07-29</t>
        </is>
      </c>
    </row>
    <row r="118">
      <c r="A118" s="22" t="inlineStr">
        <is>
          <t>The Great Frame Up (inventory framing)</t>
        </is>
      </c>
      <c r="B118" s="22" t="inlineStr">
        <is>
          <t>Sapphire 5423</t>
        </is>
      </c>
      <c r="C118" s="45" t="n">
        <v>536.41</v>
      </c>
      <c r="D118" s="22" t="inlineStr">
        <is>
          <t>2025-02-16</t>
        </is>
      </c>
    </row>
    <row r="119"/>
    <row r="120">
      <c r="A120" s="46" t="inlineStr">
        <is>
          <t>2025 Mercury 8291 — David Aaron Limited is LOCKED consultant fee (not Art Sales)</t>
        </is>
      </c>
    </row>
    <row r="121">
      <c r="A121" s="29" t="inlineStr">
        <is>
          <t>NOT a 2025 art sale — David Aaron Limited consultant fee (EPGC Consultant June)</t>
        </is>
      </c>
      <c r="B121" s="29" t="inlineStr">
        <is>
          <t>David Aaron Limited</t>
        </is>
      </c>
      <c r="C121" s="29" t="n"/>
      <c r="D121" s="29" t="n"/>
      <c r="E121" s="29" t="n"/>
      <c r="F121" s="32" t="n"/>
      <c r="G121" s="47" t="n"/>
      <c r="H121" s="47" t="n"/>
      <c r="I121" s="29" t="inlineStr">
        <is>
          <t>LOCKED 2026-09-20: consultant fee, not a sale. $13,595 is on EPGC Consultant June. Not tax advice.</t>
        </is>
      </c>
    </row>
    <row r="122"/>
    <row r="123">
      <c r="A123" s="46" t="inlineStr">
        <is>
          <t>2025 Mercury COGS — Newstar Jewelers (LOCKED jewelry fabrication)</t>
        </is>
      </c>
    </row>
    <row r="124">
      <c r="A124" s="48" t="inlineStr">
        <is>
          <t>Newstar Jewelers — jewelry from intaglios / engraved gems / scarabs</t>
        </is>
      </c>
      <c r="B124" s="48" t="inlineStr">
        <is>
          <t>Mercury 8291</t>
        </is>
      </c>
      <c r="C124" s="49" t="n">
        <v>8000</v>
      </c>
      <c r="D124" s="48" t="inlineStr">
        <is>
          <t>2025-10-14</t>
        </is>
      </c>
      <c r="I124" s="22" t="inlineStr">
        <is>
          <t>LOCKED COGS fabrication. Not in sold-lot Cost total (Feb Berk lots already sold). Identify which gems/intaglios/scarabs.</t>
        </is>
      </c>
    </row>
    <row r="125">
      <c r="A125" s="48" t="inlineStr">
        <is>
          <t>Newstar Jewelers — jewelry from intaglios / engraved gems / scarabs</t>
        </is>
      </c>
      <c r="B125" s="48" t="inlineStr">
        <is>
          <t>Mercury 8291</t>
        </is>
      </c>
      <c r="C125" s="49" t="n">
        <v>8000</v>
      </c>
      <c r="D125" s="48" t="inlineStr">
        <is>
          <t>2025-11-12</t>
        </is>
      </c>
      <c r="I125" s="22" t="inlineStr">
        <is>
          <t>LOCKED COGS fabrication. Not in sold-lot Cost total (Feb Berk lots already sold). Identify which gems/intaglios/scarabs.</t>
        </is>
      </c>
    </row>
    <row r="126">
      <c r="A126" s="48" t="inlineStr">
        <is>
          <t>Newstar Jewelers — jewelry from intaglios / engraved gems / scarabs (3 of 3)</t>
        </is>
      </c>
      <c r="B126" s="48" t="inlineStr">
        <is>
          <t>Mercury 8291</t>
        </is>
      </c>
      <c r="C126" s="49" t="n">
        <v>7581</v>
      </c>
      <c r="D126" s="48" t="inlineStr">
        <is>
          <t>2025-12-24</t>
        </is>
      </c>
      <c r="I126" s="22" t="inlineStr">
        <is>
          <t>LOCKED COGS fabrication. Not in sold-lot Cost total (Feb Berk lots already sold). Identify which gems/intaglios/scarabs.</t>
        </is>
      </c>
    </row>
    <row r="127">
      <c r="A127" s="22" t="inlineStr">
        <is>
          <t>Newstar 2025 total</t>
        </is>
      </c>
      <c r="C127" s="49">
        <f>SUM(C123:C125)</f>
        <v/>
      </c>
    </row>
    <row r="128"/>
    <row r="129">
      <c r="A129" s="46" t="inlineStr">
        <is>
          <t>2025 Mercury Fortuna inventory — Venus + Roman Gold Belt LOCKED; Aug $20k unnamed ASK</t>
        </is>
      </c>
    </row>
    <row r="130">
      <c r="A130" s="29" t="inlineStr">
        <is>
          <t>Bronze head of a goddess, likely Venus — Fortuna inventory</t>
        </is>
      </c>
      <c r="B130" s="29" t="inlineStr">
        <is>
          <t>Mercury 8291</t>
        </is>
      </c>
      <c r="C130" s="49" t="n">
        <v>20000</v>
      </c>
      <c r="D130" s="48" t="inlineStr">
        <is>
          <t>2025-05-09</t>
        </is>
      </c>
      <c r="I130" s="50" t="inlineStr">
        <is>
          <t>LOCKED 2026-09-20 from Mercury native CSV note. Parked Cost. Not sold 2025 — not in sold-lot Cost. Not tax advice.</t>
        </is>
      </c>
    </row>
    <row r="131">
      <c r="A131" s="29" t="inlineStr">
        <is>
          <t>Roman Gold Belt — Fortuna inventory</t>
        </is>
      </c>
      <c r="B131" s="29" t="inlineStr">
        <is>
          <t>Mercury 8291</t>
        </is>
      </c>
      <c r="C131" s="49" t="n">
        <v>45000</v>
      </c>
      <c r="D131" s="48" t="inlineStr">
        <is>
          <t>2025-07-21</t>
        </is>
      </c>
      <c r="I131" s="50" t="inlineStr">
        <is>
          <t>LOCKED 2026-09-20 from Mercury native CSV note. Parked Cost. Not sold 2025 — not in sold-lot Cost. Not tax advice.</t>
        </is>
      </c>
    </row>
    <row r="132">
      <c r="A132" s="30" t="inlineStr">
        <is>
          <t>Fortuna / Erdal Dere — object still unnamed (native 8/18 = Monarch 8/15)</t>
        </is>
      </c>
      <c r="B132" s="30" t="inlineStr">
        <is>
          <t>Mercury 8291</t>
        </is>
      </c>
      <c r="C132" s="45" t="n">
        <v>20000</v>
      </c>
      <c r="D132" s="31" t="inlineStr">
        <is>
          <t>2025-08-15</t>
        </is>
      </c>
      <c r="I132" s="35" t="inlineStr">
        <is>
          <t>ASK: same $20,000 as Mercury native 2025-08-18. No object name. Do not add to sold Cost. Not a second unique txn.</t>
        </is>
      </c>
    </row>
    <row r="133">
      <c r="A133" s="22" t="inlineStr">
        <is>
          <t>Fortuna unnamed remaining 2025 (excl. seals $13,000 + Venus $20,000 + Belt $45,000)</t>
        </is>
      </c>
      <c r="C133" s="45" t="n">
        <v>20000</v>
      </c>
    </row>
    <row r="13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2026-09-20T15:48:36Z</dcterms:created>
  <dcterms:modified xsi:type="dcterms:W3CDTF">2026-09-20T15:48:37Z</dcterms:modified>
</cp:coreProperties>
</file>