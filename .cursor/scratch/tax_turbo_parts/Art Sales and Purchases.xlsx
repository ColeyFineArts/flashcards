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  <color rgb="001F4E7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0" borderId="0" pivotButton="0" quotePrefix="0" xfId="0"/>
    <xf numFmtId="2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1" t="inlineStr">
        <is>
          <t>Sales 2025 — COGS = Cost column; Net Income = Sale Price − Cost</t>
        </is>
      </c>
    </row>
    <row r="2">
      <c r="A2" s="2" t="inlineStr">
        <is>
          <t>Object</t>
        </is>
      </c>
      <c r="B2" s="2" t="inlineStr">
        <is>
          <t>From</t>
        </is>
      </c>
      <c r="C2" s="2" t="inlineStr">
        <is>
          <t>Cost (COGS)</t>
        </is>
      </c>
      <c r="D2" s="2" t="inlineStr">
        <is>
          <t>Purchase Date</t>
        </is>
      </c>
      <c r="E2" s="2" t="inlineStr">
        <is>
          <t>To</t>
        </is>
      </c>
      <c r="F2" s="2" t="inlineStr">
        <is>
          <t>Sale Price</t>
        </is>
      </c>
      <c r="G2" s="2" t="inlineStr">
        <is>
          <t>Sale Date</t>
        </is>
      </c>
      <c r="H2" s="2" t="inlineStr">
        <is>
          <t>Net Income</t>
        </is>
      </c>
      <c r="I2" s="2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5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5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5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5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5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5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5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5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5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5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5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5" t="n">
        <v>45071</v>
      </c>
      <c r="E14" t="inlineStr">
        <is>
          <t>Harlan J. Berk</t>
        </is>
      </c>
      <c r="F14" s="4" t="n"/>
      <c r="G14" s="5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5" t="n">
        <v>45071</v>
      </c>
      <c r="E15" t="inlineStr">
        <is>
          <t>Harlan J. Berk</t>
        </is>
      </c>
      <c r="F15" s="4" t="n"/>
      <c r="G15" s="5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5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5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5" t="n">
        <v>45275</v>
      </c>
      <c r="E18" t="inlineStr">
        <is>
          <t>Harlan J. Berk</t>
        </is>
      </c>
      <c r="F18" s="4" t="n"/>
      <c r="G18" s="5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5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5" t="n">
        <v>44908</v>
      </c>
      <c r="E20" t="inlineStr">
        <is>
          <t>Harlan J. Berk</t>
        </is>
      </c>
      <c r="F20" s="4" t="n"/>
      <c r="G20" s="5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5" t="n">
        <v>44284</v>
      </c>
      <c r="E21" t="inlineStr">
        <is>
          <t>Harlan J. Berk</t>
        </is>
      </c>
      <c r="F21" s="4" t="n"/>
      <c r="G21" s="5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5" t="n">
        <v>45356</v>
      </c>
      <c r="E22" t="inlineStr">
        <is>
          <t>Harlan J. Berk</t>
        </is>
      </c>
      <c r="F22" s="4" t="n"/>
      <c r="G22" s="5" t="n">
        <v>45695</v>
      </c>
      <c r="H22">
        <f>IF(OR(F22="",C22=""),"",F22-C22)</f>
        <v/>
      </c>
      <c r="I22">
        <f>IF(OR(H22="",C22=0),"",H22/C22)</f>
        <v/>
      </c>
    </row>
    <row r="23">
      <c r="C23" s="3">
        <f>SUM(C51:C70)</f>
        <v/>
      </c>
      <c r="F23" t="n">
        <v>30000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5"/>
    <row r="26">
      <c r="A26" s="4" t="inlineStr">
        <is>
          <t>Yellow Sale Price = still need buyer invoices. Green Cost = COGS already entered.</t>
        </is>
      </c>
    </row>
    <row r="27"/>
    <row r="28">
      <c r="A28" s="4" t="inlineStr">
        <is>
          <t>2025 CC inventory (CONFIRMED category — NOT in Cost total until object is identified)</t>
        </is>
      </c>
    </row>
    <row r="29">
      <c r="A29" t="inlineStr">
        <is>
          <t>Los Angeles Modern Auctions (inventory purchase)</t>
        </is>
      </c>
      <c r="B29" t="inlineStr">
        <is>
          <t>Sapphire 5423</t>
        </is>
      </c>
      <c r="C29" s="6" t="n">
        <v>6821.06</v>
      </c>
      <c r="D29" t="inlineStr">
        <is>
          <t>2025-07-24</t>
        </is>
      </c>
    </row>
    <row r="30">
      <c r="A30" t="inlineStr">
        <is>
          <t>Hindman LLC (inventory purchase)</t>
        </is>
      </c>
      <c r="B30" t="inlineStr">
        <is>
          <t>Sapphire 5423</t>
        </is>
      </c>
      <c r="C30" s="6" t="n">
        <v>282.24</v>
      </c>
      <c r="D30" t="inlineStr">
        <is>
          <t>2025-04-03</t>
        </is>
      </c>
    </row>
    <row r="31">
      <c r="A31" t="inlineStr">
        <is>
          <t>Hindman LLC (inventory purchase)</t>
        </is>
      </c>
      <c r="B31" t="inlineStr">
        <is>
          <t>Sapphire 5423</t>
        </is>
      </c>
      <c r="C31" s="6" t="n">
        <v>403.51</v>
      </c>
      <c r="D31" t="inlineStr">
        <is>
          <t>2025-07-29</t>
        </is>
      </c>
    </row>
    <row r="32">
      <c r="A32" s="4" t="inlineStr">
        <is>
          <t>The Great Frame Up (inventory framing)</t>
        </is>
      </c>
      <c r="B32" t="inlineStr">
        <is>
          <t>Sapphire 5423</t>
        </is>
      </c>
      <c r="C32" s="6" t="n">
        <v>536.41</v>
      </c>
      <c r="D32" t="inlineStr">
        <is>
          <t>2025-02-16</t>
        </is>
      </c>
    </row>
    <row r="33">
      <c r="A33" s="4" t="inlineStr">
        <is>
          <t>User 2026-09-18: these are inventory, not EPGC operating expense. Do not add into Cost (COGS) total until the object is named — avoid double count vs Mercury.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2026-09-18T18:24:58Z</dcterms:created>
  <dcterms:modified xsi:type="dcterms:W3CDTF">2026-09-18T18:24:58Z</dcterms:modified>
</cp:coreProperties>
</file>