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10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pivotButton="0" quotePrefix="0" xfId="0"/>
    <xf numFmtId="164" fontId="8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11" fillId="6" borderId="0" pivotButton="0" quotePrefix="0" xfId="0"/>
    <xf numFmtId="0" fontId="10" fillId="6" borderId="0" pivotButton="0" quotePrefix="0" xfId="0"/>
    <xf numFmtId="167" fontId="8" fillId="5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8" fillId="0" borderId="0" pivotButton="0" quotePrefix="0" xfId="0"/>
    <xf numFmtId="0" fontId="14" fillId="7" borderId="0" pivotButton="0" quotePrefix="0" xfId="0"/>
    <xf numFmtId="164" fontId="8" fillId="8" borderId="0" pivotButton="0" quotePrefix="0" xfId="0"/>
    <xf numFmtId="164" fontId="8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136000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10" t="n">
        <v>0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9" t="n">
        <v>334.17</v>
      </c>
      <c r="I69" s="10" t="n">
        <v>0</v>
      </c>
      <c r="J69" s="10" t="n">
        <v>0</v>
      </c>
      <c r="K69" s="9" t="n">
        <v>658.63</v>
      </c>
      <c r="L69" s="10" t="n">
        <v>0</v>
      </c>
      <c r="M69" s="10" t="n">
        <v>0</v>
      </c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still ASK — not on Consultant income.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18" t="inlineStr">
        <is>
          <t>Total</t>
        </is>
      </c>
      <c r="B77" s="15" t="n"/>
      <c r="C77" s="29" t="n"/>
      <c r="D77" s="28" t="n"/>
      <c r="E77" s="28" t="n"/>
      <c r="F77" s="29" t="n"/>
      <c r="G77" s="28" t="n"/>
      <c r="H77" s="29">
        <f>SUM(H51:H75)</f>
        <v/>
      </c>
      <c r="I77" s="16" t="n"/>
    </row>
    <row r="78">
      <c r="A78" s="3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2" t="inlineStr">
        <is>
          <t>Art Purchases/Inventory</t>
        </is>
      </c>
      <c r="B79" s="15" t="n"/>
      <c r="C79" s="5" t="n"/>
      <c r="D79" s="22" t="n"/>
      <c r="E79" s="40" t="n"/>
      <c r="F79" s="5" t="n"/>
      <c r="G79" s="22" t="n"/>
      <c r="H79" s="40" t="n"/>
      <c r="I79" s="16" t="n"/>
      <c r="J79" s="40" t="n"/>
      <c r="K79" s="40" t="n"/>
      <c r="L79" s="40" t="n"/>
      <c r="M79" s="40" t="n"/>
      <c r="N79" s="40" t="n"/>
    </row>
    <row r="80">
      <c r="A80" s="4" t="inlineStr">
        <is>
          <t>30 Paleothic and Neolithic Stone Tools</t>
        </is>
      </c>
      <c r="B80" s="31" t="inlineStr">
        <is>
          <t>Holestein</t>
        </is>
      </c>
      <c r="C80" s="5" t="n">
        <v>4000</v>
      </c>
      <c r="E80" s="16" t="n"/>
    </row>
    <row r="81">
      <c r="A81" s="4" t="inlineStr">
        <is>
          <t>A Tairona Figure</t>
        </is>
      </c>
      <c r="B81" s="31" t="inlineStr">
        <is>
          <t>Live Auctioneers</t>
        </is>
      </c>
      <c r="C81" s="5" t="n">
        <v>250</v>
      </c>
      <c r="D81" s="22" t="n">
        <v>45119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300</v>
      </c>
      <c r="D82" s="22" t="n">
        <v>45119</v>
      </c>
      <c r="E82" s="16" t="n"/>
    </row>
    <row r="83">
      <c r="A83" s="4" t="inlineStr">
        <is>
          <t>A Pair of Greek Bronze Greeves</t>
        </is>
      </c>
      <c r="B83" s="31" t="inlineStr">
        <is>
          <t>ebay</t>
        </is>
      </c>
      <c r="C83" s="5" t="n">
        <v>200</v>
      </c>
      <c r="D83" s="22" t="n">
        <v>45145</v>
      </c>
      <c r="E83" s="16" t="n"/>
    </row>
    <row r="84">
      <c r="A84" s="4" t="inlineStr">
        <is>
          <t>An Illyrian Bronze Helmet</t>
        </is>
      </c>
      <c r="B84" s="31" t="inlineStr">
        <is>
          <t>ebay</t>
        </is>
      </c>
      <c r="C84" s="5" t="n">
        <v>551.25</v>
      </c>
      <c r="D84" s="22" t="n">
        <v>45114</v>
      </c>
      <c r="E84" s="16" t="n"/>
    </row>
    <row r="85">
      <c r="A85" s="4" t="inlineStr">
        <is>
          <t>An Egyptian Faience Ibis</t>
        </is>
      </c>
      <c r="B85" s="15" t="inlineStr">
        <is>
          <t>Hindman</t>
        </is>
      </c>
      <c r="C85" s="5" t="n">
        <v>375</v>
      </c>
      <c r="D85" s="22" t="n">
        <v>44343</v>
      </c>
      <c r="E85" s="22" t="n"/>
      <c r="F85" s="5" t="n"/>
      <c r="I85" s="16" t="n"/>
    </row>
    <row r="86">
      <c r="A86" s="4" t="inlineStr">
        <is>
          <t>African Stone Bracelet Upper Volta River 1 0f 4</t>
        </is>
      </c>
      <c r="B86" s="15" t="inlineStr">
        <is>
          <t>Live Auctioneers</t>
        </is>
      </c>
      <c r="C86" s="5" t="n">
        <v>293</v>
      </c>
      <c r="D86" s="22" t="n">
        <v>44548</v>
      </c>
      <c r="F86" s="5" t="n"/>
      <c r="I86" s="16" t="n"/>
    </row>
    <row r="87">
      <c r="A87" s="4" t="inlineStr">
        <is>
          <t>African Stone Bracelet Upper Volta River 2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4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 Saharan Stone Discoidal</t>
        </is>
      </c>
      <c r="B89" s="15" t="inlineStr">
        <is>
          <t>Pace African Art</t>
        </is>
      </c>
      <c r="C89" s="5" t="n">
        <v>1000</v>
      </c>
      <c r="D89" s="22" t="n">
        <v>44562</v>
      </c>
      <c r="F89" s="5" t="n"/>
      <c r="I89" s="16" t="n"/>
    </row>
    <row r="90">
      <c r="A90" s="4" t="inlineStr">
        <is>
          <t>Carved Ostrish Egg</t>
        </is>
      </c>
      <c r="B90" s="15" t="inlineStr">
        <is>
          <t xml:space="preserve">Etsy </t>
        </is>
      </c>
      <c r="C90" s="5" t="n">
        <v>90</v>
      </c>
      <c r="F90" s="5" t="n"/>
      <c r="I90" s="16" t="n"/>
    </row>
    <row r="91">
      <c r="A91" s="4" t="inlineStr">
        <is>
          <t>Carved Goose Egg</t>
        </is>
      </c>
      <c r="B91" s="15" t="inlineStr">
        <is>
          <t>Etsy</t>
        </is>
      </c>
      <c r="C91" s="5" t="n">
        <v>30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35</v>
      </c>
      <c r="F92" s="5" t="n"/>
      <c r="I92" s="16" t="n"/>
    </row>
    <row r="93">
      <c r="A93" s="4" t="inlineStr">
        <is>
          <t>Quimbaya Figure (Gift)</t>
        </is>
      </c>
      <c r="B93" s="15" t="inlineStr">
        <is>
          <t>Jeffrey Norris</t>
        </is>
      </c>
      <c r="C93" s="5" t="n">
        <v>10</v>
      </c>
      <c r="D93" s="22" t="n">
        <v>45079</v>
      </c>
      <c r="I93" s="16" t="n"/>
    </row>
    <row r="94">
      <c r="A94" s="4" t="inlineStr">
        <is>
          <t>A Saharan Stone Discoidal (Gift)</t>
        </is>
      </c>
      <c r="B94" s="15" t="inlineStr">
        <is>
          <t>Aquinas Hobor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</t>
        </is>
      </c>
      <c r="B95" s="15" t="inlineStr">
        <is>
          <t>Aquinas Hobor</t>
        </is>
      </c>
      <c r="C95" s="26" t="n">
        <v>500</v>
      </c>
      <c r="D95" s="22" t="n">
        <v>45079</v>
      </c>
      <c r="F95" s="5" t="n"/>
      <c r="I95" s="16" t="n"/>
    </row>
    <row r="96">
      <c r="A96" s="4" t="inlineStr">
        <is>
          <t>Two Songye and Bozo Vessels</t>
        </is>
      </c>
      <c r="B96" s="15" t="inlineStr">
        <is>
          <t>Hindman</t>
        </is>
      </c>
      <c r="C96" s="26" t="n">
        <v>138.91</v>
      </c>
      <c r="D96" s="22" t="n">
        <v>45211</v>
      </c>
      <c r="F96" s="5" t="n"/>
      <c r="I96" s="16" t="n"/>
    </row>
    <row r="97">
      <c r="A97" s="4" t="inlineStr">
        <is>
          <t xml:space="preserve">Sword 9th Century </t>
        </is>
      </c>
      <c r="B97" s="15" t="inlineStr">
        <is>
          <t>Zevantiques</t>
        </is>
      </c>
      <c r="C97" s="26" t="n">
        <v>3000</v>
      </c>
      <c r="D97" s="22" t="n">
        <v>45311</v>
      </c>
      <c r="F97" s="5" t="n"/>
      <c r="I97" s="16" t="n"/>
    </row>
    <row r="98">
      <c r="A98" s="4" t="inlineStr">
        <is>
          <t>A Roman Marble Plaque with Insciption</t>
        </is>
      </c>
      <c r="B98" s="15" t="inlineStr">
        <is>
          <t>ebay</t>
        </is>
      </c>
      <c r="C98" s="26" t="n">
        <v>1331.41</v>
      </c>
      <c r="D98" s="22" t="n">
        <v>45546</v>
      </c>
      <c r="F98" s="5" t="n"/>
      <c r="I98" s="16" t="n"/>
    </row>
    <row r="99">
      <c r="A99" s="4" t="inlineStr">
        <is>
          <t>Erotic Intaglio Finger Ring</t>
        </is>
      </c>
      <c r="B99" s="15" t="inlineStr">
        <is>
          <t>ebay</t>
        </is>
      </c>
      <c r="C99" s="26" t="n">
        <v>205.07</v>
      </c>
      <c r="D99" s="22" t="n">
        <v>45446</v>
      </c>
      <c r="F99" s="5" t="n"/>
      <c r="I99" s="16" t="n"/>
    </row>
    <row r="100">
      <c r="B100" s="15" t="n"/>
      <c r="C100" s="26" t="n"/>
      <c r="D100" s="22" t="n"/>
      <c r="F100" s="5" t="n"/>
      <c r="I100" s="16" t="n"/>
    </row>
    <row r="101">
      <c r="A101" s="2" t="inlineStr">
        <is>
          <t>Total</t>
        </is>
      </c>
      <c r="B101" s="15" t="n"/>
      <c r="C101" s="7" t="n"/>
      <c r="F101" s="5" t="n"/>
      <c r="I101" s="16" t="n"/>
    </row>
    <row r="102">
      <c r="B102" s="15" t="n"/>
      <c r="C102" s="5" t="n"/>
      <c r="F102" s="5" t="n"/>
      <c r="I102" s="16" t="n"/>
    </row>
    <row r="103">
      <c r="A103" s="2" t="inlineStr">
        <is>
          <t>Office/Business Inventory</t>
        </is>
      </c>
      <c r="B103" s="15" t="n"/>
      <c r="C103" s="5" t="n"/>
      <c r="D103" s="40" t="n"/>
      <c r="E103" s="40" t="n"/>
      <c r="F103" s="5" t="n"/>
      <c r="G103" s="40" t="n"/>
      <c r="H103" s="40" t="n"/>
      <c r="I103" s="16" t="n"/>
      <c r="J103" s="40" t="n"/>
      <c r="K103" s="40" t="n"/>
      <c r="L103" s="40" t="n"/>
      <c r="M103" s="40" t="n"/>
      <c r="N103" s="40" t="n"/>
    </row>
    <row r="104">
      <c r="A104" s="4" t="inlineStr">
        <is>
          <t>Sofa</t>
        </is>
      </c>
      <c r="B104" s="15" t="n"/>
      <c r="C104" s="5" t="n"/>
      <c r="F104" s="5" t="n"/>
      <c r="I104" s="16" t="n"/>
    </row>
    <row r="105">
      <c r="A105" s="4" t="inlineStr">
        <is>
          <t>Space Heater</t>
        </is>
      </c>
      <c r="B105" s="15" t="n"/>
      <c r="C105" s="5" t="n"/>
      <c r="F105" s="5" t="n"/>
      <c r="I105" s="16" t="n"/>
    </row>
    <row r="106">
      <c r="A106" s="4" t="inlineStr">
        <is>
          <t>Shelving</t>
        </is>
      </c>
      <c r="B106" s="15" t="n"/>
      <c r="C106" s="5" t="n"/>
      <c r="F106" s="5" t="n"/>
      <c r="I106" s="16" t="n"/>
    </row>
    <row r="107">
      <c r="A107" s="4" t="inlineStr">
        <is>
          <t>Storage Bins</t>
        </is>
      </c>
      <c r="B107" s="15" t="n"/>
      <c r="C107" s="5" t="n"/>
      <c r="F107" s="5" t="n"/>
      <c r="I107" s="16" t="n"/>
    </row>
    <row r="108">
      <c r="A108" s="4" t="inlineStr">
        <is>
          <t>Table</t>
        </is>
      </c>
      <c r="B108" s="15" t="n"/>
      <c r="C108" s="5" t="n"/>
      <c r="F108" s="5" t="n"/>
      <c r="I108" s="16" t="n"/>
    </row>
    <row r="109">
      <c r="A109" s="4" t="inlineStr">
        <is>
          <t>Computer</t>
        </is>
      </c>
      <c r="B109" s="15" t="n"/>
      <c r="C109" s="5" t="n"/>
      <c r="F109" s="5" t="n"/>
      <c r="I109" s="16" t="n"/>
    </row>
    <row r="110">
      <c r="A110" s="4" t="inlineStr">
        <is>
          <t>Art Library</t>
        </is>
      </c>
      <c r="B110" s="15" t="n"/>
      <c r="C110" s="5" t="n"/>
      <c r="F110" s="5" t="n"/>
      <c r="I110" s="16" t="n"/>
    </row>
    <row r="111">
      <c r="A111" s="4" t="inlineStr">
        <is>
          <t>Standing Desk</t>
        </is>
      </c>
      <c r="B111" s="15" t="n"/>
      <c r="C111" s="5" t="n"/>
      <c r="F111" s="5" t="n"/>
      <c r="I111" s="16" t="n"/>
    </row>
    <row r="112">
      <c r="B112" s="15" t="n"/>
      <c r="C112" s="5" t="n"/>
      <c r="F112" s="5" t="n"/>
      <c r="I112" s="16" t="n"/>
    </row>
    <row r="113">
      <c r="A113" s="41" t="inlineStr">
        <is>
          <t>2025 CC inventory (not in Cost total until object is named)</t>
        </is>
      </c>
      <c r="B113" s="15" t="n"/>
      <c r="C113" s="5" t="n"/>
      <c r="F113" s="5" t="n"/>
      <c r="I113" s="16" t="n"/>
    </row>
    <row r="114">
      <c r="A114" s="32" t="inlineStr">
        <is>
          <t>Los Angeles Modern Auctions (inventory purchase)</t>
        </is>
      </c>
      <c r="B114" s="32" t="inlineStr">
        <is>
          <t>Sapphire 5423</t>
        </is>
      </c>
      <c r="C114" s="42" t="n">
        <v>6821.06</v>
      </c>
      <c r="D114" s="32" t="inlineStr">
        <is>
          <t>2025-07-24</t>
        </is>
      </c>
    </row>
    <row r="115">
      <c r="A115" s="32" t="inlineStr">
        <is>
          <t>Hindman LLC (inventory purchase)</t>
        </is>
      </c>
      <c r="B115" s="32" t="inlineStr">
        <is>
          <t>Sapphire 5423</t>
        </is>
      </c>
      <c r="C115" s="42" t="n">
        <v>282.24</v>
      </c>
      <c r="D115" s="32" t="inlineStr">
        <is>
          <t>2025-04-03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42" t="n">
        <v>403.51</v>
      </c>
      <c r="D116" s="32" t="inlineStr">
        <is>
          <t>2025-07-29</t>
        </is>
      </c>
    </row>
    <row r="117">
      <c r="A117" s="32" t="inlineStr">
        <is>
          <t>The Great Frame Up (inventory framing)</t>
        </is>
      </c>
      <c r="B117" s="32" t="inlineStr">
        <is>
          <t>Sapphire 5423</t>
        </is>
      </c>
      <c r="C117" s="42" t="n">
        <v>536.41</v>
      </c>
      <c r="D117" s="32" t="inlineStr">
        <is>
          <t>2025-02-16</t>
        </is>
      </c>
    </row>
    <row r="118"/>
    <row r="119">
      <c r="A119" s="43" t="inlineStr">
        <is>
          <t>2025 Mercury 8291 — David Aaron Limited is LOCKED consultant fee (not Art Sales)</t>
        </is>
      </c>
    </row>
    <row r="120">
      <c r="A120" s="44" t="inlineStr">
        <is>
          <t>NOT a 2025 art sale — David Aaron Limited consultant fee (EPGC Consultant June)</t>
        </is>
      </c>
      <c r="B120" s="44" t="inlineStr">
        <is>
          <t>David Aaron Limited</t>
        </is>
      </c>
      <c r="C120" s="44" t="n"/>
      <c r="D120" s="44" t="n"/>
      <c r="E120" s="44" t="n"/>
      <c r="F120" s="45" t="n"/>
      <c r="G120" s="46" t="n"/>
      <c r="H120" s="46" t="n"/>
      <c r="I120" s="44" t="inlineStr">
        <is>
          <t>LOCKED 2026-09-20: consultant fee, not a sale. $13,595 is on EPGC Consultant June. Not tax advice.</t>
        </is>
      </c>
    </row>
    <row r="121"/>
    <row r="122">
      <c r="A122" s="43" t="inlineStr">
        <is>
          <t>2025 Mercury COGS — Newstar Jewelers (LOCKED jewelry fabrication)</t>
        </is>
      </c>
    </row>
    <row r="123">
      <c r="A123" s="47" t="inlineStr">
        <is>
          <t>Newstar Jewelers — jewelry from intaglios / engraved gems / scarabs</t>
        </is>
      </c>
      <c r="B123" s="47" t="inlineStr">
        <is>
          <t>Mercury 8291</t>
        </is>
      </c>
      <c r="C123" s="48" t="n">
        <v>8000</v>
      </c>
      <c r="D123" s="47" t="inlineStr">
        <is>
          <t>2025-10-14</t>
        </is>
      </c>
      <c r="I123" s="32" t="inlineStr">
        <is>
          <t>LOCKED COGS fabrication. Not in sold-lot Cost total (Feb Berk lots already sold). Identify which gems/intaglios/scarabs.</t>
        </is>
      </c>
    </row>
    <row r="124">
      <c r="A124" s="47" t="inlineStr">
        <is>
          <t>Newstar Jewelers — jewelry from intaglios / engraved gems / scarabs</t>
        </is>
      </c>
      <c r="B124" s="47" t="inlineStr">
        <is>
          <t>Mercury 8291</t>
        </is>
      </c>
      <c r="C124" s="48" t="n">
        <v>8000</v>
      </c>
      <c r="D124" s="47" t="inlineStr">
        <is>
          <t>2025-11-12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47" t="inlineStr">
        <is>
          <t>Newstar Jewelers — jewelry from intaglios / engraved gems / scarabs (3 of 3)</t>
        </is>
      </c>
      <c r="B125" s="47" t="inlineStr">
        <is>
          <t>Mercury 8291</t>
        </is>
      </c>
      <c r="C125" s="48" t="n">
        <v>7581</v>
      </c>
      <c r="D125" s="47" t="inlineStr">
        <is>
          <t>2025-12-24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32" t="inlineStr">
        <is>
          <t>Newstar 2025 total</t>
        </is>
      </c>
      <c r="C126" s="48">
        <f>SUM(C123:C125)</f>
        <v/>
      </c>
    </row>
    <row r="127"/>
    <row r="128">
      <c r="A128" s="49" t="inlineStr">
        <is>
          <t>2025 Mercury ASK — Fortuna inventory remaining (not in Cost total until object is named)</t>
        </is>
      </c>
    </row>
    <row r="129">
      <c r="A129" s="50" t="inlineStr">
        <is>
          <t>Fortuna / Erdal Dere — object TBD</t>
        </is>
      </c>
      <c r="B129" s="50" t="inlineStr">
        <is>
          <t>Mercury 8291</t>
        </is>
      </c>
      <c r="C129" s="42" t="n">
        <v>20000</v>
      </c>
      <c r="D129" s="50" t="inlineStr">
        <is>
          <t>2025-05-09</t>
        </is>
      </c>
      <c r="I129" s="32" t="inlineStr">
        <is>
          <t>ASK: inventory purchase vs other. Do not add to sold Cost until named (avoid double count).</t>
        </is>
      </c>
    </row>
    <row r="130">
      <c r="A130" s="50" t="inlineStr">
        <is>
          <t>Fortuna / Erdal Dere — object TBD</t>
        </is>
      </c>
      <c r="B130" s="50" t="inlineStr">
        <is>
          <t>Mercury 8291</t>
        </is>
      </c>
      <c r="C130" s="42" t="n">
        <v>45000</v>
      </c>
      <c r="D130" s="50" t="inlineStr">
        <is>
          <t>2025-07-21</t>
        </is>
      </c>
      <c r="I130" s="32" t="inlineStr">
        <is>
          <t>ASK: inventory purchase vs other. Do not add to sold Cost until named (avoid double count).</t>
        </is>
      </c>
    </row>
    <row r="131">
      <c r="A131" s="50" t="inlineStr">
        <is>
          <t>Fortuna / Erdal Dere — object TBD</t>
        </is>
      </c>
      <c r="B131" s="50" t="inlineStr">
        <is>
          <t>Mercury 8291</t>
        </is>
      </c>
      <c r="C131" s="42" t="n">
        <v>20000</v>
      </c>
      <c r="D131" s="50" t="inlineStr">
        <is>
          <t>2025-08-15</t>
        </is>
      </c>
      <c r="I131" s="32" t="inlineStr">
        <is>
          <t>ASK: inventory purchase vs other. Do not add to sold Cost until named (avoid double count).</t>
        </is>
      </c>
    </row>
    <row r="132">
      <c r="A132" s="32" t="inlineStr">
        <is>
          <t>Fortuna remaining 2025 (excl. seals $13,000 already on row 73)</t>
        </is>
      </c>
      <c r="C132" s="42" t="n">
        <v>85000</v>
      </c>
    </row>
    <row r="133"/>
    <row r="134">
      <c r="A134" s="43" t="inlineStr">
        <is>
          <t>2025 Mercury 8291 — Books sold to Aquinas Hobor (LOCKED)</t>
        </is>
      </c>
    </row>
    <row r="135">
      <c r="A135" s="44" t="inlineStr">
        <is>
          <t>Books sold to Aquinas Hobor (titles TBD)</t>
        </is>
      </c>
      <c r="B135" s="44" t="inlineStr">
        <is>
          <t>Aquinas Hobor</t>
        </is>
      </c>
      <c r="C135" s="44" t="n"/>
      <c r="D135" s="44" t="n"/>
      <c r="E135" s="44" t="inlineStr">
        <is>
          <t>Aquinas Hobor</t>
        </is>
      </c>
      <c r="F135" s="45" t="n">
        <v>1000</v>
      </c>
      <c r="G135" s="51" t="n">
        <v>45692</v>
      </c>
      <c r="H135" s="44">
        <f>IF(C135="","",F135-C135)</f>
        <v/>
      </c>
      <c r="I135" s="44" t="inlineStr">
        <is>
          <t>LOCKED 2026-09-20: books sold to Aquinas. $1,000 cash on EPGC Art Sales February. Cost / titles TBD — not in Income I8 until Cost. Distinct from 2022 Saharan bracelets. Not tax advice.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2" t="inlineStr">
        <is>
          <t>GCM Boards 2022</t>
        </is>
      </c>
      <c r="B2" s="53" t="n"/>
      <c r="C2" s="53" t="n"/>
      <c r="D2" s="53" t="n"/>
      <c r="E2" s="53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2" t="inlineStr">
        <is>
          <t>GCM Boards 2023</t>
        </is>
      </c>
      <c r="B9" s="53" t="n"/>
      <c r="C9" s="53" t="n"/>
      <c r="D9" s="53" t="n"/>
      <c r="E9" s="53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4" t="n">
        <v>3675</v>
      </c>
      <c r="E11" s="54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2" t="inlineStr">
        <is>
          <t>GCM Boards 2024</t>
        </is>
      </c>
      <c r="B15" s="53" t="n"/>
      <c r="C15" s="53" t="n"/>
      <c r="D15" s="53" t="n"/>
      <c r="E15" s="53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4" t="n">
        <v>4050</v>
      </c>
      <c r="E17" s="54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5" t="n"/>
    </row>
    <row r="21"/>
    <row r="22">
      <c r="A22" s="56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57" t="n">
        <v>4100</v>
      </c>
      <c r="C24" s="57" t="n">
        <v>9200</v>
      </c>
      <c r="D24" s="57" t="n">
        <v>4100</v>
      </c>
      <c r="E24" s="57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56" t="inlineStr">
        <is>
          <t>Coinbase (ACH from Mercury 8291)</t>
        </is>
      </c>
      <c r="B5" s="58" t="inlineStr">
        <is>
          <t>Investment transfers — not EPGC Art Sales, not advisory. Distinct from Coinbase 6108 card.</t>
        </is>
      </c>
    </row>
    <row r="6">
      <c r="A6" s="59" t="inlineStr"/>
      <c r="B6" s="59" t="inlineStr">
        <is>
          <t>JAN</t>
        </is>
      </c>
      <c r="C6" s="59" t="inlineStr">
        <is>
          <t>FEB</t>
        </is>
      </c>
      <c r="D6" s="59" t="inlineStr">
        <is>
          <t>MAR</t>
        </is>
      </c>
      <c r="E6" s="59" t="inlineStr">
        <is>
          <t>APR</t>
        </is>
      </c>
      <c r="F6" s="59" t="inlineStr">
        <is>
          <t>MAY</t>
        </is>
      </c>
      <c r="G6" s="59" t="inlineStr">
        <is>
          <t>JUN</t>
        </is>
      </c>
      <c r="H6" s="59" t="inlineStr">
        <is>
          <t>JUL</t>
        </is>
      </c>
      <c r="I6" s="59" t="inlineStr">
        <is>
          <t>AUG</t>
        </is>
      </c>
      <c r="J6" s="59" t="inlineStr">
        <is>
          <t>SEP</t>
        </is>
      </c>
      <c r="K6" s="59" t="inlineStr">
        <is>
          <t>OCT</t>
        </is>
      </c>
      <c r="L6" s="59" t="inlineStr">
        <is>
          <t>NOV</t>
        </is>
      </c>
      <c r="M6" s="59" t="inlineStr">
        <is>
          <t>DEC</t>
        </is>
      </c>
      <c r="N6" s="59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60" t="n">
        <v>-9000</v>
      </c>
      <c r="K7" s="60" t="n">
        <v>-10000</v>
      </c>
      <c r="L7" s="60" t="n">
        <v>-35000</v>
      </c>
      <c r="M7" s="60" t="n">
        <v>-5000</v>
      </c>
      <c r="N7" s="61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60" t="n">
        <v>8000</v>
      </c>
      <c r="N8" s="61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5" t="n">
        <v>-9000</v>
      </c>
      <c r="K9" s="45" t="n">
        <v>-10000</v>
      </c>
      <c r="L9" s="45" t="n">
        <v>-35000</v>
      </c>
      <c r="M9" s="45" t="n">
        <v>3000</v>
      </c>
      <c r="N9" s="61">
        <f>SUM(B9:M9)</f>
        <v/>
      </c>
    </row>
    <row r="10"/>
    <row r="11">
      <c r="A11" s="62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1" t="inlineStr">
        <is>
          <t>ASK — remaining Mercury 8291 questions. Q6 consultant, Q7 Wise expertise write-ups, Q8 pass-through, Q9 Aquinas books LOCKED 2026-09-20. Not tax advice.</t>
        </is>
      </c>
    </row>
    <row r="2"/>
    <row r="3">
      <c r="A3" s="59" t="inlineStr">
        <is>
          <t>Question</t>
        </is>
      </c>
      <c r="B3" s="59" t="inlineStr">
        <is>
          <t>What I need</t>
        </is>
      </c>
    </row>
    <row r="4">
      <c r="A4" s="63" t="inlineStr">
        <is>
          <t>1. EOEB LLC remainder after mosaics</t>
        </is>
      </c>
      <c r="B4" s="64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63" t="inlineStr">
        <is>
          <t>2. L5 (all seven invoices)</t>
        </is>
      </c>
      <c r="B5" s="64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63" t="inlineStr">
        <is>
          <t>3. Fortuna / Erdal Dere OUT after seals</t>
        </is>
      </c>
      <c r="B6" s="64" t="inlineStr">
        <is>
          <t>$85,000.00 after the 1/8 $13,000 seals COGS (5/9 $20k, 7/21 $45k, 8/15 $20k). Inventory purchases (object names) or something else?</t>
        </is>
      </c>
    </row>
    <row r="7">
      <c r="A7" s="63" t="inlineStr">
        <is>
          <t>4. Erdal Dere IN</t>
        </is>
      </c>
      <c r="B7" s="64" t="inlineStr">
        <is>
          <t>$57,000.00 (7/24 $26k, 10/9 $25k, 11/7 $6k ‘FORTUNA PAYMENT’). Sales to Erdal, refunds of Fortuna purchases, or other?</t>
        </is>
      </c>
    </row>
    <row r="8">
      <c r="A8" s="63" t="inlineStr">
        <is>
          <t>5. Aysel Dere $50,000 IN (7/18)</t>
        </is>
      </c>
      <c r="B8" s="64" t="inlineStr">
        <is>
          <t>Sale, related-party transfer, or part of the mid-July Fortuna/L5 cluster?</t>
        </is>
      </c>
    </row>
    <row r="9">
      <c r="A9" s="65" t="inlineStr">
        <is>
          <t>6. David Aaron Limited $13,595 IN (6/24) — LOCKED consultant fee</t>
        </is>
      </c>
      <c r="B9" s="66" t="inlineStr">
        <is>
          <t>CONFIRMED 2026-09-20: consultant fee, not a sale. Booked EPGC Consultant June $13,595 (peach). Not Art Sales. Not Income I8.</t>
        </is>
      </c>
    </row>
    <row r="10">
      <c r="A10" s="65" t="inlineStr">
        <is>
          <t>7. Wise $334.17 (7/9) and $658.63 (10/30) — LOCKED expertise write-ups</t>
        </is>
      </c>
      <c r="B10" s="66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65" t="inlineStr">
        <is>
          <t>8. Jack Koziol &amp; Tracy Hoffman $150,000 IN (10/20) / Ariadne Demirjian $150,000 OUT (10/21) — LOCKED pass-through</t>
        </is>
      </c>
      <c r="B11" s="66" t="inlineStr">
        <is>
          <t>CONFIRMED 2026-09-20: pass-through, not P&amp;L. Not a sale, not a purchase, not COGS, not Consultant.</t>
        </is>
      </c>
    </row>
    <row r="12">
      <c r="A12" s="65" t="inlineStr">
        <is>
          <t>9. Aquinas Hobor $1,000 IN (2/4) — LOCKED books sold</t>
        </is>
      </c>
      <c r="B12" s="66" t="inlineStr">
        <is>
          <t>CONFIRMED 2026-09-20: books sold to Aquinas. Booked EPGC Art Sales February $1,000 (peach). Cost / titles TBD — not in Income I8 until Cost. Distinct from 2022 Saharan bracelets.</t>
        </is>
      </c>
    </row>
    <row r="13">
      <c r="A13" s="63" t="inlineStr">
        <is>
          <t>10. Mosaics Cost $90,000 vs Mercury $50,000</t>
        </is>
      </c>
      <c r="B13" s="64" t="inlineStr">
        <is>
          <t>Plutus &amp; Mnemosyne paid $50,000 in February. Where is the other $40,000 of Cost (other account / 2024 / still owed)?</t>
        </is>
      </c>
    </row>
    <row r="14"/>
    <row r="15">
      <c r="A15" s="59" t="inlineStr">
        <is>
          <t>LOCKED / MATCHED this pass (do not recast without saying so)</t>
        </is>
      </c>
    </row>
    <row r="16">
      <c r="A16" s="44" t="inlineStr">
        <is>
          <t>Coinbase ACH net</t>
        </is>
      </c>
      <c r="B16" s="44" t="inlineStr">
        <is>
          <t>$-51,000.00  (OUT $-59,000.00 / IN $8,000.00) — Investments tab, not EPGC</t>
        </is>
      </c>
    </row>
    <row r="17">
      <c r="A17" s="44" t="inlineStr">
        <is>
          <t>Newstar Jewelers</t>
        </is>
      </c>
      <c r="B17" s="44" t="inlineStr">
        <is>
          <t>$23,581.00 jewelry fabrication COGS (10/14 $8,000 + 11/12 $8,000 + 12/24 $7,581)</t>
        </is>
      </c>
    </row>
    <row r="18">
      <c r="A18" s="44" t="inlineStr">
        <is>
          <t>Berk sales</t>
        </is>
      </c>
      <c r="B18" s="44" t="inlineStr">
        <is>
          <t>$14,000 seals (1/10) + $30,000 lots (2/7) = $44,000 Art Sales</t>
        </is>
      </c>
    </row>
    <row r="19">
      <c r="A19" s="44" t="inlineStr">
        <is>
          <t>Mosaics</t>
        </is>
      </c>
      <c r="B19" s="44" t="inlineStr">
        <is>
          <t>EOEB $105,000 sale (2/21) / Plutus $50,000 of $90,000 Cost</t>
        </is>
      </c>
    </row>
    <row r="20">
      <c r="A20" s="44" t="inlineStr">
        <is>
          <t>BoA 9922 draws</t>
        </is>
      </c>
      <c r="B20" s="44" t="inlineStr">
        <is>
          <t>$261,172.00 owner transfer — not P&amp;L</t>
        </is>
      </c>
    </row>
    <row r="21">
      <c r="A21" s="44" t="inlineStr">
        <is>
          <t>Wise/EOEB 12/2</t>
        </is>
      </c>
      <c r="B21" s="44" t="inlineStr">
        <is>
          <t>$565.75 reimbursed — not income, not expense</t>
        </is>
      </c>
    </row>
    <row r="22">
      <c r="A22" s="44" t="inlineStr">
        <is>
          <t>$10 test wires</t>
        </is>
      </c>
      <c r="B22" s="44" t="inlineStr">
        <is>
          <t>Jamal Rifai / EPGC / Plutus tests — not P&amp;L</t>
        </is>
      </c>
    </row>
    <row r="23">
      <c r="A23" s="44" t="inlineStr">
        <is>
          <t>David Aaron Limited</t>
        </is>
      </c>
      <c r="B23" s="44" t="inlineStr">
        <is>
          <t>$13,595 (6/24) consultant fee → EPGC Consultant June. Not a sale.</t>
        </is>
      </c>
    </row>
    <row r="24">
      <c r="A24" s="44" t="inlineStr">
        <is>
          <t>Koziol / Ariadne</t>
        </is>
      </c>
      <c r="B24" s="44" t="inlineStr">
        <is>
          <t>$150,000 IN 10/20 + $150,000 OUT 10/21 LOCKED pass-through — not P&amp;L</t>
        </is>
      </c>
    </row>
    <row r="25">
      <c r="A25" s="44" t="inlineStr">
        <is>
          <t>Wise expertise write-ups</t>
        </is>
      </c>
      <c r="B25" s="44" t="inlineStr">
        <is>
          <t>$334.17 (7/9) + $658.63 (10/30) = $992.80 → EPGC Consultant Fees expense. Dec $565.75 still reimbursed / not P&amp;L.</t>
        </is>
      </c>
    </row>
    <row r="26">
      <c r="A26" s="44" t="inlineStr">
        <is>
          <t>Aquinas Hobor books</t>
        </is>
      </c>
      <c r="B26" s="44" t="inlineStr">
        <is>
          <t>$1,000 IN 2/4 LOCKED books sold → EPGC Art Sales February. Cost / titles TBD (not in I8 until Cost).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7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68" t="inlineStr">
        <is>
          <t>Date</t>
        </is>
      </c>
      <c r="B3" s="68" t="inlineStr">
        <is>
          <t>Counterparty</t>
        </is>
      </c>
      <c r="C3" s="68" t="inlineStr">
        <is>
          <t>Amount</t>
        </is>
      </c>
      <c r="D3" s="68" t="inlineStr">
        <is>
          <t>Direction</t>
        </is>
      </c>
      <c r="E3" s="68" t="inlineStr">
        <is>
          <t>Bucket</t>
        </is>
      </c>
      <c r="F3" s="68" t="inlineStr">
        <is>
          <t>Status</t>
        </is>
      </c>
      <c r="G3" s="68" t="inlineStr">
        <is>
          <t>Deal / object</t>
        </is>
      </c>
      <c r="H3" s="68" t="inlineStr">
        <is>
          <t>Hits EPGC Art Sales?</t>
        </is>
      </c>
      <c r="I3" s="68" t="inlineStr">
        <is>
          <t>Hits EPGC Consultant?</t>
        </is>
      </c>
      <c r="J3" s="68" t="inlineStr">
        <is>
          <t>Monarch category</t>
        </is>
      </c>
      <c r="K3" s="68" t="inlineStr">
        <is>
          <t>Original statement</t>
        </is>
      </c>
      <c r="L3" s="68" t="inlineStr">
        <is>
          <t>Notes</t>
        </is>
      </c>
    </row>
    <row r="4">
      <c r="A4" s="58" t="inlineStr">
        <is>
          <t>2025-01-08</t>
        </is>
      </c>
      <c r="B4" s="58" t="inlineStr">
        <is>
          <t>Erdal Dere (Fortuna)</t>
        </is>
      </c>
      <c r="C4" s="10" t="n">
        <v>-13000</v>
      </c>
      <c r="D4" s="58" t="inlineStr">
        <is>
          <t>OUT</t>
        </is>
      </c>
      <c r="E4" s="69" t="inlineStr">
        <is>
          <t>ART_PURCHASE</t>
        </is>
      </c>
      <c r="F4" s="44" t="inlineStr">
        <is>
          <t>MATCHED</t>
        </is>
      </c>
      <c r="G4" s="58" t="inlineStr">
        <is>
          <t>A Collection of Seals — COGS</t>
        </is>
      </c>
      <c r="H4" s="58" t="inlineStr">
        <is>
          <t>no</t>
        </is>
      </c>
      <c r="I4" s="58" t="inlineStr">
        <is>
          <t>no</t>
        </is>
      </c>
      <c r="J4" s="58" t="inlineStr">
        <is>
          <t xml:space="preserve">Business Investment </t>
        </is>
      </c>
      <c r="K4" s="58" t="inlineStr">
        <is>
          <t>Merchant name: Erdal Dere (Fortuna)</t>
        </is>
      </c>
      <c r="L4" s="14" t="inlineStr">
        <is>
          <t>Fortuna / Erdal Dere. Matches Art Sales Cost $13,000; Berk sold it 1/10 for $14,000.</t>
        </is>
      </c>
    </row>
    <row r="5">
      <c r="A5" s="58" t="inlineStr">
        <is>
          <t>2025-01-10</t>
        </is>
      </c>
      <c r="B5" s="58" t="inlineStr">
        <is>
          <t>HARLAN J BERK LTD</t>
        </is>
      </c>
      <c r="C5" s="45" t="n">
        <v>14000</v>
      </c>
      <c r="D5" s="58" t="inlineStr">
        <is>
          <t>IN</t>
        </is>
      </c>
      <c r="E5" s="70" t="inlineStr">
        <is>
          <t>ART_SALE</t>
        </is>
      </c>
      <c r="F5" s="44" t="inlineStr">
        <is>
          <t>MATCHED</t>
        </is>
      </c>
      <c r="G5" s="58" t="inlineStr">
        <is>
          <t>A Collection of Seals — Sale Price</t>
        </is>
      </c>
      <c r="H5" s="58" t="inlineStr">
        <is>
          <t>YES</t>
        </is>
      </c>
      <c r="I5" s="58" t="inlineStr">
        <is>
          <t>no</t>
        </is>
      </c>
      <c r="J5" s="58" t="inlineStr">
        <is>
          <t>Business Income</t>
        </is>
      </c>
      <c r="K5" s="58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58" t="inlineStr">
        <is>
          <t>2025-01-16</t>
        </is>
      </c>
      <c r="B6" s="58" t="inlineStr">
        <is>
          <t>EOEB LLC</t>
        </is>
      </c>
      <c r="C6" s="71" t="n">
        <v>1000</v>
      </c>
      <c r="D6" s="58" t="inlineStr">
        <is>
          <t>IN</t>
        </is>
      </c>
      <c r="E6" s="72" t="inlineStr">
        <is>
          <t>ASK</t>
        </is>
      </c>
      <c r="F6" s="72" t="inlineStr">
        <is>
          <t>ASK</t>
        </is>
      </c>
      <c r="G6" s="58" t="inlineStr">
        <is>
          <t>EOEB $1,000 — Canosan horse vs advisory</t>
        </is>
      </c>
      <c r="H6" s="58" t="inlineStr">
        <is>
          <t>no</t>
        </is>
      </c>
      <c r="I6" s="58" t="inlineStr">
        <is>
          <t>no</t>
        </is>
      </c>
      <c r="J6" s="58" t="inlineStr">
        <is>
          <t>Business Income</t>
        </is>
      </c>
      <c r="K6" s="58" t="inlineStr">
        <is>
          <t>Incoming Wire; MAKE A PAYMENT; Merchant name: EOEB LLC</t>
        </is>
      </c>
      <c r="L6" s="14" t="inlineStr">
        <is>
          <t>Art Sales has Canosan Terracotta Horse to Erdal $1,000. This cash is EOEB, not Erdal. Sale or advisory invoice?</t>
        </is>
      </c>
    </row>
    <row r="7">
      <c r="A7" s="58" t="inlineStr">
        <is>
          <t>2025-02-04</t>
        </is>
      </c>
      <c r="B7" s="58" t="inlineStr">
        <is>
          <t>Bank of America - Checking ••9922</t>
        </is>
      </c>
      <c r="C7" s="10" t="n">
        <v>-25000</v>
      </c>
      <c r="D7" s="58" t="inlineStr">
        <is>
          <t>OUT</t>
        </is>
      </c>
      <c r="E7" s="73" t="inlineStr">
        <is>
          <t>TRANSFER</t>
        </is>
      </c>
      <c r="F7" s="44" t="inlineStr">
        <is>
          <t>LOCKED</t>
        </is>
      </c>
      <c r="G7" s="58" t="inlineStr">
        <is>
          <t>Owner transfer to BoA 9922</t>
        </is>
      </c>
      <c r="H7" s="58" t="inlineStr">
        <is>
          <t>no</t>
        </is>
      </c>
      <c r="I7" s="58" t="inlineStr">
        <is>
          <t>no</t>
        </is>
      </c>
      <c r="J7" s="58" t="inlineStr">
        <is>
          <t>Transfer</t>
        </is>
      </c>
      <c r="K7" s="58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58" t="inlineStr">
        <is>
          <t>2025-02-04</t>
        </is>
      </c>
      <c r="B8" s="58" t="inlineStr">
        <is>
          <t>AQUINAS HOBOR</t>
        </is>
      </c>
      <c r="C8" s="45" t="n">
        <v>1000</v>
      </c>
      <c r="D8" s="58" t="inlineStr">
        <is>
          <t>IN</t>
        </is>
      </c>
      <c r="E8" s="70" t="inlineStr">
        <is>
          <t>ART_SALE</t>
        </is>
      </c>
      <c r="F8" s="44" t="inlineStr">
        <is>
          <t>LOCKED</t>
        </is>
      </c>
      <c r="G8" s="58" t="inlineStr">
        <is>
          <t>Books sold to Aquinas Hobor — Sale Price</t>
        </is>
      </c>
      <c r="H8" s="58" t="inlineStr">
        <is>
          <t>YES</t>
        </is>
      </c>
      <c r="I8" s="58" t="inlineStr">
        <is>
          <t>no</t>
        </is>
      </c>
      <c r="J8" s="58" t="inlineStr">
        <is>
          <t>Transfer</t>
        </is>
      </c>
      <c r="K8" s="58" t="inlineStr">
        <is>
          <t>AQUINAS HOBOR; SENDER; 770699534; Merchant name: AQUINAS HOBOR</t>
        </is>
      </c>
      <c r="L8" s="14" t="inlineStr">
        <is>
          <t>User 2026-09-20: books sold to Aquinas. Hits EPGC Art Sales February $1,000. Cost / titles TBD (not in I8 net until Cost). Distinct from 2022 Saharan bracelets sale.</t>
        </is>
      </c>
    </row>
    <row r="9">
      <c r="A9" s="58" t="inlineStr">
        <is>
          <t>2025-02-07</t>
        </is>
      </c>
      <c r="B9" s="58" t="inlineStr">
        <is>
          <t>HARLAN J BERK LTD</t>
        </is>
      </c>
      <c r="C9" s="45" t="n">
        <v>30000</v>
      </c>
      <c r="D9" s="58" t="inlineStr">
        <is>
          <t>IN</t>
        </is>
      </c>
      <c r="E9" s="70" t="inlineStr">
        <is>
          <t>ART_SALE</t>
        </is>
      </c>
      <c r="F9" s="44" t="inlineStr">
        <is>
          <t>MATCHED</t>
        </is>
      </c>
      <c r="G9" s="58" t="inlineStr">
        <is>
          <t>Berk lots lump Sale Price $30,000</t>
        </is>
      </c>
      <c r="H9" s="58" t="inlineStr">
        <is>
          <t>YES</t>
        </is>
      </c>
      <c r="I9" s="58" t="inlineStr">
        <is>
          <t>no</t>
        </is>
      </c>
      <c r="J9" s="58" t="inlineStr">
        <is>
          <t>Business Income</t>
        </is>
      </c>
      <c r="K9" s="58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58" t="inlineStr">
        <is>
          <t>2025-02-21</t>
        </is>
      </c>
      <c r="B10" s="58" t="inlineStr">
        <is>
          <t>Jamal M Rifai</t>
        </is>
      </c>
      <c r="C10" s="10" t="n">
        <v>-10</v>
      </c>
      <c r="D10" s="58" t="inlineStr">
        <is>
          <t>OUT</t>
        </is>
      </c>
      <c r="E10" s="73" t="inlineStr">
        <is>
          <t>TEST</t>
        </is>
      </c>
      <c r="F10" s="44" t="inlineStr">
        <is>
          <t>LOCKED</t>
        </is>
      </c>
      <c r="G10" s="58" t="inlineStr">
        <is>
          <t>$10 test wire to Jamal M. Rifai</t>
        </is>
      </c>
      <c r="H10" s="58" t="inlineStr">
        <is>
          <t>no</t>
        </is>
      </c>
      <c r="I10" s="58" t="inlineStr">
        <is>
          <t>no</t>
        </is>
      </c>
      <c r="J10" s="58" t="inlineStr">
        <is>
          <t>Transfer</t>
        </is>
      </c>
      <c r="K10" s="58" t="inlineStr">
        <is>
          <t>Merchant name: Jamal M Rifai</t>
        </is>
      </c>
      <c r="L10" s="14" t="inlineStr">
        <is>
          <t>Not P&amp;L. Related to mosaics counterparty test.</t>
        </is>
      </c>
    </row>
    <row r="11">
      <c r="A11" s="58" t="inlineStr">
        <is>
          <t>2025-02-21</t>
        </is>
      </c>
      <c r="B11" s="58" t="inlineStr">
        <is>
          <t>DDA/066196221</t>
        </is>
      </c>
      <c r="C11" s="10" t="n">
        <v>10</v>
      </c>
      <c r="D11" s="58" t="inlineStr">
        <is>
          <t>IN</t>
        </is>
      </c>
      <c r="E11" s="73" t="inlineStr">
        <is>
          <t>TEST</t>
        </is>
      </c>
      <c r="F11" s="44" t="inlineStr">
        <is>
          <t>LOCKED</t>
        </is>
      </c>
      <c r="G11" s="58" t="inlineStr">
        <is>
          <t>$10 test wire in</t>
        </is>
      </c>
      <c r="H11" s="58" t="inlineStr">
        <is>
          <t>no</t>
        </is>
      </c>
      <c r="I11" s="58" t="inlineStr">
        <is>
          <t>no</t>
        </is>
      </c>
      <c r="J11" s="58" t="inlineStr">
        <is>
          <t>Transfer</t>
        </is>
      </c>
      <c r="K11" s="58" t="inlineStr">
        <is>
          <t>Incoming Wire; Merchant name: DDA/066196221</t>
        </is>
      </c>
      <c r="L11" s="14" t="inlineStr">
        <is>
          <t>Not P&amp;L.</t>
        </is>
      </c>
    </row>
    <row r="12">
      <c r="A12" s="58" t="inlineStr">
        <is>
          <t>2025-02-21</t>
        </is>
      </c>
      <c r="B12" s="58" t="inlineStr">
        <is>
          <t>EOEB LLC</t>
        </is>
      </c>
      <c r="C12" s="45" t="n">
        <v>105000</v>
      </c>
      <c r="D12" s="58" t="inlineStr">
        <is>
          <t>IN</t>
        </is>
      </c>
      <c r="E12" s="70" t="inlineStr">
        <is>
          <t>ART_SALE</t>
        </is>
      </c>
      <c r="F12" s="44" t="inlineStr">
        <is>
          <t>MATCHED</t>
        </is>
      </c>
      <c r="G12" s="58" t="inlineStr">
        <is>
          <t>Three Ancient Mosaics — Sale Price</t>
        </is>
      </c>
      <c r="H12" s="58" t="inlineStr">
        <is>
          <t>YES</t>
        </is>
      </c>
      <c r="I12" s="58" t="inlineStr">
        <is>
          <t>no</t>
        </is>
      </c>
      <c r="J12" s="58" t="inlineStr">
        <is>
          <t>Transfer</t>
        </is>
      </c>
      <c r="K12" s="58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58" t="inlineStr">
        <is>
          <t>2025-02-24</t>
        </is>
      </c>
      <c r="B13" s="58" t="inlineStr">
        <is>
          <t>Bank of America - Checking ••9922</t>
        </is>
      </c>
      <c r="C13" s="10" t="n">
        <v>-90000</v>
      </c>
      <c r="D13" s="58" t="inlineStr">
        <is>
          <t>OUT</t>
        </is>
      </c>
      <c r="E13" s="73" t="inlineStr">
        <is>
          <t>TRANSFER</t>
        </is>
      </c>
      <c r="F13" s="44" t="inlineStr">
        <is>
          <t>LOCKED</t>
        </is>
      </c>
      <c r="G13" s="58" t="inlineStr">
        <is>
          <t>Owner transfer to BoA 9922</t>
        </is>
      </c>
      <c r="H13" s="58" t="inlineStr">
        <is>
          <t>no</t>
        </is>
      </c>
      <c r="I13" s="58" t="inlineStr">
        <is>
          <t>no</t>
        </is>
      </c>
      <c r="J13" s="58" t="inlineStr">
        <is>
          <t>Transfer</t>
        </is>
      </c>
      <c r="K13" s="58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58" t="inlineStr">
        <is>
          <t>2025-02-24</t>
        </is>
      </c>
      <c r="B14" s="58" t="inlineStr">
        <is>
          <t>Jamal M Rifai</t>
        </is>
      </c>
      <c r="C14" s="10" t="n">
        <v>-10</v>
      </c>
      <c r="D14" s="58" t="inlineStr">
        <is>
          <t>OUT</t>
        </is>
      </c>
      <c r="E14" s="73" t="inlineStr">
        <is>
          <t>TEST</t>
        </is>
      </c>
      <c r="F14" s="44" t="inlineStr">
        <is>
          <t>LOCKED</t>
        </is>
      </c>
      <c r="G14" s="58" t="inlineStr">
        <is>
          <t>$10 test (Jamal or Plutus)</t>
        </is>
      </c>
      <c r="H14" s="58" t="inlineStr">
        <is>
          <t>no</t>
        </is>
      </c>
      <c r="I14" s="58" t="inlineStr">
        <is>
          <t>no</t>
        </is>
      </c>
      <c r="J14" s="58" t="inlineStr">
        <is>
          <t>Transfer</t>
        </is>
      </c>
      <c r="K14" s="58" t="inlineStr">
        <is>
          <t>Merchant name: Jamal M Rifai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58" t="inlineStr">
        <is>
          <t>2025-02-24</t>
        </is>
      </c>
      <c r="B15" s="58" t="inlineStr">
        <is>
          <t>Plutus &amp; Mnemosyne, LLC</t>
        </is>
      </c>
      <c r="C15" s="10" t="n">
        <v>-10</v>
      </c>
      <c r="D15" s="58" t="inlineStr">
        <is>
          <t>OUT</t>
        </is>
      </c>
      <c r="E15" s="73" t="inlineStr">
        <is>
          <t>TEST</t>
        </is>
      </c>
      <c r="F15" s="44" t="inlineStr">
        <is>
          <t>LOCKED</t>
        </is>
      </c>
      <c r="G15" s="58" t="inlineStr">
        <is>
          <t>$10 test (Jamal or Plutus)</t>
        </is>
      </c>
      <c r="H15" s="58" t="inlineStr">
        <is>
          <t>no</t>
        </is>
      </c>
      <c r="I15" s="58" t="inlineStr">
        <is>
          <t>no</t>
        </is>
      </c>
      <c r="J15" s="58" t="inlineStr">
        <is>
          <t xml:space="preserve">Business Investment </t>
        </is>
      </c>
      <c r="K15" s="58" t="inlineStr">
        <is>
          <t>Merchant name: Plutus &amp; Mnemosyne, LLC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58" t="inlineStr">
        <is>
          <t>2025-02-24</t>
        </is>
      </c>
      <c r="B16" s="58" t="inlineStr">
        <is>
          <t>EPGC LLC</t>
        </is>
      </c>
      <c r="C16" s="10" t="n">
        <v>10</v>
      </c>
      <c r="D16" s="58" t="inlineStr">
        <is>
          <t>IN</t>
        </is>
      </c>
      <c r="E16" s="73" t="inlineStr">
        <is>
          <t>TEST</t>
        </is>
      </c>
      <c r="F16" s="44" t="inlineStr">
        <is>
          <t>LOCKED</t>
        </is>
      </c>
      <c r="G16" s="58" t="inlineStr">
        <is>
          <t>$10 test wire EPGC</t>
        </is>
      </c>
      <c r="H16" s="58" t="inlineStr">
        <is>
          <t>no</t>
        </is>
      </c>
      <c r="I16" s="58" t="inlineStr">
        <is>
          <t>no</t>
        </is>
      </c>
      <c r="J16" s="58" t="inlineStr">
        <is>
          <t>Transfer</t>
        </is>
      </c>
      <c r="K16" s="58" t="inlineStr">
        <is>
          <t>Incoming Wire; Merchant name: EPGC LLC</t>
        </is>
      </c>
      <c r="L16" s="14" t="inlineStr">
        <is>
          <t>Not P&amp;L.</t>
        </is>
      </c>
    </row>
    <row r="17">
      <c r="A17" s="58" t="inlineStr">
        <is>
          <t>2025-02-25</t>
        </is>
      </c>
      <c r="B17" s="58" t="inlineStr">
        <is>
          <t>Plutus &amp; Mnemosyne, LLC</t>
        </is>
      </c>
      <c r="C17" s="10" t="n">
        <v>-49990</v>
      </c>
      <c r="D17" s="58" t="inlineStr">
        <is>
          <t>OUT</t>
        </is>
      </c>
      <c r="E17" s="69" t="inlineStr">
        <is>
          <t>ART_PURCHASE</t>
        </is>
      </c>
      <c r="F17" s="44" t="inlineStr">
        <is>
          <t>MATCHED</t>
        </is>
      </c>
      <c r="G17" s="58" t="inlineStr">
        <is>
          <t>Three Ancient Mosaics — partial COGS</t>
        </is>
      </c>
      <c r="H17" s="58" t="inlineStr">
        <is>
          <t>no</t>
        </is>
      </c>
      <c r="I17" s="58" t="inlineStr">
        <is>
          <t>no</t>
        </is>
      </c>
      <c r="J17" s="58" t="inlineStr">
        <is>
          <t xml:space="preserve">Business Investment </t>
        </is>
      </c>
      <c r="K17" s="58" t="inlineStr">
        <is>
          <t>Merchant name: Plutus &amp; Mnemosyne, LLC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58" t="inlineStr">
        <is>
          <t>2025-03-10</t>
        </is>
      </c>
      <c r="B18" s="58" t="inlineStr">
        <is>
          <t>EOEB LLC</t>
        </is>
      </c>
      <c r="C18" s="71" t="n">
        <v>14000</v>
      </c>
      <c r="D18" s="58" t="inlineStr">
        <is>
          <t>IN</t>
        </is>
      </c>
      <c r="E18" s="72" t="inlineStr">
        <is>
          <t>ADVISORY</t>
        </is>
      </c>
      <c r="F18" s="72" t="inlineStr">
        <is>
          <t>ASK</t>
        </is>
      </c>
      <c r="G18" s="58" t="inlineStr">
        <is>
          <t>EOEB — sale vs art advisory</t>
        </is>
      </c>
      <c r="H18" s="58" t="inlineStr">
        <is>
          <t>no</t>
        </is>
      </c>
      <c r="I18" s="58" t="inlineStr">
        <is>
          <t>no — ASK first</t>
        </is>
      </c>
      <c r="J18" s="58" t="inlineStr">
        <is>
          <t>Business Income</t>
        </is>
      </c>
      <c r="K18" s="58" t="inlineStr">
        <is>
          <t>Incoming Wire; MAKE A PAYMENT; Merchant name: EOEB LLC</t>
        </is>
      </c>
      <c r="L18" s="14" t="inlineStr">
        <is>
          <t>Invoice / MAKE A PAYMENT. Not matched to an Art Sales object. Proposed advisory (Consultant) until you say otherwise.</t>
        </is>
      </c>
    </row>
    <row r="19">
      <c r="A19" s="58" t="inlineStr">
        <is>
          <t>2025-05-01</t>
        </is>
      </c>
      <c r="B19" s="58" t="inlineStr">
        <is>
          <t>EOEB LLC</t>
        </is>
      </c>
      <c r="C19" s="71" t="n">
        <v>21000</v>
      </c>
      <c r="D19" s="58" t="inlineStr">
        <is>
          <t>IN</t>
        </is>
      </c>
      <c r="E19" s="72" t="inlineStr">
        <is>
          <t>ADVISORY</t>
        </is>
      </c>
      <c r="F19" s="72" t="inlineStr">
        <is>
          <t>ASK</t>
        </is>
      </c>
      <c r="G19" s="58" t="inlineStr">
        <is>
          <t>EOEB — sale vs art advisory</t>
        </is>
      </c>
      <c r="H19" s="58" t="inlineStr">
        <is>
          <t>no</t>
        </is>
      </c>
      <c r="I19" s="58" t="inlineStr">
        <is>
          <t>no — ASK first</t>
        </is>
      </c>
      <c r="J19" s="58" t="inlineStr">
        <is>
          <t>Business Income</t>
        </is>
      </c>
      <c r="K19" s="58" t="inlineStr">
        <is>
          <t>Incoming Wire; MAKE A PAYMENT; Merchant name: EOEB LLC</t>
        </is>
      </c>
      <c r="L19" s="14" t="inlineStr">
        <is>
          <t>Invoice / MAKE A PAYMENT. Proposed advisory until confirmed.</t>
        </is>
      </c>
    </row>
    <row r="20">
      <c r="A20" s="58" t="inlineStr">
        <is>
          <t>2025-05-09</t>
        </is>
      </c>
      <c r="B20" s="58" t="inlineStr">
        <is>
          <t>Erdal Dere (Fortuna)</t>
        </is>
      </c>
      <c r="C20" s="71" t="n">
        <v>-20000</v>
      </c>
      <c r="D20" s="58" t="inlineStr">
        <is>
          <t>OUT</t>
        </is>
      </c>
      <c r="E20" s="69" t="inlineStr">
        <is>
          <t>ART_PURCHASE</t>
        </is>
      </c>
      <c r="F20" s="72" t="inlineStr">
        <is>
          <t>ASK</t>
        </is>
      </c>
      <c r="G20" s="58" t="inlineStr">
        <is>
          <t>Fortuna / Erdal — inventory vs other</t>
        </is>
      </c>
      <c r="H20" s="58" t="inlineStr">
        <is>
          <t>no</t>
        </is>
      </c>
      <c r="I20" s="58" t="inlineStr">
        <is>
          <t>no</t>
        </is>
      </c>
      <c r="J20" s="58" t="inlineStr">
        <is>
          <t xml:space="preserve">Business Investment </t>
        </is>
      </c>
      <c r="K20" s="58" t="inlineStr">
        <is>
          <t>Merchant name: Erdal Dere (Fortuna)</t>
        </is>
      </c>
      <c r="L20" s="14" t="inlineStr">
        <is>
          <t>After seals $13,000. Object name? Inventory purchase (COGS when sold) or something else?</t>
        </is>
      </c>
    </row>
    <row r="21">
      <c r="A21" s="58" t="inlineStr">
        <is>
          <t>2025-05-13</t>
        </is>
      </c>
      <c r="B21" s="58" t="inlineStr">
        <is>
          <t>EOEB LLC</t>
        </is>
      </c>
      <c r="C21" s="71" t="n">
        <v>16200</v>
      </c>
      <c r="D21" s="58" t="inlineStr">
        <is>
          <t>IN</t>
        </is>
      </c>
      <c r="E21" s="72" t="inlineStr">
        <is>
          <t>ADVISORY</t>
        </is>
      </c>
      <c r="F21" s="72" t="inlineStr">
        <is>
          <t>ASK</t>
        </is>
      </c>
      <c r="G21" s="58" t="inlineStr">
        <is>
          <t>EOEB — sale vs art advisory</t>
        </is>
      </c>
      <c r="H21" s="58" t="inlineStr">
        <is>
          <t>no</t>
        </is>
      </c>
      <c r="I21" s="58" t="inlineStr">
        <is>
          <t>no — ASK first</t>
        </is>
      </c>
      <c r="J21" s="58" t="inlineStr">
        <is>
          <t>Business Income</t>
        </is>
      </c>
      <c r="K21" s="58" t="inlineStr">
        <is>
          <t>Incoming Wire; MAKE A PAYMENT; Merchant name: EOEB LLC</t>
        </is>
      </c>
      <c r="L21" s="14" t="inlineStr">
        <is>
          <t>Invoice / MAKE A PAYMENT. Proposed advisory until confirmed.</t>
        </is>
      </c>
    </row>
    <row r="22">
      <c r="A22" s="58" t="inlineStr">
        <is>
          <t>2025-06-12</t>
        </is>
      </c>
      <c r="B22" s="58" t="inlineStr">
        <is>
          <t>EOEB LLC</t>
        </is>
      </c>
      <c r="C22" s="71" t="n">
        <v>3300</v>
      </c>
      <c r="D22" s="58" t="inlineStr">
        <is>
          <t>IN</t>
        </is>
      </c>
      <c r="E22" s="72" t="inlineStr">
        <is>
          <t>ADVISORY</t>
        </is>
      </c>
      <c r="F22" s="72" t="inlineStr">
        <is>
          <t>ASK</t>
        </is>
      </c>
      <c r="G22" s="58" t="inlineStr">
        <is>
          <t>EOEB — sale vs art advisory</t>
        </is>
      </c>
      <c r="H22" s="58" t="inlineStr">
        <is>
          <t>no</t>
        </is>
      </c>
      <c r="I22" s="58" t="inlineStr">
        <is>
          <t>no — ASK first</t>
        </is>
      </c>
      <c r="J22" s="58" t="inlineStr">
        <is>
          <t>Business Income</t>
        </is>
      </c>
      <c r="K22" s="58" t="inlineStr">
        <is>
          <t>Incoming Wire; MAKE A PAYMENT; Merchant name: EOEB LLC</t>
        </is>
      </c>
      <c r="L22" s="14" t="inlineStr">
        <is>
          <t>Invoice / MAKE A PAYMENT. Proposed advisory until confirmed.</t>
        </is>
      </c>
    </row>
    <row r="23">
      <c r="A23" s="58" t="inlineStr">
        <is>
          <t>2025-06-12</t>
        </is>
      </c>
      <c r="B23" s="58" t="inlineStr">
        <is>
          <t>EOEB LLC</t>
        </is>
      </c>
      <c r="C23" s="71" t="n">
        <v>25000</v>
      </c>
      <c r="D23" s="58" t="inlineStr">
        <is>
          <t>IN</t>
        </is>
      </c>
      <c r="E23" s="72" t="inlineStr">
        <is>
          <t>ADVISORY</t>
        </is>
      </c>
      <c r="F23" s="72" t="inlineStr">
        <is>
          <t>ASK</t>
        </is>
      </c>
      <c r="G23" s="58" t="inlineStr">
        <is>
          <t>EOEB — sale vs art advisory</t>
        </is>
      </c>
      <c r="H23" s="58" t="inlineStr">
        <is>
          <t>no</t>
        </is>
      </c>
      <c r="I23" s="58" t="inlineStr">
        <is>
          <t>no — ASK first</t>
        </is>
      </c>
      <c r="J23" s="58" t="inlineStr">
        <is>
          <t>Business Income</t>
        </is>
      </c>
      <c r="K23" s="58" t="inlineStr">
        <is>
          <t>Incoming Wire; MAKE A PAYMENT; Merchant name: EOEB LLC</t>
        </is>
      </c>
      <c r="L23" s="14" t="inlineStr">
        <is>
          <t>Invoice / MAKE A PAYMENT. Proposed advisory until confirmed.</t>
        </is>
      </c>
    </row>
    <row r="24">
      <c r="A24" s="58" t="inlineStr">
        <is>
          <t>2025-06-24</t>
        </is>
      </c>
      <c r="B24" s="58" t="inlineStr">
        <is>
          <t>DAVID AARON LIMITED</t>
        </is>
      </c>
      <c r="C24" s="45" t="n">
        <v>13595</v>
      </c>
      <c r="D24" s="58" t="inlineStr">
        <is>
          <t>IN</t>
        </is>
      </c>
      <c r="E24" s="44" t="inlineStr">
        <is>
          <t>ADVISORY</t>
        </is>
      </c>
      <c r="F24" s="44" t="inlineStr">
        <is>
          <t>LOCKED</t>
        </is>
      </c>
      <c r="G24" s="58" t="inlineStr">
        <is>
          <t>David Aaron Limited — consultant fee</t>
        </is>
      </c>
      <c r="H24" s="58" t="inlineStr">
        <is>
          <t>no</t>
        </is>
      </c>
      <c r="I24" s="58" t="inlineStr">
        <is>
          <t>YES</t>
        </is>
      </c>
      <c r="J24" s="58" t="inlineStr">
        <is>
          <t>Business Income</t>
        </is>
      </c>
      <c r="K24" s="58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58" t="inlineStr">
        <is>
          <t>2025-07-03</t>
        </is>
      </c>
      <c r="B25" s="58" t="inlineStr">
        <is>
          <t>Bank of America - Checking ••9922</t>
        </is>
      </c>
      <c r="C25" s="10" t="n">
        <v>-40000</v>
      </c>
      <c r="D25" s="58" t="inlineStr">
        <is>
          <t>OUT</t>
        </is>
      </c>
      <c r="E25" s="73" t="inlineStr">
        <is>
          <t>TRANSFER</t>
        </is>
      </c>
      <c r="F25" s="44" t="inlineStr">
        <is>
          <t>LOCKED</t>
        </is>
      </c>
      <c r="G25" s="58" t="inlineStr">
        <is>
          <t>Owner transfer to BoA 9922</t>
        </is>
      </c>
      <c r="H25" s="58" t="inlineStr">
        <is>
          <t>no</t>
        </is>
      </c>
      <c r="I25" s="58" t="inlineStr">
        <is>
          <t>no</t>
        </is>
      </c>
      <c r="J25" s="58" t="inlineStr">
        <is>
          <t>Transfer</t>
        </is>
      </c>
      <c r="K25" s="58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58" t="inlineStr">
        <is>
          <t>2025-07-08</t>
        </is>
      </c>
      <c r="B26" s="58" t="inlineStr">
        <is>
          <t>EOEB LLC</t>
        </is>
      </c>
      <c r="C26" s="71" t="n">
        <v>2000</v>
      </c>
      <c r="D26" s="58" t="inlineStr">
        <is>
          <t>IN</t>
        </is>
      </c>
      <c r="E26" s="72" t="inlineStr">
        <is>
          <t>ADVISORY</t>
        </is>
      </c>
      <c r="F26" s="72" t="inlineStr">
        <is>
          <t>ASK</t>
        </is>
      </c>
      <c r="G26" s="58" t="inlineStr">
        <is>
          <t>EOEB — sale vs art advisory</t>
        </is>
      </c>
      <c r="H26" s="58" t="inlineStr">
        <is>
          <t>no</t>
        </is>
      </c>
      <c r="I26" s="58" t="inlineStr">
        <is>
          <t>no — ASK first</t>
        </is>
      </c>
      <c r="J26" s="58" t="inlineStr">
        <is>
          <t>Transfer</t>
        </is>
      </c>
      <c r="K26" s="58" t="inlineStr">
        <is>
          <t>Auto-Routing transfer; Merchant name: EOEB LLC</t>
        </is>
      </c>
      <c r="L26" s="14" t="inlineStr">
        <is>
          <t>Auto-Routing Request or Invoice Payment. Proposed advisory until confirmed.</t>
        </is>
      </c>
    </row>
    <row r="27">
      <c r="A27" s="58" t="inlineStr">
        <is>
          <t>2025-07-09</t>
        </is>
      </c>
      <c r="B27" s="58" t="inlineStr">
        <is>
          <t>Wise Inc</t>
        </is>
      </c>
      <c r="C27" s="45" t="n">
        <v>-334.17</v>
      </c>
      <c r="D27" s="58" t="inlineStr">
        <is>
          <t>OUT</t>
        </is>
      </c>
      <c r="E27" s="70" t="inlineStr">
        <is>
          <t>EPGC_EXPENSE</t>
        </is>
      </c>
      <c r="F27" s="44" t="inlineStr">
        <is>
          <t>LOCKED</t>
        </is>
      </c>
      <c r="G27" s="58" t="inlineStr">
        <is>
          <t>Wise — expertise write-ups (Consultant Fees)</t>
        </is>
      </c>
      <c r="H27" s="58" t="inlineStr">
        <is>
          <t>no</t>
        </is>
      </c>
      <c r="I27" s="58" t="inlineStr">
        <is>
          <t>no</t>
        </is>
      </c>
      <c r="J27" s="58" t="inlineStr">
        <is>
          <t xml:space="preserve">Business Expense </t>
        </is>
      </c>
      <c r="K27" s="58" t="inlineStr">
        <is>
          <t>Wise Inc; WISE; EPGC LLC; Merchant name: Wise Inc</t>
        </is>
      </c>
      <c r="L27" s="14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58" t="inlineStr">
        <is>
          <t>2025-07-11</t>
        </is>
      </c>
      <c r="B28" s="58" t="inlineStr">
        <is>
          <t>L5</t>
        </is>
      </c>
      <c r="C28" s="71" t="n">
        <v>8534.790000000001</v>
      </c>
      <c r="D28" s="58" t="inlineStr">
        <is>
          <t>IN</t>
        </is>
      </c>
      <c r="E28" s="72" t="inlineStr">
        <is>
          <t>ADVISORY</t>
        </is>
      </c>
      <c r="F28" s="72" t="inlineStr">
        <is>
          <t>ASK</t>
        </is>
      </c>
      <c r="G28" s="58" t="inlineStr">
        <is>
          <t>L5 — sale vs art advisory</t>
        </is>
      </c>
      <c r="H28" s="58" t="inlineStr">
        <is>
          <t>no</t>
        </is>
      </c>
      <c r="I28" s="58" t="inlineStr">
        <is>
          <t>no — ASK first</t>
        </is>
      </c>
      <c r="J28" s="58" t="inlineStr">
        <is>
          <t>Business Income</t>
        </is>
      </c>
      <c r="K28" s="58" t="inlineStr">
        <is>
          <t>Auto-Routing transfer; Merchant name: L5</t>
        </is>
      </c>
      <c r="L28" s="14" t="inlineStr">
        <is>
          <t>Auto-Routing Request or Invoice Payment. Same invoice pattern as EOEB. Proposed advisory until confirmed.</t>
        </is>
      </c>
    </row>
    <row r="29">
      <c r="A29" s="58" t="inlineStr">
        <is>
          <t>2025-07-15</t>
        </is>
      </c>
      <c r="B29" s="58" t="inlineStr">
        <is>
          <t>L5</t>
        </is>
      </c>
      <c r="C29" s="71" t="n">
        <v>2500</v>
      </c>
      <c r="D29" s="58" t="inlineStr">
        <is>
          <t>IN</t>
        </is>
      </c>
      <c r="E29" s="72" t="inlineStr">
        <is>
          <t>ADVISORY</t>
        </is>
      </c>
      <c r="F29" s="72" t="inlineStr">
        <is>
          <t>ASK</t>
        </is>
      </c>
      <c r="G29" s="58" t="inlineStr">
        <is>
          <t>L5 — sale vs art advisory</t>
        </is>
      </c>
      <c r="H29" s="58" t="inlineStr">
        <is>
          <t>no</t>
        </is>
      </c>
      <c r="I29" s="58" t="inlineStr">
        <is>
          <t>no — ASK first</t>
        </is>
      </c>
      <c r="J29" s="58" t="inlineStr">
        <is>
          <t>Business Income</t>
        </is>
      </c>
      <c r="K29" s="58" t="inlineStr">
        <is>
          <t>Auto-Routing transfer; Merchant name: L5</t>
        </is>
      </c>
      <c r="L29" s="14" t="inlineStr">
        <is>
          <t>Auto-Routing Request or Invoice Payment. Proposed advisory until confirmed.</t>
        </is>
      </c>
    </row>
    <row r="30">
      <c r="A30" s="58" t="inlineStr">
        <is>
          <t>2025-07-15</t>
        </is>
      </c>
      <c r="B30" s="58" t="inlineStr">
        <is>
          <t>L5</t>
        </is>
      </c>
      <c r="C30" s="71" t="n">
        <v>50000</v>
      </c>
      <c r="D30" s="58" t="inlineStr">
        <is>
          <t>IN</t>
        </is>
      </c>
      <c r="E30" s="72" t="inlineStr">
        <is>
          <t>ADVISORY</t>
        </is>
      </c>
      <c r="F30" s="72" t="inlineStr">
        <is>
          <t>ASK</t>
        </is>
      </c>
      <c r="G30" s="58" t="inlineStr">
        <is>
          <t>L5 $50,000 — sale vs art advisory vs pass-through</t>
        </is>
      </c>
      <c r="H30" s="58" t="inlineStr">
        <is>
          <t>no</t>
        </is>
      </c>
      <c r="I30" s="58" t="inlineStr">
        <is>
          <t>no — ASK first</t>
        </is>
      </c>
      <c r="J30" s="58" t="inlineStr">
        <is>
          <t>Transfer</t>
        </is>
      </c>
      <c r="K30" s="58" t="inlineStr">
        <is>
          <t>Auto-Routing transfer; Merchant name: L5</t>
        </is>
      </c>
      <c r="L30" s="14" t="inlineStr">
        <is>
          <t>Largest L5 invoice. Sale of an object, advisory, or pass-through? Same week as Aysel $50k IN and Fortuna $45k OUT.</t>
        </is>
      </c>
    </row>
    <row r="31">
      <c r="A31" s="58" t="inlineStr">
        <is>
          <t>2025-07-18</t>
        </is>
      </c>
      <c r="B31" s="58" t="inlineStr">
        <is>
          <t>Aysel Dere</t>
        </is>
      </c>
      <c r="C31" s="71" t="n">
        <v>50000</v>
      </c>
      <c r="D31" s="58" t="inlineStr">
        <is>
          <t>IN</t>
        </is>
      </c>
      <c r="E31" s="72" t="inlineStr">
        <is>
          <t>ASK</t>
        </is>
      </c>
      <c r="F31" s="72" t="inlineStr">
        <is>
          <t>ASK</t>
        </is>
      </c>
      <c r="G31" s="58" t="inlineStr">
        <is>
          <t>Aysel Dere $50,000 IN</t>
        </is>
      </c>
      <c r="H31" s="58" t="inlineStr">
        <is>
          <t>no</t>
        </is>
      </c>
      <c r="I31" s="58" t="inlineStr">
        <is>
          <t>no</t>
        </is>
      </c>
      <c r="J31" s="58" t="inlineStr">
        <is>
          <t>Transfer</t>
        </is>
      </c>
      <c r="K31" s="58" t="inlineStr">
        <is>
          <t>Merchant name: Aysel Dere</t>
        </is>
      </c>
      <c r="L31" s="14" t="inlineStr">
        <is>
          <t>Same week as L5 $50k, Fortuna $45k OUT (7/21), Erdal $26k IN (7/24). Sale, family/related transfer, or inventory reverse?</t>
        </is>
      </c>
    </row>
    <row r="32">
      <c r="A32" s="58" t="inlineStr">
        <is>
          <t>2025-07-21</t>
        </is>
      </c>
      <c r="B32" s="58" t="inlineStr">
        <is>
          <t>Erdal Dere (Fortuna)</t>
        </is>
      </c>
      <c r="C32" s="71" t="n">
        <v>-45000</v>
      </c>
      <c r="D32" s="58" t="inlineStr">
        <is>
          <t>OUT</t>
        </is>
      </c>
      <c r="E32" s="69" t="inlineStr">
        <is>
          <t>ART_PURCHASE</t>
        </is>
      </c>
      <c r="F32" s="72" t="inlineStr">
        <is>
          <t>ASK</t>
        </is>
      </c>
      <c r="G32" s="58" t="inlineStr">
        <is>
          <t>Fortuna / Erdal — inventory vs other</t>
        </is>
      </c>
      <c r="H32" s="58" t="inlineStr">
        <is>
          <t>no</t>
        </is>
      </c>
      <c r="I32" s="58" t="inlineStr">
        <is>
          <t>no</t>
        </is>
      </c>
      <c r="J32" s="58" t="inlineStr">
        <is>
          <t xml:space="preserve">Business Investment </t>
        </is>
      </c>
      <c r="K32" s="58" t="inlineStr">
        <is>
          <t>Merchant name: Erdal Dere (Fortuna)</t>
        </is>
      </c>
      <c r="L32" s="14" t="inlineStr">
        <is>
          <t>Object name? Ties to Aysel $50k / Erdal $26k the same week?</t>
        </is>
      </c>
    </row>
    <row r="33">
      <c r="A33" s="58" t="inlineStr">
        <is>
          <t>2025-07-24</t>
        </is>
      </c>
      <c r="B33" s="58" t="inlineStr">
        <is>
          <t>ERDAL DERE</t>
        </is>
      </c>
      <c r="C33" s="71" t="n">
        <v>26000</v>
      </c>
      <c r="D33" s="58" t="inlineStr">
        <is>
          <t>IN</t>
        </is>
      </c>
      <c r="E33" s="70" t="inlineStr">
        <is>
          <t>ART_SALE</t>
        </is>
      </c>
      <c r="F33" s="72" t="inlineStr">
        <is>
          <t>ASK</t>
        </is>
      </c>
      <c r="G33" s="58" t="inlineStr">
        <is>
          <t>Erdal Dere $26,000 IN — sale vs other</t>
        </is>
      </c>
      <c r="H33" s="58" t="inlineStr">
        <is>
          <t>no</t>
        </is>
      </c>
      <c r="I33" s="58" t="inlineStr">
        <is>
          <t>no</t>
        </is>
      </c>
      <c r="J33" s="58" t="inlineStr">
        <is>
          <t>Business Income</t>
        </is>
      </c>
      <c r="K33" s="58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58" t="inlineStr">
        <is>
          <t>2025-07-28</t>
        </is>
      </c>
      <c r="B34" s="58" t="inlineStr">
        <is>
          <t>Bank of America - Checking ••9922</t>
        </is>
      </c>
      <c r="C34" s="10" t="n">
        <v>-60000</v>
      </c>
      <c r="D34" s="58" t="inlineStr">
        <is>
          <t>OUT</t>
        </is>
      </c>
      <c r="E34" s="73" t="inlineStr">
        <is>
          <t>TRANSFER</t>
        </is>
      </c>
      <c r="F34" s="44" t="inlineStr">
        <is>
          <t>LOCKED</t>
        </is>
      </c>
      <c r="G34" s="58" t="inlineStr">
        <is>
          <t>Owner transfer to BoA 9922</t>
        </is>
      </c>
      <c r="H34" s="58" t="inlineStr">
        <is>
          <t>no</t>
        </is>
      </c>
      <c r="I34" s="58" t="inlineStr">
        <is>
          <t>no</t>
        </is>
      </c>
      <c r="J34" s="58" t="inlineStr">
        <is>
          <t>Transfer</t>
        </is>
      </c>
      <c r="K34" s="58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58" t="inlineStr">
        <is>
          <t>2025-08-15</t>
        </is>
      </c>
      <c r="B35" s="58" t="inlineStr">
        <is>
          <t>Erdal Dere (Fortuna)</t>
        </is>
      </c>
      <c r="C35" s="71" t="n">
        <v>-20000</v>
      </c>
      <c r="D35" s="58" t="inlineStr">
        <is>
          <t>OUT</t>
        </is>
      </c>
      <c r="E35" s="69" t="inlineStr">
        <is>
          <t>ART_PURCHASE</t>
        </is>
      </c>
      <c r="F35" s="72" t="inlineStr">
        <is>
          <t>ASK</t>
        </is>
      </c>
      <c r="G35" s="58" t="inlineStr">
        <is>
          <t>Fortuna / Erdal — inventory vs other</t>
        </is>
      </c>
      <c r="H35" s="58" t="inlineStr">
        <is>
          <t>no</t>
        </is>
      </c>
      <c r="I35" s="58" t="inlineStr">
        <is>
          <t>no</t>
        </is>
      </c>
      <c r="J35" s="58" t="inlineStr">
        <is>
          <t xml:space="preserve">Business Investment </t>
        </is>
      </c>
      <c r="K35" s="58" t="inlineStr">
        <is>
          <t>Merchant name: Erdal Dere (Fortuna)</t>
        </is>
      </c>
      <c r="L35" s="14" t="inlineStr">
        <is>
          <t>Object name?</t>
        </is>
      </c>
    </row>
    <row r="36">
      <c r="A36" s="58" t="inlineStr">
        <is>
          <t>2025-08-29</t>
        </is>
      </c>
      <c r="B36" s="58" t="inlineStr">
        <is>
          <t>EOEB LLC</t>
        </is>
      </c>
      <c r="C36" s="71" t="n">
        <v>10000</v>
      </c>
      <c r="D36" s="58" t="inlineStr">
        <is>
          <t>IN</t>
        </is>
      </c>
      <c r="E36" s="72" t="inlineStr">
        <is>
          <t>ADVISORY</t>
        </is>
      </c>
      <c r="F36" s="72" t="inlineStr">
        <is>
          <t>ASK</t>
        </is>
      </c>
      <c r="G36" s="58" t="inlineStr">
        <is>
          <t>EOEB — sale vs art advisory</t>
        </is>
      </c>
      <c r="H36" s="58" t="inlineStr">
        <is>
          <t>no</t>
        </is>
      </c>
      <c r="I36" s="58" t="inlineStr">
        <is>
          <t>no — ASK first</t>
        </is>
      </c>
      <c r="J36" s="58" t="inlineStr">
        <is>
          <t>Business Income</t>
        </is>
      </c>
      <c r="K36" s="58" t="inlineStr">
        <is>
          <t>Auto-Routing transfer; Merchant name: EOEB LLC</t>
        </is>
      </c>
      <c r="L36" s="14" t="inlineStr">
        <is>
          <t>Auto-Routing. Proposed advisory until confirmed.</t>
        </is>
      </c>
    </row>
    <row r="37">
      <c r="A37" s="58" t="inlineStr">
        <is>
          <t>2025-09-02</t>
        </is>
      </c>
      <c r="B37" s="58" t="inlineStr">
        <is>
          <t>L5</t>
        </is>
      </c>
      <c r="C37" s="71" t="n">
        <v>5042</v>
      </c>
      <c r="D37" s="58" t="inlineStr">
        <is>
          <t>IN</t>
        </is>
      </c>
      <c r="E37" s="72" t="inlineStr">
        <is>
          <t>ADVISORY</t>
        </is>
      </c>
      <c r="F37" s="72" t="inlineStr">
        <is>
          <t>ASK</t>
        </is>
      </c>
      <c r="G37" s="58" t="inlineStr">
        <is>
          <t>L5 — sale vs art advisory</t>
        </is>
      </c>
      <c r="H37" s="58" t="inlineStr">
        <is>
          <t>no</t>
        </is>
      </c>
      <c r="I37" s="58" t="inlineStr">
        <is>
          <t>no — ASK first</t>
        </is>
      </c>
      <c r="J37" s="58" t="inlineStr">
        <is>
          <t>Business Income</t>
        </is>
      </c>
      <c r="K37" s="58" t="inlineStr">
        <is>
          <t>Auto-Routing transfer; Merchant name: L5</t>
        </is>
      </c>
      <c r="L37" s="14" t="inlineStr">
        <is>
          <t>Auto-Routing. Proposed advisory until confirmed.</t>
        </is>
      </c>
    </row>
    <row r="38">
      <c r="A38" s="58" t="inlineStr">
        <is>
          <t>2025-09-04</t>
        </is>
      </c>
      <c r="B38" s="58" t="inlineStr">
        <is>
          <t>COINBASE INC.</t>
        </is>
      </c>
      <c r="C38" s="45" t="n">
        <v>-3000</v>
      </c>
      <c r="D38" s="58" t="inlineStr">
        <is>
          <t>OUT</t>
        </is>
      </c>
      <c r="E38" s="74" t="inlineStr">
        <is>
          <t>INVESTMENT</t>
        </is>
      </c>
      <c r="F38" s="44" t="inlineStr">
        <is>
          <t>LOCKED</t>
        </is>
      </c>
      <c r="G38" s="58" t="inlineStr">
        <is>
          <t>Coinbase ACH funding</t>
        </is>
      </c>
      <c r="H38" s="58" t="inlineStr">
        <is>
          <t>no</t>
        </is>
      </c>
      <c r="I38" s="58" t="inlineStr">
        <is>
          <t>no</t>
        </is>
      </c>
      <c r="J38" s="58" t="inlineStr">
        <is>
          <t>Transfer</t>
        </is>
      </c>
      <c r="K38" s="58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58" t="inlineStr">
        <is>
          <t>2025-09-19</t>
        </is>
      </c>
      <c r="B39" s="58" t="inlineStr">
        <is>
          <t>EOEB LLC</t>
        </is>
      </c>
      <c r="C39" s="71" t="n">
        <v>5000</v>
      </c>
      <c r="D39" s="58" t="inlineStr">
        <is>
          <t>IN</t>
        </is>
      </c>
      <c r="E39" s="72" t="inlineStr">
        <is>
          <t>ADVISORY</t>
        </is>
      </c>
      <c r="F39" s="72" t="inlineStr">
        <is>
          <t>ASK</t>
        </is>
      </c>
      <c r="G39" s="58" t="inlineStr">
        <is>
          <t>EOEB — sale vs art advisory</t>
        </is>
      </c>
      <c r="H39" s="58" t="inlineStr">
        <is>
          <t>no</t>
        </is>
      </c>
      <c r="I39" s="58" t="inlineStr">
        <is>
          <t>no — ASK first</t>
        </is>
      </c>
      <c r="J39" s="58" t="inlineStr">
        <is>
          <t>Business Income</t>
        </is>
      </c>
      <c r="K39" s="58" t="inlineStr">
        <is>
          <t>Auto-Routing transfer; Merchant name: EOEB LLC</t>
        </is>
      </c>
      <c r="L39" s="14" t="inlineStr">
        <is>
          <t>Auto-Routing. Proposed advisory until confirmed.</t>
        </is>
      </c>
    </row>
    <row r="40">
      <c r="A40" s="58" t="inlineStr">
        <is>
          <t>2025-09-23</t>
        </is>
      </c>
      <c r="B40" s="58" t="inlineStr">
        <is>
          <t>L5</t>
        </is>
      </c>
      <c r="C40" s="71" t="n">
        <v>9119.27</v>
      </c>
      <c r="D40" s="58" t="inlineStr">
        <is>
          <t>IN</t>
        </is>
      </c>
      <c r="E40" s="72" t="inlineStr">
        <is>
          <t>ADVISORY</t>
        </is>
      </c>
      <c r="F40" s="72" t="inlineStr">
        <is>
          <t>ASK</t>
        </is>
      </c>
      <c r="G40" s="58" t="inlineStr">
        <is>
          <t>L5 — sale vs art advisory</t>
        </is>
      </c>
      <c r="H40" s="58" t="inlineStr">
        <is>
          <t>no</t>
        </is>
      </c>
      <c r="I40" s="58" t="inlineStr">
        <is>
          <t>no — ASK first</t>
        </is>
      </c>
      <c r="J40" s="58" t="inlineStr">
        <is>
          <t>Business Income</t>
        </is>
      </c>
      <c r="K40" s="58" t="inlineStr">
        <is>
          <t>Auto-Routing transfer; Merchant name: L5</t>
        </is>
      </c>
      <c r="L40" s="14" t="inlineStr">
        <is>
          <t>Auto-Routing. Proposed advisory until confirmed.</t>
        </is>
      </c>
    </row>
    <row r="41">
      <c r="A41" s="58" t="inlineStr">
        <is>
          <t>2025-09-25</t>
        </is>
      </c>
      <c r="B41" s="58" t="inlineStr">
        <is>
          <t>Bank of America - Checking ••9922</t>
        </is>
      </c>
      <c r="C41" s="10" t="n">
        <v>-40000</v>
      </c>
      <c r="D41" s="58" t="inlineStr">
        <is>
          <t>OUT</t>
        </is>
      </c>
      <c r="E41" s="73" t="inlineStr">
        <is>
          <t>TRANSFER</t>
        </is>
      </c>
      <c r="F41" s="44" t="inlineStr">
        <is>
          <t>LOCKED</t>
        </is>
      </c>
      <c r="G41" s="58" t="inlineStr">
        <is>
          <t>Owner transfer to BoA 9922</t>
        </is>
      </c>
      <c r="H41" s="58" t="inlineStr">
        <is>
          <t>no</t>
        </is>
      </c>
      <c r="I41" s="58" t="inlineStr">
        <is>
          <t>no</t>
        </is>
      </c>
      <c r="J41" s="58" t="inlineStr">
        <is>
          <t>Transfer</t>
        </is>
      </c>
      <c r="K41" s="58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58" t="inlineStr">
        <is>
          <t>2025-09-25</t>
        </is>
      </c>
      <c r="B42" s="58" t="inlineStr">
        <is>
          <t>EOEB LLC</t>
        </is>
      </c>
      <c r="C42" s="71" t="n">
        <v>3100</v>
      </c>
      <c r="D42" s="58" t="inlineStr">
        <is>
          <t>IN</t>
        </is>
      </c>
      <c r="E42" s="72" t="inlineStr">
        <is>
          <t>ADVISORY</t>
        </is>
      </c>
      <c r="F42" s="72" t="inlineStr">
        <is>
          <t>ASK</t>
        </is>
      </c>
      <c r="G42" s="58" t="inlineStr">
        <is>
          <t>EOEB — sale vs art advisory</t>
        </is>
      </c>
      <c r="H42" s="58" t="inlineStr">
        <is>
          <t>no</t>
        </is>
      </c>
      <c r="I42" s="58" t="inlineStr">
        <is>
          <t>no — ASK first</t>
        </is>
      </c>
      <c r="J42" s="58" t="inlineStr">
        <is>
          <t>Business Income</t>
        </is>
      </c>
      <c r="K42" s="58" t="inlineStr">
        <is>
          <t>Auto-Routing transfer; Merchant name: EOEB LLC</t>
        </is>
      </c>
      <c r="L42" s="14" t="inlineStr">
        <is>
          <t>Auto-Routing. Proposed advisory until confirmed.</t>
        </is>
      </c>
    </row>
    <row r="43">
      <c r="A43" s="58" t="inlineStr">
        <is>
          <t>2025-09-29</t>
        </is>
      </c>
      <c r="B43" s="58" t="inlineStr">
        <is>
          <t>COINBASE INC.</t>
        </is>
      </c>
      <c r="C43" s="45" t="n">
        <v>-6000</v>
      </c>
      <c r="D43" s="58" t="inlineStr">
        <is>
          <t>OUT</t>
        </is>
      </c>
      <c r="E43" s="74" t="inlineStr">
        <is>
          <t>INVESTMENT</t>
        </is>
      </c>
      <c r="F43" s="44" t="inlineStr">
        <is>
          <t>LOCKED</t>
        </is>
      </c>
      <c r="G43" s="58" t="inlineStr">
        <is>
          <t>Coinbase ACH funding</t>
        </is>
      </c>
      <c r="H43" s="58" t="inlineStr">
        <is>
          <t>no</t>
        </is>
      </c>
      <c r="I43" s="58" t="inlineStr">
        <is>
          <t>no</t>
        </is>
      </c>
      <c r="J43" s="58" t="inlineStr">
        <is>
          <t>Transfer</t>
        </is>
      </c>
      <c r="K43" s="58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58" t="inlineStr">
        <is>
          <t>2025-10-01</t>
        </is>
      </c>
      <c r="B44" s="58" t="inlineStr">
        <is>
          <t>COINBASE INC.</t>
        </is>
      </c>
      <c r="C44" s="45" t="n">
        <v>-10000</v>
      </c>
      <c r="D44" s="58" t="inlineStr">
        <is>
          <t>OUT</t>
        </is>
      </c>
      <c r="E44" s="74" t="inlineStr">
        <is>
          <t>INVESTMENT</t>
        </is>
      </c>
      <c r="F44" s="44" t="inlineStr">
        <is>
          <t>LOCKED</t>
        </is>
      </c>
      <c r="G44" s="58" t="inlineStr">
        <is>
          <t>Coinbase ACH funding</t>
        </is>
      </c>
      <c r="H44" s="58" t="inlineStr">
        <is>
          <t>no</t>
        </is>
      </c>
      <c r="I44" s="58" t="inlineStr">
        <is>
          <t>no</t>
        </is>
      </c>
      <c r="J44" s="58" t="inlineStr">
        <is>
          <t>Transfer</t>
        </is>
      </c>
      <c r="K44" s="58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58" t="inlineStr">
        <is>
          <t>2025-10-01</t>
        </is>
      </c>
      <c r="B45" s="58" t="inlineStr">
        <is>
          <t>EOEB LLC</t>
        </is>
      </c>
      <c r="C45" s="71" t="n">
        <v>10000</v>
      </c>
      <c r="D45" s="58" t="inlineStr">
        <is>
          <t>IN</t>
        </is>
      </c>
      <c r="E45" s="72" t="inlineStr">
        <is>
          <t>ADVISORY</t>
        </is>
      </c>
      <c r="F45" s="72" t="inlineStr">
        <is>
          <t>ASK</t>
        </is>
      </c>
      <c r="G45" s="58" t="inlineStr">
        <is>
          <t>EOEB — sale vs art advisory</t>
        </is>
      </c>
      <c r="H45" s="58" t="inlineStr">
        <is>
          <t>no</t>
        </is>
      </c>
      <c r="I45" s="58" t="inlineStr">
        <is>
          <t>no — ASK first</t>
        </is>
      </c>
      <c r="J45" s="58" t="inlineStr">
        <is>
          <t>Transfer</t>
        </is>
      </c>
      <c r="K45" s="58" t="inlineStr">
        <is>
          <t>Auto-Routing transfer; Merchant name: EOEB LLC</t>
        </is>
      </c>
      <c r="L45" s="14" t="inlineStr">
        <is>
          <t>Auto-Routing. Proposed advisory until confirmed.</t>
        </is>
      </c>
    </row>
    <row r="46">
      <c r="A46" s="58" t="inlineStr">
        <is>
          <t>2025-10-09</t>
        </is>
      </c>
      <c r="B46" s="58" t="inlineStr">
        <is>
          <t>Bank of America - Checking ••9922</t>
        </is>
      </c>
      <c r="C46" s="10" t="n">
        <v>-6172</v>
      </c>
      <c r="D46" s="58" t="inlineStr">
        <is>
          <t>OUT</t>
        </is>
      </c>
      <c r="E46" s="73" t="inlineStr">
        <is>
          <t>TRANSFER</t>
        </is>
      </c>
      <c r="F46" s="44" t="inlineStr">
        <is>
          <t>LOCKED</t>
        </is>
      </c>
      <c r="G46" s="58" t="inlineStr">
        <is>
          <t>Owner transfer to BoA 9922</t>
        </is>
      </c>
      <c r="H46" s="58" t="inlineStr">
        <is>
          <t>no</t>
        </is>
      </c>
      <c r="I46" s="58" t="inlineStr">
        <is>
          <t>no</t>
        </is>
      </c>
      <c r="J46" s="58" t="inlineStr">
        <is>
          <t>Transfer</t>
        </is>
      </c>
      <c r="K46" s="58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58" t="inlineStr">
        <is>
          <t>2025-10-09</t>
        </is>
      </c>
      <c r="B47" s="58" t="inlineStr">
        <is>
          <t>ERDAL DERE</t>
        </is>
      </c>
      <c r="C47" s="71" t="n">
        <v>25000</v>
      </c>
      <c r="D47" s="58" t="inlineStr">
        <is>
          <t>IN</t>
        </is>
      </c>
      <c r="E47" s="70" t="inlineStr">
        <is>
          <t>ART_SALE</t>
        </is>
      </c>
      <c r="F47" s="72" t="inlineStr">
        <is>
          <t>ASK</t>
        </is>
      </c>
      <c r="G47" s="58" t="inlineStr">
        <is>
          <t>Erdal Dere $25,000 IN — sale vs other</t>
        </is>
      </c>
      <c r="H47" s="58" t="inlineStr">
        <is>
          <t>no</t>
        </is>
      </c>
      <c r="I47" s="58" t="inlineStr">
        <is>
          <t>no</t>
        </is>
      </c>
      <c r="J47" s="58" t="inlineStr">
        <is>
          <t>Business Income</t>
        </is>
      </c>
      <c r="K47" s="58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58" t="inlineStr">
        <is>
          <t>2025-10-14</t>
        </is>
      </c>
      <c r="B48" s="58" t="inlineStr">
        <is>
          <t>Newstar Jewelers</t>
        </is>
      </c>
      <c r="C48" s="45" t="n">
        <v>-8000</v>
      </c>
      <c r="D48" s="58" t="inlineStr">
        <is>
          <t>OUT</t>
        </is>
      </c>
      <c r="E48" s="69" t="inlineStr">
        <is>
          <t>COGS_JEWELRY</t>
        </is>
      </c>
      <c r="F48" s="44" t="inlineStr">
        <is>
          <t>LOCKED</t>
        </is>
      </c>
      <c r="G48" s="58" t="inlineStr">
        <is>
          <t>Newstar Jewelers — jewelry fabrication</t>
        </is>
      </c>
      <c r="H48" s="58" t="inlineStr">
        <is>
          <t>no</t>
        </is>
      </c>
      <c r="I48" s="58" t="inlineStr">
        <is>
          <t>no</t>
        </is>
      </c>
      <c r="J48" s="58" t="inlineStr">
        <is>
          <t xml:space="preserve">Business Expense </t>
        </is>
      </c>
      <c r="K48" s="58" t="inlineStr">
        <is>
          <t>Merchant name: Newstar Jewelers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58" t="inlineStr">
        <is>
          <t>2025-10-15</t>
        </is>
      </c>
      <c r="B49" s="58" t="inlineStr">
        <is>
          <t>EOEB LLC</t>
        </is>
      </c>
      <c r="C49" s="71" t="n">
        <v>16000</v>
      </c>
      <c r="D49" s="58" t="inlineStr">
        <is>
          <t>IN</t>
        </is>
      </c>
      <c r="E49" s="72" t="inlineStr">
        <is>
          <t>ADVISORY</t>
        </is>
      </c>
      <c r="F49" s="72" t="inlineStr">
        <is>
          <t>ASK</t>
        </is>
      </c>
      <c r="G49" s="58" t="inlineStr">
        <is>
          <t>EOEB — sale vs art advisory</t>
        </is>
      </c>
      <c r="H49" s="58" t="inlineStr">
        <is>
          <t>no</t>
        </is>
      </c>
      <c r="I49" s="58" t="inlineStr">
        <is>
          <t>no — ASK first</t>
        </is>
      </c>
      <c r="J49" s="58" t="inlineStr">
        <is>
          <t>Business Income</t>
        </is>
      </c>
      <c r="K49" s="58" t="inlineStr">
        <is>
          <t>Auto-Routing transfer; Merchant name: EOEB LLC</t>
        </is>
      </c>
      <c r="L49" s="14" t="inlineStr">
        <is>
          <t>Auto-Routing. Proposed advisory until confirmed.</t>
        </is>
      </c>
    </row>
    <row r="50">
      <c r="A50" s="58" t="inlineStr">
        <is>
          <t>2025-10-20</t>
        </is>
      </c>
      <c r="B50" s="58" t="inlineStr">
        <is>
          <t>JACK EDWARD KOZIOL &amp; TRACY HOFFMAN</t>
        </is>
      </c>
      <c r="C50" s="10" t="n">
        <v>150000</v>
      </c>
      <c r="D50" s="58" t="inlineStr">
        <is>
          <t>IN</t>
        </is>
      </c>
      <c r="E50" s="74" t="inlineStr">
        <is>
          <t>PASS_THROUGH</t>
        </is>
      </c>
      <c r="F50" s="44" t="inlineStr">
        <is>
          <t>LOCKED</t>
        </is>
      </c>
      <c r="G50" s="58" t="inlineStr">
        <is>
          <t>Jack Koziol &amp; Tracy Hoffman $150,000 IN</t>
        </is>
      </c>
      <c r="H50" s="58" t="inlineStr">
        <is>
          <t>no</t>
        </is>
      </c>
      <c r="I50" s="58" t="inlineStr">
        <is>
          <t>no</t>
        </is>
      </c>
      <c r="J50" s="58" t="inlineStr">
        <is>
          <t>Transfer</t>
        </is>
      </c>
      <c r="K50" s="58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58" t="inlineStr">
        <is>
          <t>2025-10-21</t>
        </is>
      </c>
      <c r="B51" s="58" t="inlineStr">
        <is>
          <t>Ariadne Demirjian LLC</t>
        </is>
      </c>
      <c r="C51" s="10" t="n">
        <v>-150000</v>
      </c>
      <c r="D51" s="58" t="inlineStr">
        <is>
          <t>OUT</t>
        </is>
      </c>
      <c r="E51" s="74" t="inlineStr">
        <is>
          <t>PASS_THROUGH</t>
        </is>
      </c>
      <c r="F51" s="44" t="inlineStr">
        <is>
          <t>LOCKED</t>
        </is>
      </c>
      <c r="G51" s="58" t="inlineStr">
        <is>
          <t>Ariadne Demirjian LLC $150,000 OUT</t>
        </is>
      </c>
      <c r="H51" s="58" t="inlineStr">
        <is>
          <t>no</t>
        </is>
      </c>
      <c r="I51" s="58" t="inlineStr">
        <is>
          <t>no</t>
        </is>
      </c>
      <c r="J51" s="58" t="inlineStr">
        <is>
          <t>Transfer</t>
        </is>
      </c>
      <c r="K51" s="58" t="inlineStr">
        <is>
          <t>Merchant name: Ariadne Demirjian LLC</t>
        </is>
      </c>
      <c r="L51" s="14" t="inlineStr">
        <is>
          <t>User 2026-09-20: pass-through, not a purchase. Same window as Koziol $150,000 IN. Not P&amp;L.</t>
        </is>
      </c>
    </row>
    <row r="52">
      <c r="A52" s="58" t="inlineStr">
        <is>
          <t>2025-10-21</t>
        </is>
      </c>
      <c r="B52" s="58" t="inlineStr">
        <is>
          <t>L5</t>
        </is>
      </c>
      <c r="C52" s="71" t="n">
        <v>7500</v>
      </c>
      <c r="D52" s="58" t="inlineStr">
        <is>
          <t>IN</t>
        </is>
      </c>
      <c r="E52" s="72" t="inlineStr">
        <is>
          <t>ADVISORY</t>
        </is>
      </c>
      <c r="F52" s="72" t="inlineStr">
        <is>
          <t>ASK</t>
        </is>
      </c>
      <c r="G52" s="58" t="inlineStr">
        <is>
          <t>L5 — sale vs art advisory</t>
        </is>
      </c>
      <c r="H52" s="58" t="inlineStr">
        <is>
          <t>no</t>
        </is>
      </c>
      <c r="I52" s="58" t="inlineStr">
        <is>
          <t>no — ASK first</t>
        </is>
      </c>
      <c r="J52" s="58" t="inlineStr">
        <is>
          <t>Business Income</t>
        </is>
      </c>
      <c r="K52" s="58" t="inlineStr">
        <is>
          <t>Auto-Routing transfer; Merchant name: L5</t>
        </is>
      </c>
      <c r="L52" s="14" t="inlineStr">
        <is>
          <t>Auto-Routing. Proposed advisory until confirmed.</t>
        </is>
      </c>
    </row>
    <row r="53">
      <c r="A53" s="58" t="inlineStr">
        <is>
          <t>2025-10-24</t>
        </is>
      </c>
      <c r="B53" s="58" t="inlineStr">
        <is>
          <t>EOEB LLC</t>
        </is>
      </c>
      <c r="C53" s="71" t="n">
        <v>1500</v>
      </c>
      <c r="D53" s="58" t="inlineStr">
        <is>
          <t>IN</t>
        </is>
      </c>
      <c r="E53" s="72" t="inlineStr">
        <is>
          <t>ADVISORY</t>
        </is>
      </c>
      <c r="F53" s="72" t="inlineStr">
        <is>
          <t>ASK</t>
        </is>
      </c>
      <c r="G53" s="58" t="inlineStr">
        <is>
          <t>EOEB — sale vs art advisory</t>
        </is>
      </c>
      <c r="H53" s="58" t="inlineStr">
        <is>
          <t>no</t>
        </is>
      </c>
      <c r="I53" s="58" t="inlineStr">
        <is>
          <t>no — ASK first</t>
        </is>
      </c>
      <c r="J53" s="58" t="inlineStr">
        <is>
          <t>Transfer</t>
        </is>
      </c>
      <c r="K53" s="58" t="inlineStr">
        <is>
          <t>Auto-Routing transfer; Merchant name: EOEB LLC</t>
        </is>
      </c>
      <c r="L53" s="14" t="inlineStr">
        <is>
          <t>Auto-Routing. Proposed advisory until confirmed.</t>
        </is>
      </c>
    </row>
    <row r="54">
      <c r="A54" s="58" t="inlineStr">
        <is>
          <t>2025-10-30</t>
        </is>
      </c>
      <c r="B54" s="58" t="inlineStr">
        <is>
          <t>Wise Inc</t>
        </is>
      </c>
      <c r="C54" s="45" t="n">
        <v>-658.63</v>
      </c>
      <c r="D54" s="58" t="inlineStr">
        <is>
          <t>OUT</t>
        </is>
      </c>
      <c r="E54" s="70" t="inlineStr">
        <is>
          <t>EPGC_EXPENSE</t>
        </is>
      </c>
      <c r="F54" s="44" t="inlineStr">
        <is>
          <t>LOCKED</t>
        </is>
      </c>
      <c r="G54" s="58" t="inlineStr">
        <is>
          <t>Wise — expertise write-ups (Consultant Fees)</t>
        </is>
      </c>
      <c r="H54" s="58" t="inlineStr">
        <is>
          <t>no</t>
        </is>
      </c>
      <c r="I54" s="58" t="inlineStr">
        <is>
          <t>no</t>
        </is>
      </c>
      <c r="J54" s="58" t="inlineStr">
        <is>
          <t xml:space="preserve">Business Expense </t>
        </is>
      </c>
      <c r="K54" s="58" t="inlineStr">
        <is>
          <t>Wise Inc; WISE; EPGC LLC; Merchant name: Wise Inc</t>
        </is>
      </c>
      <c r="L54" s="14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58" t="inlineStr">
        <is>
          <t>2025-10-31</t>
        </is>
      </c>
      <c r="B55" s="58" t="inlineStr">
        <is>
          <t>EOEB LLC</t>
        </is>
      </c>
      <c r="C55" s="71" t="n">
        <v>2170</v>
      </c>
      <c r="D55" s="58" t="inlineStr">
        <is>
          <t>IN</t>
        </is>
      </c>
      <c r="E55" s="72" t="inlineStr">
        <is>
          <t>ADVISORY</t>
        </is>
      </c>
      <c r="F55" s="72" t="inlineStr">
        <is>
          <t>ASK</t>
        </is>
      </c>
      <c r="G55" s="58" t="inlineStr">
        <is>
          <t>EOEB — sale vs art advisory</t>
        </is>
      </c>
      <c r="H55" s="58" t="inlineStr">
        <is>
          <t>no</t>
        </is>
      </c>
      <c r="I55" s="58" t="inlineStr">
        <is>
          <t>no — ASK first</t>
        </is>
      </c>
      <c r="J55" s="58" t="inlineStr">
        <is>
          <t>Business Income</t>
        </is>
      </c>
      <c r="K55" s="58" t="inlineStr">
        <is>
          <t>Auto-Routing transfer; Merchant name: EOEB LLC</t>
        </is>
      </c>
      <c r="L55" s="14" t="inlineStr">
        <is>
          <t>Auto-Routing. Proposed advisory until confirmed.</t>
        </is>
      </c>
    </row>
    <row r="56">
      <c r="A56" s="58" t="inlineStr">
        <is>
          <t>2025-11-06</t>
        </is>
      </c>
      <c r="B56" s="58" t="inlineStr">
        <is>
          <t>COINBASE INC.</t>
        </is>
      </c>
      <c r="C56" s="45" t="n">
        <v>-10000</v>
      </c>
      <c r="D56" s="58" t="inlineStr">
        <is>
          <t>OUT</t>
        </is>
      </c>
      <c r="E56" s="74" t="inlineStr">
        <is>
          <t>INVESTMENT</t>
        </is>
      </c>
      <c r="F56" s="44" t="inlineStr">
        <is>
          <t>LOCKED</t>
        </is>
      </c>
      <c r="G56" s="58" t="inlineStr">
        <is>
          <t>Coinbase ACH funding</t>
        </is>
      </c>
      <c r="H56" s="58" t="inlineStr">
        <is>
          <t>no</t>
        </is>
      </c>
      <c r="I56" s="58" t="inlineStr">
        <is>
          <t>no</t>
        </is>
      </c>
      <c r="J56" s="58" t="inlineStr">
        <is>
          <t>Transfer</t>
        </is>
      </c>
      <c r="K56" s="58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58" t="inlineStr">
        <is>
          <t>2025-11-07</t>
        </is>
      </c>
      <c r="B57" s="58" t="inlineStr">
        <is>
          <t>ERDAL DERE</t>
        </is>
      </c>
      <c r="C57" s="71" t="n">
        <v>6000</v>
      </c>
      <c r="D57" s="58" t="inlineStr">
        <is>
          <t>IN</t>
        </is>
      </c>
      <c r="E57" s="70" t="inlineStr">
        <is>
          <t>ART_SALE</t>
        </is>
      </c>
      <c r="F57" s="72" t="inlineStr">
        <is>
          <t>ASK</t>
        </is>
      </c>
      <c r="G57" s="58" t="inlineStr">
        <is>
          <t>Erdal Dere Fortuna PAYMENT $6,000 IN</t>
        </is>
      </c>
      <c r="H57" s="58" t="inlineStr">
        <is>
          <t>no</t>
        </is>
      </c>
      <c r="I57" s="58" t="inlineStr">
        <is>
          <t>no</t>
        </is>
      </c>
      <c r="J57" s="58" t="inlineStr">
        <is>
          <t>Business Income</t>
        </is>
      </c>
      <c r="K57" s="58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58" t="inlineStr">
        <is>
          <t>2025-11-12</t>
        </is>
      </c>
      <c r="B58" s="58" t="inlineStr">
        <is>
          <t>Newstar Jewelers</t>
        </is>
      </c>
      <c r="C58" s="45" t="n">
        <v>-8000</v>
      </c>
      <c r="D58" s="58" t="inlineStr">
        <is>
          <t>OUT</t>
        </is>
      </c>
      <c r="E58" s="69" t="inlineStr">
        <is>
          <t>COGS_JEWELRY</t>
        </is>
      </c>
      <c r="F58" s="44" t="inlineStr">
        <is>
          <t>LOCKED</t>
        </is>
      </c>
      <c r="G58" s="58" t="inlineStr">
        <is>
          <t>Newstar Jewelers — jewelry fabrication</t>
        </is>
      </c>
      <c r="H58" s="58" t="inlineStr">
        <is>
          <t>no</t>
        </is>
      </c>
      <c r="I58" s="58" t="inlineStr">
        <is>
          <t>no</t>
        </is>
      </c>
      <c r="J58" s="58" t="inlineStr">
        <is>
          <t xml:space="preserve">Business Expense </t>
        </is>
      </c>
      <c r="K58" s="58" t="inlineStr">
        <is>
          <t>Merchant name: Newstar Jewelers</t>
        </is>
      </c>
      <c r="L58" s="14" t="inlineStr">
        <is>
          <t>Intaglios / engraved gems / scarabs. COGS, not EPGC operating.</t>
        </is>
      </c>
    </row>
    <row r="59">
      <c r="A59" s="58" t="inlineStr">
        <is>
          <t>2025-11-14</t>
        </is>
      </c>
      <c r="B59" s="58" t="inlineStr">
        <is>
          <t>COINBASE INC.</t>
        </is>
      </c>
      <c r="C59" s="45" t="n">
        <v>-10000</v>
      </c>
      <c r="D59" s="58" t="inlineStr">
        <is>
          <t>OUT</t>
        </is>
      </c>
      <c r="E59" s="74" t="inlineStr">
        <is>
          <t>INVESTMENT</t>
        </is>
      </c>
      <c r="F59" s="44" t="inlineStr">
        <is>
          <t>LOCKED</t>
        </is>
      </c>
      <c r="G59" s="58" t="inlineStr">
        <is>
          <t>Coinbase ACH funding</t>
        </is>
      </c>
      <c r="H59" s="58" t="inlineStr">
        <is>
          <t>no</t>
        </is>
      </c>
      <c r="I59" s="58" t="inlineStr">
        <is>
          <t>no</t>
        </is>
      </c>
      <c r="J59" s="58" t="inlineStr">
        <is>
          <t>Transfer</t>
        </is>
      </c>
      <c r="K59" s="58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58" t="inlineStr">
        <is>
          <t>2025-11-17</t>
        </is>
      </c>
      <c r="B60" s="58" t="inlineStr">
        <is>
          <t>COINBASE INC.</t>
        </is>
      </c>
      <c r="C60" s="45" t="n">
        <v>-10000</v>
      </c>
      <c r="D60" s="58" t="inlineStr">
        <is>
          <t>OUT</t>
        </is>
      </c>
      <c r="E60" s="74" t="inlineStr">
        <is>
          <t>INVESTMENT</t>
        </is>
      </c>
      <c r="F60" s="44" t="inlineStr">
        <is>
          <t>LOCKED</t>
        </is>
      </c>
      <c r="G60" s="58" t="inlineStr">
        <is>
          <t>Coinbase ACH funding</t>
        </is>
      </c>
      <c r="H60" s="58" t="inlineStr">
        <is>
          <t>no</t>
        </is>
      </c>
      <c r="I60" s="58" t="inlineStr">
        <is>
          <t>no</t>
        </is>
      </c>
      <c r="J60" s="58" t="inlineStr">
        <is>
          <t>Transfer</t>
        </is>
      </c>
      <c r="K60" s="58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58" t="inlineStr">
        <is>
          <t>2025-11-24</t>
        </is>
      </c>
      <c r="B61" s="58" t="inlineStr">
        <is>
          <t>COINBASE INC.</t>
        </is>
      </c>
      <c r="C61" s="45" t="n">
        <v>-5000</v>
      </c>
      <c r="D61" s="58" t="inlineStr">
        <is>
          <t>OUT</t>
        </is>
      </c>
      <c r="E61" s="74" t="inlineStr">
        <is>
          <t>INVESTMENT</t>
        </is>
      </c>
      <c r="F61" s="44" t="inlineStr">
        <is>
          <t>LOCKED</t>
        </is>
      </c>
      <c r="G61" s="58" t="inlineStr">
        <is>
          <t>Coinbase ACH funding</t>
        </is>
      </c>
      <c r="H61" s="58" t="inlineStr">
        <is>
          <t>no</t>
        </is>
      </c>
      <c r="I61" s="58" t="inlineStr">
        <is>
          <t>no</t>
        </is>
      </c>
      <c r="J61" s="58" t="inlineStr">
        <is>
          <t>Transfer</t>
        </is>
      </c>
      <c r="K61" s="58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58" t="inlineStr">
        <is>
          <t>2025-12-02</t>
        </is>
      </c>
      <c r="B62" s="58" t="inlineStr">
        <is>
          <t>Wise Inc</t>
        </is>
      </c>
      <c r="C62" s="10" t="n">
        <v>-565.75</v>
      </c>
      <c r="D62" s="58" t="inlineStr">
        <is>
          <t>OUT</t>
        </is>
      </c>
      <c r="E62" s="73" t="inlineStr">
        <is>
          <t>REIMBURSE</t>
        </is>
      </c>
      <c r="F62" s="44" t="inlineStr">
        <is>
          <t>LOCKED</t>
        </is>
      </c>
      <c r="G62" s="58" t="inlineStr">
        <is>
          <t>Wise $565.75 reimbursed by EOEB</t>
        </is>
      </c>
      <c r="H62" s="58" t="inlineStr">
        <is>
          <t>no</t>
        </is>
      </c>
      <c r="I62" s="58" t="inlineStr">
        <is>
          <t>no</t>
        </is>
      </c>
      <c r="J62" s="58" t="inlineStr">
        <is>
          <t xml:space="preserve">Business Expense </t>
        </is>
      </c>
      <c r="K62" s="58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58" t="inlineStr">
        <is>
          <t>2025-12-02</t>
        </is>
      </c>
      <c r="B63" s="58" t="inlineStr">
        <is>
          <t>EOEB LLC</t>
        </is>
      </c>
      <c r="C63" s="10" t="n">
        <v>565.75</v>
      </c>
      <c r="D63" s="58" t="inlineStr">
        <is>
          <t>IN</t>
        </is>
      </c>
      <c r="E63" s="73" t="inlineStr">
        <is>
          <t>REIMBURSE</t>
        </is>
      </c>
      <c r="F63" s="44" t="inlineStr">
        <is>
          <t>LOCKED</t>
        </is>
      </c>
      <c r="G63" s="58" t="inlineStr">
        <is>
          <t>EOEB reimburses Wise $565.75</t>
        </is>
      </c>
      <c r="H63" s="58" t="inlineStr">
        <is>
          <t>no</t>
        </is>
      </c>
      <c r="I63" s="58" t="inlineStr">
        <is>
          <t>no</t>
        </is>
      </c>
      <c r="J63" s="58" t="inlineStr">
        <is>
          <t>Transfer</t>
        </is>
      </c>
      <c r="K63" s="58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58" t="inlineStr">
        <is>
          <t>2025-12-04</t>
        </is>
      </c>
      <c r="B64" s="58" t="inlineStr">
        <is>
          <t>L5</t>
        </is>
      </c>
      <c r="C64" s="71" t="n">
        <v>4700.26</v>
      </c>
      <c r="D64" s="58" t="inlineStr">
        <is>
          <t>IN</t>
        </is>
      </c>
      <c r="E64" s="72" t="inlineStr">
        <is>
          <t>ADVISORY</t>
        </is>
      </c>
      <c r="F64" s="72" t="inlineStr">
        <is>
          <t>ASK</t>
        </is>
      </c>
      <c r="G64" s="58" t="inlineStr">
        <is>
          <t>L5 — sale vs art advisory</t>
        </is>
      </c>
      <c r="H64" s="58" t="inlineStr">
        <is>
          <t>no</t>
        </is>
      </c>
      <c r="I64" s="58" t="inlineStr">
        <is>
          <t>no — ASK first</t>
        </is>
      </c>
      <c r="J64" s="58" t="inlineStr">
        <is>
          <t>Transfer</t>
        </is>
      </c>
      <c r="K64" s="58" t="inlineStr">
        <is>
          <t>Auto-Routing transfer; Merchant name: L5</t>
        </is>
      </c>
      <c r="L64" s="14" t="inlineStr">
        <is>
          <t>Auto-Routing. Proposed advisory until confirmed.</t>
        </is>
      </c>
    </row>
    <row r="65">
      <c r="A65" s="58" t="inlineStr">
        <is>
          <t>2025-12-11</t>
        </is>
      </c>
      <c r="B65" s="58" t="inlineStr">
        <is>
          <t>COINBASE INC.</t>
        </is>
      </c>
      <c r="C65" s="45" t="n">
        <v>-5000</v>
      </c>
      <c r="D65" s="58" t="inlineStr">
        <is>
          <t>OUT</t>
        </is>
      </c>
      <c r="E65" s="74" t="inlineStr">
        <is>
          <t>INVESTMENT</t>
        </is>
      </c>
      <c r="F65" s="44" t="inlineStr">
        <is>
          <t>LOCKED</t>
        </is>
      </c>
      <c r="G65" s="58" t="inlineStr">
        <is>
          <t>Coinbase ACH funding</t>
        </is>
      </c>
      <c r="H65" s="58" t="inlineStr">
        <is>
          <t>no</t>
        </is>
      </c>
      <c r="I65" s="58" t="inlineStr">
        <is>
          <t>no</t>
        </is>
      </c>
      <c r="J65" s="58" t="inlineStr">
        <is>
          <t>Transfer</t>
        </is>
      </c>
      <c r="K65" s="58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58" t="inlineStr">
        <is>
          <t>2025-12-22</t>
        </is>
      </c>
      <c r="B66" s="58" t="inlineStr">
        <is>
          <t>COINBASE INC.</t>
        </is>
      </c>
      <c r="C66" s="45" t="n">
        <v>8000</v>
      </c>
      <c r="D66" s="58" t="inlineStr">
        <is>
          <t>IN</t>
        </is>
      </c>
      <c r="E66" s="74" t="inlineStr">
        <is>
          <t>INVESTMENT</t>
        </is>
      </c>
      <c r="F66" s="44" t="inlineStr">
        <is>
          <t>LOCKED</t>
        </is>
      </c>
      <c r="G66" s="58" t="inlineStr">
        <is>
          <t>Coinbase ACH back to Mercury</t>
        </is>
      </c>
      <c r="H66" s="58" t="inlineStr">
        <is>
          <t>no</t>
        </is>
      </c>
      <c r="I66" s="58" t="inlineStr">
        <is>
          <t>no</t>
        </is>
      </c>
      <c r="J66" s="58" t="inlineStr">
        <is>
          <t>Transfer</t>
        </is>
      </c>
      <c r="K66" s="58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58" t="inlineStr">
        <is>
          <t>2025-12-24</t>
        </is>
      </c>
      <c r="B67" s="58" t="inlineStr">
        <is>
          <t>Newstar Jewelers</t>
        </is>
      </c>
      <c r="C67" s="45" t="n">
        <v>-7581</v>
      </c>
      <c r="D67" s="58" t="inlineStr">
        <is>
          <t>OUT</t>
        </is>
      </c>
      <c r="E67" s="69" t="inlineStr">
        <is>
          <t>COGS_JEWELRY</t>
        </is>
      </c>
      <c r="F67" s="44" t="inlineStr">
        <is>
          <t>LOCKED</t>
        </is>
      </c>
      <c r="G67" s="58" t="inlineStr">
        <is>
          <t>Newstar Jewelers — jewelry fabrication (3 of 3)</t>
        </is>
      </c>
      <c r="H67" s="58" t="inlineStr">
        <is>
          <t>no</t>
        </is>
      </c>
      <c r="I67" s="58" t="inlineStr">
        <is>
          <t>no</t>
        </is>
      </c>
      <c r="J67" s="58" t="inlineStr">
        <is>
          <t xml:space="preserve">Business Expense </t>
        </is>
      </c>
      <c r="K67" s="58" t="inlineStr">
        <is>
          <t>From EPGC LLC via mercury.com 3 of 3; Merchant name: Newstar Jewelers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2026-09-20T13:30:51Z</dcterms:created>
  <dcterms:modified xsi:type="dcterms:W3CDTF">2026-09-20T13:30:51Z</dcterms:modified>
</cp:coreProperties>
</file>