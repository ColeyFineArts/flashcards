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GC LLC" sheetId="1" state="visible" r:id="rId1"/>
    <sheet name="Art Sales and Purchases" sheetId="2" state="visible" r:id="rId2"/>
    <sheet name="GCM" sheetId="3" state="visible" r:id="rId3"/>
    <sheet name="Investments" sheetId="4" state="visible" r:id="rId4"/>
    <sheet name="ASK Mercury" sheetId="5" state="visible" r:id="rId5"/>
    <sheet name="MERCURY 829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yyyy-mm-dd h:mm:ss"/>
    <numFmt numFmtId="166" formatCode="&quot;$&quot;#,##0_);[Red]\(&quot;$&quot;#,##0\)"/>
    <numFmt numFmtId="167" formatCode="YYYY-MM-DD"/>
    <numFmt numFmtId="168" formatCode="&quot;$&quot;#,##0.00_);[Red]\(&quot;$&quot;#,##0.00\)"/>
  </numFmts>
  <fonts count="15">
    <font>
      <name val="Calibri"/>
      <family val="2"/>
      <color theme="1"/>
      <sz val="11"/>
      <scheme val="minor"/>
    </font>
    <font>
      <name val="Calibri"/>
      <b val="1"/>
      <color theme="1"/>
      <sz val="16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z val="12"/>
    </font>
    <font>
      <name val="Century Gothic"/>
      <b val="1"/>
      <color rgb="00FFFFFF"/>
      <sz val="14"/>
    </font>
    <font>
      <name val="Century Gothic"/>
      <sz val="10"/>
    </font>
    <font>
      <name val="Calibri"/>
      <color theme="1"/>
      <sz val="14"/>
    </font>
    <font>
      <name val="Calibri"/>
      <color theme="1"/>
      <sz val="11"/>
      <scheme val="minor"/>
    </font>
    <font>
      <name val="Century Gothic"/>
      <b val="1"/>
      <sz val="11"/>
    </font>
    <font>
      <name val="Calibri"/>
      <i val="1"/>
      <color theme="1"/>
      <sz val="11"/>
    </font>
    <font>
      <name val="Century Gothic"/>
      <b val="1"/>
      <sz val="12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F7CAAC"/>
      </patternFill>
    </fill>
    <fill>
      <patternFill patternType="solid">
        <fgColor rgb="00F2F2F2"/>
      </patternFill>
    </fill>
    <fill>
      <patternFill patternType="solid">
        <fgColor rgb="FF92D050"/>
        <bgColor rgb="FF92D050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164" fontId="8" fillId="2" borderId="0" pivotButton="0" quotePrefix="0" xfId="0"/>
    <xf numFmtId="164" fontId="8" fillId="3" borderId="0" pivotButton="0" quotePrefix="0" xfId="0"/>
    <xf numFmtId="164" fontId="4" fillId="0" borderId="0" pivotButton="0" quotePrefix="0" xfId="0"/>
    <xf numFmtId="164" fontId="5" fillId="3" borderId="0" pivotButton="0" quotePrefix="0" xfId="0"/>
    <xf numFmtId="164" fontId="5" fillId="2" borderId="0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center"/>
    </xf>
    <xf numFmtId="9" fontId="5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left"/>
    </xf>
    <xf numFmtId="9" fontId="2" fillId="0" borderId="0" applyAlignment="1" pivotButton="0" quotePrefix="0" xfId="0">
      <alignment horizontal="left"/>
    </xf>
    <xf numFmtId="14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2" fillId="4" borderId="0" pivotButton="0" quotePrefix="0" xfId="0"/>
    <xf numFmtId="1" fontId="5" fillId="0" borderId="0" pivotButton="0" quotePrefix="0" xfId="0"/>
    <xf numFmtId="166" fontId="5" fillId="0" borderId="0" pivotButton="0" quotePrefix="0" xfId="0"/>
    <xf numFmtId="166" fontId="2" fillId="0" borderId="0" pivotButton="0" quotePrefix="0" xfId="0"/>
    <xf numFmtId="0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4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bottom"/>
    </xf>
    <xf numFmtId="164" fontId="5" fillId="5" borderId="0" pivotButton="0" quotePrefix="0" xfId="0"/>
    <xf numFmtId="167" fontId="5" fillId="5" borderId="0" applyAlignment="1" pivotButton="0" quotePrefix="0" xfId="0">
      <alignment horizontal="left"/>
    </xf>
    <xf numFmtId="164" fontId="5" fillId="5" borderId="0" applyAlignment="1" pivotButton="0" quotePrefix="0" xfId="0">
      <alignment horizontal="left"/>
    </xf>
    <xf numFmtId="167" fontId="5" fillId="0" borderId="0" applyAlignment="1" pivotButton="0" quotePrefix="0" xfId="0">
      <alignment horizontal="left"/>
    </xf>
    <xf numFmtId="164" fontId="5" fillId="6" borderId="0" applyAlignment="1" pivotButton="0" quotePrefix="0" xfId="0">
      <alignment horizontal="left"/>
    </xf>
    <xf numFmtId="164" fontId="5" fillId="2" borderId="0" applyAlignment="1" pivotButton="0" quotePrefix="0" xfId="0">
      <alignment horizontal="left"/>
    </xf>
    <xf numFmtId="0" fontId="8" fillId="5" borderId="0" pivotButton="0" quotePrefix="0" xfId="0"/>
    <xf numFmtId="0" fontId="8" fillId="6" borderId="0" pivotButton="0" quotePrefix="0" xfId="0"/>
    <xf numFmtId="0" fontId="10" fillId="6" borderId="0" pivotButton="0" quotePrefix="0" xfId="0"/>
    <xf numFmtId="164" fontId="8" fillId="5" borderId="0" pivotButton="0" quotePrefix="0" xfId="0"/>
    <xf numFmtId="167" fontId="8" fillId="5" borderId="0" pivotButton="0" quotePrefix="0" xfId="0"/>
    <xf numFmtId="0" fontId="8" fillId="0" borderId="0" pivotButton="0" quotePrefix="0" xfId="0"/>
    <xf numFmtId="0" fontId="8" fillId="6" borderId="0" applyAlignment="1" pivotButton="0" quotePrefix="0" xfId="0">
      <alignment vertical="top" wrapText="1"/>
    </xf>
    <xf numFmtId="164" fontId="8" fillId="0" borderId="0" pivotButton="0" quotePrefix="0" xfId="0"/>
    <xf numFmtId="0" fontId="2" fillId="5" borderId="0" applyAlignment="1" pivotButton="0" quotePrefix="0" xfId="0">
      <alignment vertical="top" wrapText="1"/>
    </xf>
    <xf numFmtId="0" fontId="5" fillId="0" borderId="0" pivotButton="0" quotePrefix="0" xfId="0"/>
    <xf numFmtId="0" fontId="11" fillId="0" borderId="0" pivotButton="0" quotePrefix="0" xfId="0"/>
    <xf numFmtId="164" fontId="10" fillId="6" borderId="0" pivotButton="0" quotePrefix="0" xfId="0"/>
    <xf numFmtId="0" fontId="11" fillId="5" borderId="0" pivotButton="0" quotePrefix="0" xfId="0"/>
    <xf numFmtId="0" fontId="8" fillId="5" borderId="0" applyAlignment="1" pivotButton="0" quotePrefix="0" xfId="0">
      <alignment vertical="bottom"/>
    </xf>
    <xf numFmtId="0" fontId="10" fillId="5" borderId="0" pivotButton="0" quotePrefix="0" xfId="0"/>
    <xf numFmtId="164" fontId="10" fillId="5" borderId="0" pivotButton="0" quotePrefix="0" xfId="0"/>
    <xf numFmtId="0" fontId="11" fillId="6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164" fontId="12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4" fontId="10" fillId="2" borderId="0" pivotButton="0" quotePrefix="0" xfId="0"/>
    <xf numFmtId="0" fontId="14" fillId="7" borderId="0" pivotButton="0" quotePrefix="0" xfId="0"/>
    <xf numFmtId="164" fontId="8" fillId="8" borderId="0" pivotButton="0" quotePrefix="0" xfId="0"/>
    <xf numFmtId="0" fontId="10" fillId="0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4" fillId="7" borderId="0" applyAlignment="1" pivotButton="0" quotePrefix="0" xfId="0">
      <alignment vertical="center" wrapText="1"/>
    </xf>
    <xf numFmtId="0" fontId="8" fillId="9" borderId="0" pivotButton="0" quotePrefix="0" xfId="0"/>
    <xf numFmtId="0" fontId="8" fillId="2" borderId="0" pivotButton="0" quotePrefix="0" xfId="0"/>
    <xf numFmtId="164" fontId="8" fillId="6" borderId="0" pivotButton="0" quotePrefix="0" xfId="0"/>
    <xf numFmtId="0" fontId="8" fillId="3" borderId="0" pivotButton="0" quotePrefix="0" xfId="0"/>
    <xf numFmtId="0" fontId="8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cols>
    <col width="28.71" customWidth="1" min="1" max="1"/>
    <col width="10.86" customWidth="1" min="2" max="2"/>
    <col width="9.289999999999999" customWidth="1" min="4" max="4"/>
    <col width="10.86" customWidth="1" min="5" max="5"/>
    <col width="10.14" customWidth="1" min="6" max="6"/>
    <col width="11.14" customWidth="1" min="7" max="7"/>
    <col width="10.86" customWidth="1" min="9" max="9"/>
    <col width="11.86" customWidth="1" min="10" max="10"/>
    <col width="10.86" customWidth="1" min="11" max="11"/>
    <col width="11.14" customWidth="1" min="12" max="12"/>
    <col width="10.14" customWidth="1" min="13" max="13"/>
    <col width="11.14" customWidth="1" min="14" max="14"/>
    <col width="8.710000000000001" customWidth="1" min="15" max="15"/>
  </cols>
  <sheetData>
    <row r="1">
      <c r="A1" s="1" t="n">
        <v>2023</v>
      </c>
    </row>
    <row r="2">
      <c r="A2" s="2" t="inlineStr">
        <is>
          <t>INCOME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3" t="inlineStr">
        <is>
          <t>YEARLY</t>
        </is>
      </c>
    </row>
    <row r="3">
      <c r="A3" s="4" t="inlineStr">
        <is>
          <t>Art Sales</t>
        </is>
      </c>
      <c r="B3" s="5" t="n"/>
      <c r="C3" s="5" t="n"/>
      <c r="D3" s="5" t="n"/>
      <c r="E3" s="5" t="n"/>
      <c r="F3" s="5" t="n">
        <v>8135.65</v>
      </c>
      <c r="G3" s="5" t="n">
        <v>11661.5</v>
      </c>
      <c r="H3" s="5" t="n">
        <v>50000</v>
      </c>
      <c r="I3" s="5" t="n"/>
      <c r="J3" s="5" t="n">
        <v>400</v>
      </c>
      <c r="K3" s="5" t="n"/>
      <c r="L3" s="5" t="n">
        <v>10700</v>
      </c>
      <c r="M3" s="5" t="n">
        <v>3040</v>
      </c>
      <c r="N3" s="5">
        <f>SUM(B3:M3)</f>
        <v/>
      </c>
    </row>
    <row r="4">
      <c r="A4" s="4" t="inlineStr">
        <is>
          <t>Consultant</t>
        </is>
      </c>
      <c r="N4" s="4">
        <f>SUM(B4:M4)</f>
        <v/>
      </c>
    </row>
    <row r="5">
      <c r="A5" s="4" t="inlineStr">
        <is>
          <t>Total</t>
        </is>
      </c>
      <c r="B5" s="5">
        <f>SUM(B3:B4)</f>
        <v/>
      </c>
      <c r="C5" s="5">
        <f>SUM(C3:C4)</f>
        <v/>
      </c>
      <c r="D5" s="5">
        <f>SUM(D3:D4)</f>
        <v/>
      </c>
      <c r="E5" s="5">
        <f>SUM(E3:E4)</f>
        <v/>
      </c>
      <c r="F5" s="5">
        <f>SUM(F3:F4)</f>
        <v/>
      </c>
      <c r="G5" s="5">
        <f>SUM(G3:G4)</f>
        <v/>
      </c>
      <c r="H5" s="5">
        <f>SUM(H3:H4)</f>
        <v/>
      </c>
      <c r="I5" s="5">
        <f>SUM(I3:I4)</f>
        <v/>
      </c>
      <c r="J5" s="5">
        <f>SUM(J3:J4)</f>
        <v/>
      </c>
      <c r="K5" s="5">
        <f>SUM(K3:K4)</f>
        <v/>
      </c>
      <c r="L5" s="5">
        <f>SUM(L3:L4)</f>
        <v/>
      </c>
      <c r="M5" s="5">
        <f>SUM(M3:M4)</f>
        <v/>
      </c>
      <c r="N5" s="5">
        <f>SUM(N3:N4)</f>
        <v/>
      </c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EXPENSES</t>
        </is>
      </c>
      <c r="B7" s="3" t="inlineStr">
        <is>
          <t>JAN</t>
        </is>
      </c>
      <c r="C7" s="3" t="inlineStr">
        <is>
          <t>FEB</t>
        </is>
      </c>
      <c r="D7" s="3" t="inlineStr">
        <is>
          <t>MAR</t>
        </is>
      </c>
      <c r="E7" s="3" t="inlineStr">
        <is>
          <t>APR</t>
        </is>
      </c>
      <c r="F7" s="3" t="inlineStr">
        <is>
          <t>MAY</t>
        </is>
      </c>
      <c r="G7" s="3" t="inlineStr">
        <is>
          <t>JUN</t>
        </is>
      </c>
      <c r="H7" s="3" t="inlineStr">
        <is>
          <t>JUL</t>
        </is>
      </c>
      <c r="I7" s="3" t="inlineStr">
        <is>
          <t>AUG</t>
        </is>
      </c>
      <c r="J7" s="3" t="inlineStr">
        <is>
          <t>SEP</t>
        </is>
      </c>
      <c r="K7" s="3" t="inlineStr">
        <is>
          <t>OCT</t>
        </is>
      </c>
      <c r="L7" s="3" t="inlineStr">
        <is>
          <t>NOV</t>
        </is>
      </c>
      <c r="M7" s="3" t="inlineStr">
        <is>
          <t>DEC</t>
        </is>
      </c>
      <c r="N7" s="3" t="inlineStr">
        <is>
          <t>YEARLY</t>
        </is>
      </c>
    </row>
    <row r="8">
      <c r="A8" s="4" t="inlineStr">
        <is>
          <t>Supplies (office and operating)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>
        <f>SUM(B8:M8)</f>
        <v/>
      </c>
    </row>
    <row r="9">
      <c r="A9" s="4" t="inlineStr">
        <is>
          <t>Office Construction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>
        <v>13750</v>
      </c>
      <c r="K9" s="5" t="n"/>
      <c r="L9" s="5" t="n"/>
      <c r="M9" s="5" t="n"/>
      <c r="N9" s="5">
        <f>SUM(B9:M9)</f>
        <v/>
      </c>
    </row>
    <row r="10">
      <c r="A10" s="4" t="inlineStr">
        <is>
          <t xml:space="preserve">Office Interior </t>
        </is>
      </c>
      <c r="B10" s="5" t="n"/>
      <c r="C10" s="5" t="n"/>
      <c r="D10" s="5" t="n"/>
      <c r="E10" s="5" t="n"/>
      <c r="F10" s="5" t="n"/>
      <c r="G10" s="5" t="n"/>
      <c r="H10" s="5" t="n"/>
      <c r="I10" s="5" t="n">
        <v>426.52</v>
      </c>
      <c r="J10" s="5" t="n">
        <v>87.98999999999999</v>
      </c>
      <c r="K10" s="5" t="n">
        <v>87.78</v>
      </c>
      <c r="L10" s="5" t="n"/>
      <c r="M10" s="5" t="n"/>
      <c r="N10" s="5">
        <f>SUM(B10:M10)</f>
        <v/>
      </c>
    </row>
    <row r="11">
      <c r="A11" s="4" t="inlineStr">
        <is>
          <t>Office Furniture</t>
        </is>
      </c>
      <c r="B11" s="5" t="n"/>
      <c r="C11" s="5" t="n"/>
      <c r="D11" s="5" t="n"/>
      <c r="E11" s="5" t="n"/>
      <c r="F11" s="5" t="n"/>
      <c r="G11" s="5" t="n"/>
      <c r="H11" s="5" t="n"/>
      <c r="I11" s="5" t="n">
        <v>461</v>
      </c>
      <c r="J11" s="5" t="n"/>
      <c r="K11" s="5" t="n">
        <v>1799.5</v>
      </c>
      <c r="L11" s="5" t="n">
        <v>82.68000000000001</v>
      </c>
      <c r="M11" s="5" t="n"/>
      <c r="N11" s="5">
        <f>SUM(B11:M11)</f>
        <v/>
      </c>
    </row>
    <row r="12">
      <c r="A12" s="4" t="inlineStr">
        <is>
          <t>Repairs and maintenance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>
        <f>SUM(B12:M12)</f>
        <v/>
      </c>
    </row>
    <row r="13">
      <c r="A13" s="4" t="inlineStr">
        <is>
          <t>Advertising</t>
        </is>
      </c>
      <c r="B13" s="5" t="n">
        <v>15</v>
      </c>
      <c r="C13" s="5" t="n">
        <v>15</v>
      </c>
      <c r="D13" s="5" t="n">
        <v>15</v>
      </c>
      <c r="E13" s="5" t="n">
        <v>15</v>
      </c>
      <c r="F13" s="5" t="n">
        <v>15</v>
      </c>
      <c r="G13" s="5" t="n">
        <v>15</v>
      </c>
      <c r="H13" s="5" t="n">
        <v>15</v>
      </c>
      <c r="I13" s="5" t="n">
        <v>15</v>
      </c>
      <c r="J13" s="5" t="n">
        <v>15</v>
      </c>
      <c r="K13" s="5" t="n">
        <v>15</v>
      </c>
      <c r="L13" s="5" t="n">
        <v>15</v>
      </c>
      <c r="M13" s="5" t="n">
        <v>15</v>
      </c>
      <c r="N13" s="5">
        <f>SUM(B13:M13)</f>
        <v/>
      </c>
    </row>
    <row r="14">
      <c r="A14" s="4" t="inlineStr">
        <is>
          <t>Travel, Meals, and Entertainment</t>
        </is>
      </c>
      <c r="B14" s="5" t="n"/>
      <c r="C14" s="5" t="n">
        <v>1185.36</v>
      </c>
      <c r="D14" s="5" t="n"/>
      <c r="E14" s="5" t="n">
        <v>1113.09</v>
      </c>
      <c r="F14" s="5" t="n"/>
      <c r="G14" s="5" t="n"/>
      <c r="H14" s="5" t="n">
        <v>50</v>
      </c>
      <c r="I14" s="5" t="n"/>
      <c r="J14" s="5" t="n">
        <v>1351.31</v>
      </c>
      <c r="K14" s="5" t="n"/>
      <c r="L14" s="5" t="n">
        <v>1283.75</v>
      </c>
      <c r="M14" s="5" t="n"/>
      <c r="N14" s="5">
        <f>SUM(B14:M14)</f>
        <v/>
      </c>
    </row>
    <row r="15">
      <c r="A15" s="4" t="inlineStr">
        <is>
          <t>Accounting and legal</t>
        </is>
      </c>
      <c r="B15" s="5" t="n">
        <v>228</v>
      </c>
      <c r="C15" s="5" t="n">
        <v>20</v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>
        <f>SUM(B15:M15)</f>
        <v/>
      </c>
    </row>
    <row r="16">
      <c r="A16" s="4" t="inlineStr">
        <is>
          <t>Cellphone and Internet</t>
        </is>
      </c>
      <c r="B16" s="5" t="n">
        <v>77.45</v>
      </c>
      <c r="C16" s="5" t="n">
        <v>77.45</v>
      </c>
      <c r="D16" s="5" t="n">
        <v>77.45</v>
      </c>
      <c r="E16" s="5" t="n">
        <v>77.45</v>
      </c>
      <c r="F16" s="5" t="n">
        <v>77.45</v>
      </c>
      <c r="G16" s="5" t="n">
        <v>77.45</v>
      </c>
      <c r="H16" s="5" t="n">
        <v>77.45</v>
      </c>
      <c r="I16" s="5" t="n">
        <v>77.45</v>
      </c>
      <c r="J16" s="5" t="n">
        <v>77.45</v>
      </c>
      <c r="K16" s="5" t="n">
        <v>77.45</v>
      </c>
      <c r="L16" s="5" t="n">
        <v>77.45</v>
      </c>
      <c r="M16" s="5" t="n">
        <v>77.45</v>
      </c>
      <c r="N16" s="5">
        <f>SUM(B16:M16)</f>
        <v/>
      </c>
    </row>
    <row r="17">
      <c r="A17" s="4" t="inlineStr">
        <is>
          <t>Software Fees</t>
        </is>
      </c>
      <c r="B17" s="5" t="n">
        <v>53</v>
      </c>
      <c r="C17" s="5" t="n">
        <v>53</v>
      </c>
      <c r="D17" s="5" t="n">
        <v>53</v>
      </c>
      <c r="E17" s="5" t="n">
        <v>53</v>
      </c>
      <c r="F17" s="5" t="n">
        <v>53</v>
      </c>
      <c r="G17" s="5" t="n">
        <v>53</v>
      </c>
      <c r="H17" s="5" t="n">
        <v>53</v>
      </c>
      <c r="I17" s="5" t="n">
        <v>53</v>
      </c>
      <c r="J17" s="5" t="n">
        <v>53</v>
      </c>
      <c r="K17" s="5" t="n">
        <v>53</v>
      </c>
      <c r="L17" s="5" t="n">
        <v>53</v>
      </c>
      <c r="M17" s="5" t="n">
        <v>53</v>
      </c>
      <c r="N17" s="5">
        <f>SUM(B17:M17)</f>
        <v/>
      </c>
    </row>
    <row r="18">
      <c r="A18" s="4" t="inlineStr">
        <is>
          <t>Tech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>
        <v>77.16</v>
      </c>
      <c r="K18" s="5" t="n">
        <v>384.99</v>
      </c>
      <c r="L18" s="5" t="n"/>
      <c r="M18" s="5" t="n"/>
      <c r="N18" s="5">
        <f>SUM(B18:M18)</f>
        <v/>
      </c>
    </row>
    <row r="19">
      <c r="A19" s="4" t="inlineStr">
        <is>
          <t>Art Library</t>
        </is>
      </c>
      <c r="B19" s="5" t="n">
        <v>5025.37</v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>
        <f>SUM(B19:M19)</f>
        <v/>
      </c>
    </row>
    <row r="20">
      <c r="A20" s="4" t="inlineStr">
        <is>
          <t>Utilities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>
        <f>SUM(B20:M20)</f>
        <v/>
      </c>
    </row>
    <row r="21">
      <c r="A21" s="4" t="inlineStr">
        <is>
          <t>Insurance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>
        <f>SUM(B21:M21)</f>
        <v/>
      </c>
    </row>
    <row r="22">
      <c r="A22" s="2" t="inlineStr">
        <is>
          <t>TOTAL EXPENSES</t>
        </is>
      </c>
      <c r="B22" s="7">
        <f>SUM(B8:B21)</f>
        <v/>
      </c>
      <c r="C22" s="7">
        <f>SUM(C8:C21)</f>
        <v/>
      </c>
      <c r="D22" s="7">
        <f>SUM(D8:D21)</f>
        <v/>
      </c>
      <c r="E22" s="7">
        <f>SUM(E8:E21)</f>
        <v/>
      </c>
      <c r="F22" s="7">
        <f>SUM(F8:F21)</f>
        <v/>
      </c>
      <c r="G22" s="7">
        <f>SUM(G8:G21)</f>
        <v/>
      </c>
      <c r="H22" s="7">
        <f>SUM(H8:H21)</f>
        <v/>
      </c>
      <c r="I22" s="7">
        <f>SUM(I8:I21)</f>
        <v/>
      </c>
      <c r="J22" s="7">
        <f>SUM(J8:J21)</f>
        <v/>
      </c>
      <c r="K22" s="7">
        <f>SUM(K8:K21)</f>
        <v/>
      </c>
      <c r="L22" s="7">
        <f>SUM(L8:L21)</f>
        <v/>
      </c>
      <c r="M22" s="7">
        <f>SUM(M8:M21)</f>
        <v/>
      </c>
      <c r="N22" s="7">
        <f>SUM(N8:N21)</f>
        <v/>
      </c>
    </row>
    <row r="23"/>
    <row r="24">
      <c r="A24" s="2" t="inlineStr">
        <is>
          <t>YEAR TO DATE LESS EXPENSES</t>
        </is>
      </c>
      <c r="B24" s="7">
        <f>SUM(B5-B22)</f>
        <v/>
      </c>
      <c r="C24" s="7">
        <f>SUM(C5-C22)</f>
        <v/>
      </c>
      <c r="D24" s="7">
        <f>SUM(D5-D22)</f>
        <v/>
      </c>
      <c r="E24" s="7">
        <f>SUM(E5-E22)</f>
        <v/>
      </c>
      <c r="F24" s="7">
        <f>SUM(F5-F22)</f>
        <v/>
      </c>
      <c r="G24" s="7">
        <f>SUM(G5-G22)</f>
        <v/>
      </c>
      <c r="H24" s="7">
        <f>SUM(H5-H22)</f>
        <v/>
      </c>
      <c r="I24" s="7">
        <f>SUM(I5-I22)</f>
        <v/>
      </c>
      <c r="J24" s="7">
        <f>SUM(J5-J22)</f>
        <v/>
      </c>
      <c r="K24" s="7">
        <f>SUM(K5-K22)</f>
        <v/>
      </c>
      <c r="L24" s="7">
        <f>SUM(L5-L22)</f>
        <v/>
      </c>
      <c r="M24" s="7">
        <f>SUM(M5-M22)</f>
        <v/>
      </c>
      <c r="N24" s="7">
        <f>SUM(N5-N22)</f>
        <v/>
      </c>
    </row>
    <row r="25"/>
    <row r="26">
      <c r="A26" s="1" t="n">
        <v>2024</v>
      </c>
    </row>
    <row r="27">
      <c r="A27" s="2" t="inlineStr">
        <is>
          <t>INCOME</t>
        </is>
      </c>
      <c r="B27" s="3" t="inlineStr">
        <is>
          <t>JAN</t>
        </is>
      </c>
      <c r="C27" s="3" t="inlineStr">
        <is>
          <t>FEB</t>
        </is>
      </c>
      <c r="D27" s="3" t="inlineStr">
        <is>
          <t>MAR</t>
        </is>
      </c>
      <c r="E27" s="3" t="inlineStr">
        <is>
          <t>APR</t>
        </is>
      </c>
      <c r="F27" s="3" t="inlineStr">
        <is>
          <t>MAY</t>
        </is>
      </c>
      <c r="G27" s="3" t="inlineStr">
        <is>
          <t>JUN</t>
        </is>
      </c>
      <c r="H27" s="3" t="inlineStr">
        <is>
          <t>JUL</t>
        </is>
      </c>
      <c r="I27" s="3" t="inlineStr">
        <is>
          <t>AUG</t>
        </is>
      </c>
      <c r="J27" s="3" t="inlineStr">
        <is>
          <t>SEP</t>
        </is>
      </c>
      <c r="K27" s="3" t="inlineStr">
        <is>
          <t>OCT</t>
        </is>
      </c>
      <c r="L27" s="3" t="inlineStr">
        <is>
          <t>NOV</t>
        </is>
      </c>
      <c r="M27" s="3" t="inlineStr">
        <is>
          <t>DEC</t>
        </is>
      </c>
      <c r="N27" s="3" t="inlineStr">
        <is>
          <t>YEARLY</t>
        </is>
      </c>
    </row>
    <row r="28">
      <c r="A28" s="4" t="inlineStr">
        <is>
          <t>Art Sales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>
        <v>26294.06</v>
      </c>
    </row>
    <row r="29">
      <c r="A29" s="4" t="inlineStr">
        <is>
          <t>Consultant</t>
        </is>
      </c>
      <c r="N29" s="4">
        <f>SUM(B29:M29)</f>
        <v/>
      </c>
    </row>
    <row r="30">
      <c r="A30" s="4" t="inlineStr">
        <is>
          <t>Total</t>
        </is>
      </c>
      <c r="B30" s="5">
        <f>SUM(B28:B29)</f>
        <v/>
      </c>
      <c r="C30" s="5">
        <f>SUM(C28:C29)</f>
        <v/>
      </c>
      <c r="D30" s="5">
        <f>SUM(D28:D29)</f>
        <v/>
      </c>
      <c r="E30" s="5">
        <f>SUM(E28:E29)</f>
        <v/>
      </c>
      <c r="F30" s="5">
        <f>SUM(F28:F29)</f>
        <v/>
      </c>
      <c r="G30" s="5">
        <f>SUM(G28:G29)</f>
        <v/>
      </c>
      <c r="H30" s="5">
        <f>SUM(H28:H29)</f>
        <v/>
      </c>
      <c r="I30" s="5">
        <f>SUM(I28:I29)</f>
        <v/>
      </c>
      <c r="J30" s="5">
        <f>SUM(J28:J29)</f>
        <v/>
      </c>
      <c r="K30" s="5">
        <f>SUM(K28:K29)</f>
        <v/>
      </c>
      <c r="L30" s="5">
        <f>SUM(L28:L29)</f>
        <v/>
      </c>
      <c r="M30" s="5">
        <f>SUM(M28:M29)</f>
        <v/>
      </c>
      <c r="N30" s="5">
        <f>SUM(N28:N29)</f>
        <v/>
      </c>
    </row>
    <row r="31"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6" t="inlineStr">
        <is>
          <t>EXPENSES</t>
        </is>
      </c>
      <c r="B32" s="3" t="inlineStr">
        <is>
          <t>JAN</t>
        </is>
      </c>
      <c r="C32" s="3" t="inlineStr">
        <is>
          <t>FEB</t>
        </is>
      </c>
      <c r="D32" s="3" t="inlineStr">
        <is>
          <t>MAR</t>
        </is>
      </c>
      <c r="E32" s="3" t="inlineStr">
        <is>
          <t>APR</t>
        </is>
      </c>
      <c r="F32" s="3" t="inlineStr">
        <is>
          <t>MAY</t>
        </is>
      </c>
      <c r="G32" s="3" t="inlineStr">
        <is>
          <t>JUN</t>
        </is>
      </c>
      <c r="H32" s="3" t="inlineStr">
        <is>
          <t>JUL</t>
        </is>
      </c>
      <c r="I32" s="3" t="inlineStr">
        <is>
          <t>AUG</t>
        </is>
      </c>
      <c r="J32" s="3" t="inlineStr">
        <is>
          <t>SEP</t>
        </is>
      </c>
      <c r="K32" s="3" t="inlineStr">
        <is>
          <t>OCT</t>
        </is>
      </c>
      <c r="L32" s="3" t="inlineStr">
        <is>
          <t>NOV</t>
        </is>
      </c>
      <c r="M32" s="3" t="inlineStr">
        <is>
          <t>DEC</t>
        </is>
      </c>
      <c r="N32" s="3" t="inlineStr">
        <is>
          <t>YEARLY</t>
        </is>
      </c>
    </row>
    <row r="33">
      <c r="A33" s="4" t="inlineStr">
        <is>
          <t>Supplies (office and operating)</t>
        </is>
      </c>
      <c r="B33" s="5" t="n">
        <v>13.59</v>
      </c>
      <c r="C33" s="5" t="n">
        <v>5.94</v>
      </c>
      <c r="D33" s="5" t="n">
        <v>31.89</v>
      </c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>
        <f>SUM(B33:M33)</f>
        <v/>
      </c>
    </row>
    <row r="34">
      <c r="A34" s="4" t="inlineStr">
        <is>
          <t>Office Construction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>
        <f>SUM(B34:M34)</f>
        <v/>
      </c>
    </row>
    <row r="35">
      <c r="A35" s="4" t="inlineStr">
        <is>
          <t xml:space="preserve">Office Interior 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>
        <f>SUM(B35:M35)</f>
        <v/>
      </c>
    </row>
    <row r="36">
      <c r="A36" s="4" t="inlineStr">
        <is>
          <t>Office Furniture</t>
        </is>
      </c>
      <c r="B36" s="5" t="n"/>
      <c r="C36" s="5" t="n"/>
      <c r="D36" s="5" t="n"/>
      <c r="E36" s="5" t="n"/>
      <c r="F36" s="5" t="n"/>
      <c r="G36" s="5" t="n">
        <v>263.98</v>
      </c>
      <c r="H36" s="5" t="n">
        <v>165</v>
      </c>
      <c r="I36" s="5" t="n"/>
      <c r="J36" s="5" t="n"/>
      <c r="K36" s="5" t="n"/>
      <c r="L36" s="5" t="n"/>
      <c r="M36" s="5" t="n"/>
      <c r="N36" s="5">
        <f>SUM(B36:M36)</f>
        <v/>
      </c>
    </row>
    <row r="37">
      <c r="A37" s="4" t="inlineStr">
        <is>
          <t>Repairs and maintenance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>
        <f>SUM(B37:M37)</f>
        <v/>
      </c>
    </row>
    <row r="38">
      <c r="A38" s="4" t="inlineStr">
        <is>
          <t>Advertising</t>
        </is>
      </c>
      <c r="B38" s="5" t="n"/>
      <c r="C38" s="5" t="n"/>
      <c r="D38" s="5" t="n">
        <v>60</v>
      </c>
      <c r="E38" s="5" t="n">
        <v>164.86</v>
      </c>
      <c r="F38" s="5" t="n">
        <v>34.91</v>
      </c>
      <c r="G38" s="5" t="n"/>
      <c r="H38" s="5" t="n"/>
      <c r="I38" s="5" t="n"/>
      <c r="J38" s="5" t="n"/>
      <c r="K38" s="5" t="n"/>
      <c r="L38" s="5" t="n"/>
      <c r="M38" s="5" t="n"/>
      <c r="N38" s="5">
        <f>SUM(B38:M38)</f>
        <v/>
      </c>
    </row>
    <row r="39">
      <c r="A39" s="4" t="inlineStr">
        <is>
          <t>Travel, Meals, and Entertainment</t>
        </is>
      </c>
      <c r="B39" s="5" t="n"/>
      <c r="C39" s="5" t="n">
        <v>1169.05</v>
      </c>
      <c r="D39" s="5" t="n"/>
      <c r="E39" s="5" t="n">
        <v>1613.5</v>
      </c>
      <c r="F39" s="5" t="n"/>
      <c r="G39" s="5" t="n"/>
      <c r="H39" s="5" t="n"/>
      <c r="I39" s="5" t="n"/>
      <c r="J39" s="5" t="n">
        <v>923.42</v>
      </c>
      <c r="K39" s="5" t="n"/>
      <c r="L39" s="5" t="n">
        <v>1059.45</v>
      </c>
      <c r="M39" s="5" t="n"/>
      <c r="N39" s="5">
        <f>SUM(B39:M39)</f>
        <v/>
      </c>
    </row>
    <row r="40">
      <c r="A40" s="4" t="inlineStr">
        <is>
          <t>Accounting and legal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>
        <f>SUM(B40:M40)</f>
        <v/>
      </c>
    </row>
    <row r="41">
      <c r="A41" s="4" t="inlineStr">
        <is>
          <t>Cellphone and Internet</t>
        </is>
      </c>
      <c r="B41" s="5" t="n">
        <v>77.66</v>
      </c>
      <c r="C41" s="5" t="n">
        <v>77.45</v>
      </c>
      <c r="D41" s="5" t="n">
        <v>77.45</v>
      </c>
      <c r="E41" s="5" t="n">
        <v>77.43000000000001</v>
      </c>
      <c r="F41" s="5" t="n">
        <v>77.43000000000001</v>
      </c>
      <c r="G41" s="5" t="n">
        <v>162.86</v>
      </c>
      <c r="H41" s="5" t="n">
        <v>267.46</v>
      </c>
      <c r="I41" s="5" t="n">
        <v>88.54000000000001</v>
      </c>
      <c r="J41" s="5" t="n">
        <v>88.72</v>
      </c>
      <c r="K41" s="5" t="n">
        <v>93.61</v>
      </c>
      <c r="L41" s="5" t="n">
        <v>111.83</v>
      </c>
      <c r="M41" s="5" t="n">
        <v>106.67</v>
      </c>
      <c r="N41" s="5">
        <f>SUM(B41:M41)</f>
        <v/>
      </c>
    </row>
    <row r="42">
      <c r="A42" s="4" t="inlineStr">
        <is>
          <t>Software Fees</t>
        </is>
      </c>
      <c r="B42" s="5" t="n">
        <v>30</v>
      </c>
      <c r="C42" s="5" t="n">
        <v>30</v>
      </c>
      <c r="D42" s="5" t="n">
        <v>30</v>
      </c>
      <c r="E42" s="5" t="n">
        <v>30</v>
      </c>
      <c r="F42" s="5" t="n">
        <v>30</v>
      </c>
      <c r="G42" s="5" t="n">
        <v>30</v>
      </c>
      <c r="H42" s="5" t="n">
        <v>30</v>
      </c>
      <c r="I42" s="5" t="n">
        <v>30</v>
      </c>
      <c r="J42" s="5" t="n">
        <v>30</v>
      </c>
      <c r="K42" s="5" t="n">
        <v>50</v>
      </c>
      <c r="L42" s="5" t="n">
        <v>50</v>
      </c>
      <c r="M42" s="5" t="n">
        <v>50</v>
      </c>
      <c r="N42" s="5">
        <f>SUM(B42:M42)</f>
        <v/>
      </c>
    </row>
    <row r="43">
      <c r="A43" s="4" t="inlineStr">
        <is>
          <t>Tech</t>
        </is>
      </c>
      <c r="B43" s="5" t="n"/>
      <c r="C43" s="5" t="n"/>
      <c r="D43" s="5" t="n"/>
      <c r="E43" s="5" t="n">
        <v>20</v>
      </c>
      <c r="F43" s="5" t="n">
        <v>192</v>
      </c>
      <c r="G43" s="5" t="n"/>
      <c r="H43" s="5" t="n"/>
      <c r="I43" s="5" t="n"/>
      <c r="J43" s="5" t="n"/>
      <c r="K43" s="5" t="n"/>
      <c r="L43" s="5" t="n">
        <v>628.59</v>
      </c>
      <c r="M43" s="5" t="n"/>
      <c r="N43" s="5">
        <f>SUM(B43:M43)</f>
        <v/>
      </c>
    </row>
    <row r="44">
      <c r="A44" s="4" t="inlineStr">
        <is>
          <t>Consultant Fees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>
        <v>316.5</v>
      </c>
      <c r="K44" s="5" t="n"/>
      <c r="L44" s="5" t="n"/>
      <c r="M44" s="5" t="n"/>
      <c r="N44" s="5">
        <f>SUM(B44:M44)</f>
        <v/>
      </c>
    </row>
    <row r="45">
      <c r="A45" s="4" t="inlineStr">
        <is>
          <t>Art Library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>
        <v>197.44</v>
      </c>
      <c r="N45" s="5">
        <f>SUM(B45:M45)</f>
        <v/>
      </c>
    </row>
    <row r="46">
      <c r="A46" s="4" t="inlineStr">
        <is>
          <t>Utilities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>
        <f>SUM(B46:M46)</f>
        <v/>
      </c>
    </row>
    <row r="47">
      <c r="A47" s="4" t="inlineStr">
        <is>
          <t>Insurance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>
        <f>SUM(B47:M47)</f>
        <v/>
      </c>
    </row>
    <row r="48">
      <c r="A48" s="2" t="inlineStr">
        <is>
          <t>TOTAL EXPENSES</t>
        </is>
      </c>
      <c r="B48" s="7">
        <f>SUM(B33:B47)</f>
        <v/>
      </c>
      <c r="C48" s="7">
        <f>SUM(C33:C47)</f>
        <v/>
      </c>
      <c r="D48" s="7">
        <f>SUM(D33:D47)</f>
        <v/>
      </c>
      <c r="E48" s="7">
        <f>SUM(E33:E47)</f>
        <v/>
      </c>
      <c r="F48" s="7">
        <f>SUM(F33:F47)</f>
        <v/>
      </c>
      <c r="G48" s="7">
        <f>SUM(G33:G47)</f>
        <v/>
      </c>
      <c r="H48" s="7">
        <f>SUM(H33:H47)</f>
        <v/>
      </c>
      <c r="I48" s="7">
        <f>SUM(I33:I47)</f>
        <v/>
      </c>
      <c r="J48" s="7">
        <f>SUM(J33:J47)</f>
        <v/>
      </c>
      <c r="K48" s="7">
        <f>SUM(K33:K47)</f>
        <v/>
      </c>
      <c r="L48" s="7">
        <f>SUM(L33:L47)</f>
        <v/>
      </c>
      <c r="M48" s="7">
        <f>SUM(M33:M47)</f>
        <v/>
      </c>
      <c r="N48" s="7">
        <f>SUM(N33:N47)</f>
        <v/>
      </c>
    </row>
    <row r="49"/>
    <row r="50">
      <c r="A50" s="2" t="inlineStr">
        <is>
          <t>YEAR TO DATE LESS EXPENSES</t>
        </is>
      </c>
      <c r="B50" s="7">
        <f>SUM(B30-B48)</f>
        <v/>
      </c>
      <c r="C50" s="7">
        <f>SUM(C30-C48)</f>
        <v/>
      </c>
      <c r="D50" s="7">
        <f>SUM(D30-D48)</f>
        <v/>
      </c>
      <c r="E50" s="7">
        <f>SUM(E30-E48)</f>
        <v/>
      </c>
      <c r="F50" s="7">
        <f>SUM(F30-F48)</f>
        <v/>
      </c>
      <c r="G50" s="7">
        <f>SUM(G30-G48)</f>
        <v/>
      </c>
      <c r="H50" s="7">
        <f>SUM(H30-H48)</f>
        <v/>
      </c>
      <c r="I50" s="7">
        <f>SUM(I30-I48)</f>
        <v/>
      </c>
      <c r="J50" s="7">
        <f>SUM(J30-J48)</f>
        <v/>
      </c>
      <c r="K50" s="7">
        <f>SUM(K30-K48)</f>
        <v/>
      </c>
      <c r="L50" s="7">
        <f>SUM(L30-L48)</f>
        <v/>
      </c>
      <c r="M50" s="7">
        <f>SUM(M30-M48)</f>
        <v/>
      </c>
      <c r="N50" s="7">
        <f>SUM(N30-N48)</f>
        <v/>
      </c>
    </row>
    <row r="51">
      <c r="A51" s="8" t="n">
        <v>2025</v>
      </c>
    </row>
    <row r="52">
      <c r="A52" s="2" t="inlineStr">
        <is>
          <t>INCOME</t>
        </is>
      </c>
      <c r="B52" s="3" t="inlineStr">
        <is>
          <t>JAN</t>
        </is>
      </c>
      <c r="C52" s="3" t="inlineStr">
        <is>
          <t>FEB</t>
        </is>
      </c>
      <c r="D52" s="3" t="inlineStr">
        <is>
          <t>MAR</t>
        </is>
      </c>
      <c r="E52" s="3" t="inlineStr">
        <is>
          <t>APR</t>
        </is>
      </c>
      <c r="F52" s="3" t="inlineStr">
        <is>
          <t>MAY</t>
        </is>
      </c>
      <c r="G52" s="3" t="inlineStr">
        <is>
          <t>JUN</t>
        </is>
      </c>
      <c r="H52" s="3" t="inlineStr">
        <is>
          <t>JUL</t>
        </is>
      </c>
      <c r="I52" s="3" t="inlineStr">
        <is>
          <t>AUG</t>
        </is>
      </c>
      <c r="J52" s="3" t="inlineStr">
        <is>
          <t>SEP</t>
        </is>
      </c>
      <c r="K52" s="3" t="inlineStr">
        <is>
          <t>OCT</t>
        </is>
      </c>
      <c r="L52" s="3" t="inlineStr">
        <is>
          <t>NOV</t>
        </is>
      </c>
      <c r="M52" s="3" t="inlineStr">
        <is>
          <t>DEC</t>
        </is>
      </c>
      <c r="N52" s="3" t="inlineStr">
        <is>
          <t>YEARLY</t>
        </is>
      </c>
    </row>
    <row r="53">
      <c r="A53" s="4" t="inlineStr">
        <is>
          <t>Art Sales</t>
        </is>
      </c>
      <c r="B53" s="9" t="n">
        <v>14000</v>
      </c>
      <c r="C53" s="9" t="n">
        <v>136000</v>
      </c>
      <c r="D53" s="10" t="n">
        <v>0</v>
      </c>
      <c r="E53" s="10" t="n">
        <v>0</v>
      </c>
      <c r="F53" s="10" t="n">
        <v>0</v>
      </c>
      <c r="G53" s="10" t="n">
        <v>0</v>
      </c>
      <c r="H53" s="10" t="n">
        <v>0</v>
      </c>
      <c r="I53" s="10" t="n">
        <v>0</v>
      </c>
      <c r="J53" s="10" t="n">
        <v>0</v>
      </c>
      <c r="K53" s="10" t="n">
        <v>0</v>
      </c>
      <c r="L53" s="10" t="n">
        <v>0</v>
      </c>
      <c r="M53" s="10" t="n">
        <v>0</v>
      </c>
      <c r="N53" s="5">
        <f>SUM(B53:M53)</f>
        <v/>
      </c>
    </row>
    <row r="54">
      <c r="A54" s="4" t="inlineStr">
        <is>
          <t>Consultant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9" t="n">
        <v>13595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1">
        <f>SUM(B54:M54)</f>
        <v/>
      </c>
    </row>
    <row r="55">
      <c r="A55" s="4" t="inlineStr">
        <is>
          <t>Total</t>
        </is>
      </c>
      <c r="B55" s="5">
        <f>SUM(B53:B54)</f>
        <v/>
      </c>
      <c r="C55" s="5">
        <f>SUM(C53:C54)</f>
        <v/>
      </c>
      <c r="D55" s="5">
        <f>SUM(D53:D54)</f>
        <v/>
      </c>
      <c r="E55" s="5">
        <f>SUM(E53:E54)</f>
        <v/>
      </c>
      <c r="F55" s="5">
        <f>SUM(F53:F54)</f>
        <v/>
      </c>
      <c r="G55" s="5">
        <f>SUM(G53:G54)</f>
        <v/>
      </c>
      <c r="H55" s="5">
        <f>SUM(H53:H54)</f>
        <v/>
      </c>
      <c r="I55" s="5">
        <f>SUM(I53:I54)</f>
        <v/>
      </c>
      <c r="J55" s="5">
        <f>SUM(J53:J54)</f>
        <v/>
      </c>
      <c r="K55" s="5">
        <f>SUM(K53:K54)</f>
        <v/>
      </c>
      <c r="L55" s="5">
        <f>SUM(L53:L54)</f>
        <v/>
      </c>
      <c r="M55" s="5">
        <f>SUM(M53:M54)</f>
        <v/>
      </c>
      <c r="N55" s="5">
        <f>SUM(N53:N54)</f>
        <v/>
      </c>
    </row>
    <row r="56"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6" t="inlineStr">
        <is>
          <t>EXPENSES</t>
        </is>
      </c>
      <c r="B57" s="3" t="inlineStr">
        <is>
          <t>JAN</t>
        </is>
      </c>
      <c r="C57" s="3" t="inlineStr">
        <is>
          <t>FEB</t>
        </is>
      </c>
      <c r="D57" s="3" t="inlineStr">
        <is>
          <t>MAR</t>
        </is>
      </c>
      <c r="E57" s="3" t="inlineStr">
        <is>
          <t>APR</t>
        </is>
      </c>
      <c r="F57" s="3" t="inlineStr">
        <is>
          <t>MAY</t>
        </is>
      </c>
      <c r="G57" s="3" t="inlineStr">
        <is>
          <t>JUN</t>
        </is>
      </c>
      <c r="H57" s="3" t="inlineStr">
        <is>
          <t>JUL</t>
        </is>
      </c>
      <c r="I57" s="3" t="inlineStr">
        <is>
          <t>AUG</t>
        </is>
      </c>
      <c r="J57" s="3" t="inlineStr">
        <is>
          <t>SEP</t>
        </is>
      </c>
      <c r="K57" s="3" t="inlineStr">
        <is>
          <t>OCT</t>
        </is>
      </c>
      <c r="L57" s="3" t="inlineStr">
        <is>
          <t>NOV</t>
        </is>
      </c>
      <c r="M57" s="3" t="inlineStr">
        <is>
          <t>DEC</t>
        </is>
      </c>
      <c r="N57" s="3" t="inlineStr">
        <is>
          <t>YEARLY</t>
        </is>
      </c>
    </row>
    <row r="58">
      <c r="A58" s="4" t="inlineStr">
        <is>
          <t>Supplies (office and operating)</t>
        </is>
      </c>
      <c r="B58" s="12" t="n">
        <v>0</v>
      </c>
      <c r="C58" s="12" t="n">
        <v>0</v>
      </c>
      <c r="D58" s="12" t="n">
        <v>0</v>
      </c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>
        <f>SUM(B58:M58)</f>
        <v/>
      </c>
    </row>
    <row r="59">
      <c r="A59" s="4" t="inlineStr">
        <is>
          <t>Office Construction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>
        <f>SUM(B59:M59)</f>
        <v/>
      </c>
    </row>
    <row r="60">
      <c r="A60" s="4" t="inlineStr">
        <is>
          <t xml:space="preserve">Office Interior 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>
        <f>SUM(B60:M60)</f>
        <v/>
      </c>
    </row>
    <row r="61">
      <c r="A61" s="4" t="inlineStr">
        <is>
          <t>Office Furniture</t>
        </is>
      </c>
      <c r="B61" s="5" t="n"/>
      <c r="C61" s="5" t="n"/>
      <c r="D61" s="5" t="n"/>
      <c r="E61" s="5" t="n"/>
      <c r="F61" s="5" t="n"/>
      <c r="G61" s="12" t="n">
        <v>0</v>
      </c>
      <c r="H61" s="12" t="n">
        <v>0</v>
      </c>
      <c r="I61" s="5" t="n"/>
      <c r="J61" s="5" t="n"/>
      <c r="K61" s="5" t="n"/>
      <c r="L61" s="5" t="n"/>
      <c r="M61" s="5" t="n"/>
      <c r="N61" s="5">
        <f>SUM(B61:M61)</f>
        <v/>
      </c>
    </row>
    <row r="62">
      <c r="A62" s="4" t="inlineStr">
        <is>
          <t>Repairs and maintenance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>
        <f>SUM(B62:M62)</f>
        <v/>
      </c>
    </row>
    <row r="63">
      <c r="A63" s="4" t="inlineStr">
        <is>
          <t>Advertising</t>
        </is>
      </c>
      <c r="B63" s="5" t="n">
        <v>0</v>
      </c>
      <c r="C63" s="5" t="n">
        <v>0</v>
      </c>
      <c r="D63" s="13" t="n">
        <v>755.98</v>
      </c>
      <c r="E63" s="5" t="n">
        <v>0</v>
      </c>
      <c r="F63" s="13" t="n">
        <v>199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>
        <f>SUM(B63:M63)</f>
        <v/>
      </c>
    </row>
    <row r="64">
      <c r="A64" s="4" t="inlineStr">
        <is>
          <t>Travel, Meals, and Entertainment</t>
        </is>
      </c>
      <c r="B64" s="5" t="n">
        <v>0</v>
      </c>
      <c r="C64" s="13" t="n">
        <v>20</v>
      </c>
      <c r="D64" s="5" t="n">
        <v>0</v>
      </c>
      <c r="E64" s="5" t="n">
        <v>0</v>
      </c>
      <c r="F64" s="13" t="n">
        <v>20</v>
      </c>
      <c r="G64" s="5" t="n">
        <v>0</v>
      </c>
      <c r="H64" s="13" t="n">
        <v>20</v>
      </c>
      <c r="I64" s="13" t="n">
        <v>20</v>
      </c>
      <c r="J64" s="5" t="n">
        <v>0</v>
      </c>
      <c r="K64" s="13" t="n">
        <v>20</v>
      </c>
      <c r="L64" s="13" t="n">
        <v>53</v>
      </c>
      <c r="M64" s="5" t="n">
        <v>0</v>
      </c>
      <c r="N64" s="5">
        <f>SUM(B64:M64)</f>
        <v/>
      </c>
    </row>
    <row r="65">
      <c r="A65" s="4" t="inlineStr">
        <is>
          <t>Accounting and legal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>
        <f>SUM(B65:M65)</f>
        <v/>
      </c>
    </row>
    <row r="66">
      <c r="A66" s="4" t="inlineStr">
        <is>
          <t>Cellphone and Internet</t>
        </is>
      </c>
      <c r="B66" s="13" t="n">
        <v>51.12</v>
      </c>
      <c r="C66" s="13" t="n">
        <v>93.26000000000001</v>
      </c>
      <c r="D66" s="13" t="n">
        <v>98.26000000000001</v>
      </c>
      <c r="E66" s="13" t="n">
        <v>98.26000000000001</v>
      </c>
      <c r="F66" s="13" t="n">
        <v>98.26000000000001</v>
      </c>
      <c r="G66" s="13" t="n">
        <v>98.26000000000001</v>
      </c>
      <c r="H66" s="13" t="n">
        <v>98.23</v>
      </c>
      <c r="I66" s="13" t="n">
        <v>98.34</v>
      </c>
      <c r="J66" s="13" t="n">
        <v>98.34</v>
      </c>
      <c r="K66" s="13" t="n">
        <v>98.39</v>
      </c>
      <c r="L66" s="13" t="n">
        <v>98.39</v>
      </c>
      <c r="M66" s="13" t="n">
        <v>97.91</v>
      </c>
      <c r="N66" s="5">
        <f>SUM(B66:M66)</f>
        <v/>
      </c>
    </row>
    <row r="67">
      <c r="A67" s="4" t="inlineStr">
        <is>
          <t>Software Fees</t>
        </is>
      </c>
      <c r="B67" s="13" t="n">
        <v>22.17</v>
      </c>
      <c r="C67" s="13" t="n">
        <v>22.17</v>
      </c>
      <c r="D67" s="13" t="n">
        <v>22.17</v>
      </c>
      <c r="E67" s="13" t="n">
        <v>22.17</v>
      </c>
      <c r="F67" s="13" t="n">
        <v>22.17</v>
      </c>
      <c r="G67" s="13" t="n">
        <v>22.17</v>
      </c>
      <c r="H67" s="13" t="n">
        <v>22.17</v>
      </c>
      <c r="I67" s="13" t="n">
        <v>2.17</v>
      </c>
      <c r="J67" s="13" t="n">
        <v>57.17</v>
      </c>
      <c r="K67" s="13" t="n">
        <v>37.17</v>
      </c>
      <c r="L67" s="13" t="n">
        <v>17.17</v>
      </c>
      <c r="M67" s="13" t="n">
        <v>57.17</v>
      </c>
      <c r="N67" s="5">
        <f>SUM(B67:M67)</f>
        <v/>
      </c>
    </row>
    <row r="68">
      <c r="A68" s="4" t="inlineStr">
        <is>
          <t>Tech</t>
        </is>
      </c>
      <c r="B68" s="5" t="n">
        <v>0</v>
      </c>
      <c r="C68" s="5" t="n">
        <v>0</v>
      </c>
      <c r="D68" s="5" t="n">
        <v>0</v>
      </c>
      <c r="E68" s="13" t="n">
        <v>20</v>
      </c>
      <c r="F68" s="13" t="n">
        <v>192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>
        <f>SUM(B68:M68)</f>
        <v/>
      </c>
    </row>
    <row r="69">
      <c r="A69" s="4" t="inlineStr">
        <is>
          <t>Consultant Fees</t>
        </is>
      </c>
      <c r="B69" s="10" t="n">
        <v>0</v>
      </c>
      <c r="C69" s="10" t="n">
        <v>0</v>
      </c>
      <c r="D69" s="10" t="n">
        <v>0</v>
      </c>
      <c r="E69" s="10" t="n">
        <v>0</v>
      </c>
      <c r="F69" s="10" t="n">
        <v>0</v>
      </c>
      <c r="G69" s="10" t="n">
        <v>0</v>
      </c>
      <c r="H69" s="9" t="n">
        <v>334.17</v>
      </c>
      <c r="I69" s="10" t="n">
        <v>0</v>
      </c>
      <c r="J69" s="10" t="n">
        <v>0</v>
      </c>
      <c r="K69" s="9" t="n">
        <v>658.63</v>
      </c>
      <c r="L69" s="10" t="n">
        <v>0</v>
      </c>
      <c r="M69" s="10" t="n">
        <v>0</v>
      </c>
      <c r="N69" s="5">
        <f>SUM(B69:M69)</f>
        <v/>
      </c>
    </row>
    <row r="70">
      <c r="A70" s="4" t="inlineStr">
        <is>
          <t>Art Library</t>
        </is>
      </c>
      <c r="B70" s="13" t="n">
        <v>153.44</v>
      </c>
      <c r="C70" s="13" t="n">
        <v>78.47</v>
      </c>
      <c r="D70" s="5" t="n">
        <v>0</v>
      </c>
      <c r="E70" s="13" t="n">
        <v>63.69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>
        <f>SUM(B70:M70)</f>
        <v/>
      </c>
    </row>
    <row r="71">
      <c r="A71" s="4" t="inlineStr">
        <is>
          <t>Utilities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>
        <f>SUM(B71:M71)</f>
        <v/>
      </c>
    </row>
    <row r="72">
      <c r="A72" s="4" t="inlineStr">
        <is>
          <t>Insurance</t>
        </is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>
        <f>SUM(B72:M72)</f>
        <v/>
      </c>
    </row>
    <row r="73">
      <c r="A73" s="2" t="inlineStr">
        <is>
          <t>TOTAL EXPENSES</t>
        </is>
      </c>
      <c r="B73" s="7">
        <f>SUM(B58:B72)</f>
        <v/>
      </c>
      <c r="C73" s="7">
        <f>SUM(C58:C72)</f>
        <v/>
      </c>
      <c r="D73" s="7">
        <f>SUM(D58:D72)</f>
        <v/>
      </c>
      <c r="E73" s="7">
        <f>SUM(E58:E72)</f>
        <v/>
      </c>
      <c r="F73" s="7">
        <f>SUM(F58:F72)</f>
        <v/>
      </c>
      <c r="G73" s="7">
        <f>SUM(G58:G72)</f>
        <v/>
      </c>
      <c r="H73" s="7">
        <f>SUM(H58:H72)</f>
        <v/>
      </c>
      <c r="I73" s="7">
        <f>SUM(I58:I72)</f>
        <v/>
      </c>
      <c r="J73" s="7">
        <f>SUM(J58:J72)</f>
        <v/>
      </c>
      <c r="K73" s="7">
        <f>SUM(K58:K72)</f>
        <v/>
      </c>
      <c r="L73" s="7">
        <f>SUM(L58:L72)</f>
        <v/>
      </c>
      <c r="M73" s="7">
        <f>SUM(M58:M72)</f>
        <v/>
      </c>
      <c r="N73" s="7">
        <f>SUM(N58:N72)</f>
        <v/>
      </c>
    </row>
    <row r="74"/>
    <row r="75">
      <c r="A75" s="14" t="inlineStr">
        <is>
          <t>2025 Mercury 2026-09-20: Art Sales = MATCHED/LOCKED cash (Berk $14,000 Jan + Berk $30,000 / mosaics $105,000 / Aquinas books $1,000 Feb = $150,000). Consultant June $13,595 = David Aaron Limited LOCKED (user: consultant fee, not a sale). Consultant Fees July $334.17 + October $658.63 = Wise expertise write-ups LOCKED ($992.80). EOEB remainder $130,270.00 and L5 $87,396.32 MIXED PATTERN CONFIRMED (art sales + advisory/consultant) — invoice-level split still ASK; not dumped onto Consultant or Art Sales. Koziol/Ariadne $150,000 LOCKED pass-through — not P&amp;L. Coinbase is Investments, not this tab. Newstar $23,581 is Art Sales COGS, not operating expense. Dec Wise $565.75 reimbursed — not on Consultant Fees. Aquinas books Cost TBD — cash on Art Sales, not in I8. GCM 1099 is personal. Not tax advice.</t>
        </is>
      </c>
    </row>
    <row r="7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4"/>
  <sheetViews>
    <sheetView workbookViewId="0">
      <selection activeCell="A1" sqref="A1"/>
    </sheetView>
  </sheetViews>
  <sheetFormatPr baseColWidth="8" defaultRowHeight="15"/>
  <cols>
    <col width="47.86" customWidth="1" min="1" max="1"/>
    <col width="20.57" customWidth="1" min="2" max="2"/>
    <col width="19.57" customWidth="1" min="3" max="3"/>
    <col width="16.57" customWidth="1" min="4" max="4"/>
    <col width="19.14" customWidth="1" min="5" max="5"/>
    <col width="17.43" customWidth="1" min="6" max="6"/>
    <col width="24.86" customWidth="1" min="7" max="7"/>
    <col width="16.14" customWidth="1" min="8" max="8"/>
    <col width="13.57" customWidth="1" min="9" max="9"/>
    <col width="19.43" customWidth="1" min="10" max="10"/>
    <col width="8.710000000000001" customWidth="1" min="11" max="11"/>
  </cols>
  <sheetData>
    <row r="1">
      <c r="B1" s="15" t="n"/>
      <c r="C1" s="5" t="n"/>
      <c r="F1" s="5" t="n"/>
      <c r="I1" s="16" t="n"/>
    </row>
    <row r="2">
      <c r="A2" s="17" t="inlineStr">
        <is>
          <t>Sales 2022</t>
        </is>
      </c>
      <c r="B2" s="17" t="n"/>
      <c r="C2" s="17" t="n"/>
      <c r="D2" s="17" t="n"/>
      <c r="E2" s="17" t="n"/>
      <c r="F2" s="17" t="n"/>
      <c r="G2" s="17" t="n"/>
      <c r="H2" s="17" t="n"/>
      <c r="I2" s="16" t="n"/>
    </row>
    <row r="3">
      <c r="A3" s="18" t="inlineStr">
        <is>
          <t>Object</t>
        </is>
      </c>
      <c r="B3" s="19" t="inlineStr">
        <is>
          <t>From</t>
        </is>
      </c>
      <c r="C3" s="20" t="inlineStr">
        <is>
          <t>Cost</t>
        </is>
      </c>
      <c r="D3" s="18" t="inlineStr">
        <is>
          <t xml:space="preserve">Purchase Date </t>
        </is>
      </c>
      <c r="E3" s="18" t="inlineStr">
        <is>
          <t>To</t>
        </is>
      </c>
      <c r="F3" s="20" t="inlineStr">
        <is>
          <t>Sale Price</t>
        </is>
      </c>
      <c r="G3" s="18" t="inlineStr">
        <is>
          <t>Sale Date</t>
        </is>
      </c>
      <c r="H3" s="18" t="inlineStr">
        <is>
          <t>Net Income</t>
        </is>
      </c>
      <c r="I3" s="21" t="inlineStr">
        <is>
          <t>ROI (%)</t>
        </is>
      </c>
      <c r="J3" s="18" t="inlineStr">
        <is>
          <t xml:space="preserve">Days in Inventory </t>
        </is>
      </c>
    </row>
    <row r="4">
      <c r="A4" s="4" t="inlineStr">
        <is>
          <t>An Ashanti Wood Fertility Figure</t>
        </is>
      </c>
      <c r="B4" s="15" t="inlineStr">
        <is>
          <t>Live Auctioneers</t>
        </is>
      </c>
      <c r="C4" s="5" t="n">
        <v>450</v>
      </c>
      <c r="D4" s="22" t="n">
        <v>44344</v>
      </c>
      <c r="E4" s="4" t="inlineStr">
        <is>
          <t>Hindman</t>
        </is>
      </c>
      <c r="F4" s="5" t="n">
        <v>500</v>
      </c>
      <c r="G4" s="22" t="n">
        <v>44755</v>
      </c>
      <c r="H4" s="5">
        <f>SUM(F4-C4)</f>
        <v/>
      </c>
      <c r="I4" s="16">
        <f>H4/C4</f>
        <v/>
      </c>
      <c r="J4" s="4">
        <f>G4-D4</f>
        <v/>
      </c>
    </row>
    <row r="5">
      <c r="A5" s="4" t="inlineStr">
        <is>
          <t>A Large Maya Hardstone Celt</t>
        </is>
      </c>
      <c r="B5" s="15" t="inlineStr">
        <is>
          <t>Live Auctioneers</t>
        </is>
      </c>
      <c r="C5" s="5" t="n">
        <v>906.37</v>
      </c>
      <c r="D5" s="22" t="n">
        <v>44535</v>
      </c>
      <c r="E5" s="4" t="inlineStr">
        <is>
          <t>Hindman</t>
        </is>
      </c>
      <c r="F5" s="5" t="n">
        <v>1000</v>
      </c>
      <c r="G5" s="22" t="n">
        <v>44755</v>
      </c>
      <c r="H5" s="5">
        <f>SUM(F5-C5)</f>
        <v/>
      </c>
      <c r="I5" s="16">
        <f>H5/C5</f>
        <v/>
      </c>
      <c r="J5" s="4">
        <f>G5-D5</f>
        <v/>
      </c>
    </row>
    <row r="6">
      <c r="A6" s="4" t="inlineStr">
        <is>
          <t>A Mezcala Stone Figure</t>
        </is>
      </c>
      <c r="B6" s="15" t="inlineStr">
        <is>
          <t>Live Auctioneers</t>
        </is>
      </c>
      <c r="C6" s="23" t="n">
        <v>239</v>
      </c>
      <c r="D6" s="22" t="n">
        <v>44548</v>
      </c>
      <c r="E6" s="4" t="inlineStr">
        <is>
          <t>Hindman</t>
        </is>
      </c>
      <c r="F6" s="5" t="n">
        <v>400</v>
      </c>
      <c r="G6" s="22" t="n">
        <v>44755</v>
      </c>
      <c r="H6" s="5">
        <f>SUM(F6-C6)</f>
        <v/>
      </c>
      <c r="I6" s="16">
        <f>H6/C6</f>
        <v/>
      </c>
      <c r="J6" s="4">
        <f>G6-D6</f>
        <v/>
      </c>
    </row>
    <row r="7">
      <c r="A7" s="4" t="inlineStr">
        <is>
          <t>A Veracruz Sonriente Figure</t>
        </is>
      </c>
      <c r="B7" s="15" t="inlineStr">
        <is>
          <t>Live Auctioneers</t>
        </is>
      </c>
      <c r="C7" s="5" t="n">
        <v>900</v>
      </c>
      <c r="D7" s="22" t="n">
        <v>44569</v>
      </c>
      <c r="E7" s="4" t="inlineStr">
        <is>
          <t>Hindman</t>
        </is>
      </c>
      <c r="F7" s="5" t="n">
        <v>1100</v>
      </c>
      <c r="G7" s="22" t="n">
        <v>44755</v>
      </c>
      <c r="H7" s="5">
        <f>SUM(F7-C7)</f>
        <v/>
      </c>
      <c r="I7" s="16">
        <f>H7/C7</f>
        <v/>
      </c>
      <c r="J7" s="4">
        <f>G7-D7</f>
        <v/>
      </c>
    </row>
    <row r="8">
      <c r="A8" s="4" t="inlineStr">
        <is>
          <t>A Tairona Metal Tumbaga</t>
        </is>
      </c>
      <c r="B8" s="15" t="inlineStr">
        <is>
          <t>Live Auctioneers</t>
        </is>
      </c>
      <c r="C8" s="5" t="n">
        <v>172</v>
      </c>
      <c r="D8" s="22" t="n">
        <v>44569</v>
      </c>
      <c r="E8" s="4" t="inlineStr">
        <is>
          <t>Hindman</t>
        </is>
      </c>
      <c r="F8" s="5" t="n">
        <v>375</v>
      </c>
      <c r="G8" s="22" t="n">
        <v>44755</v>
      </c>
      <c r="H8" s="5">
        <f>SUM(F8-C8)</f>
        <v/>
      </c>
      <c r="I8" s="16">
        <f>H8/C8</f>
        <v/>
      </c>
      <c r="J8" s="4">
        <f>G8-D8</f>
        <v/>
      </c>
    </row>
    <row r="9">
      <c r="A9" s="4" t="inlineStr">
        <is>
          <t>Four Thracian Gilt-Silver Double Eagle Plaques</t>
        </is>
      </c>
      <c r="B9" s="15" t="inlineStr">
        <is>
          <t>Hindman</t>
        </is>
      </c>
      <c r="C9" s="5" t="n">
        <v>400</v>
      </c>
      <c r="D9" s="22" t="n">
        <v>44343</v>
      </c>
      <c r="E9" s="4" t="inlineStr">
        <is>
          <t>Hindman</t>
        </is>
      </c>
      <c r="F9" s="5" t="n">
        <v>500</v>
      </c>
      <c r="G9" s="22" t="n">
        <v>44877</v>
      </c>
      <c r="H9" s="5">
        <f>SUM(F9-C9)</f>
        <v/>
      </c>
      <c r="I9" s="16">
        <f>H9/C9</f>
        <v/>
      </c>
      <c r="J9" s="4">
        <f>G9-D9</f>
        <v/>
      </c>
    </row>
    <row r="10">
      <c r="A10" s="4" t="inlineStr">
        <is>
          <t>A Thracian Gilt-Silver Tondo of a Female Bust</t>
        </is>
      </c>
      <c r="B10" s="15" t="inlineStr">
        <is>
          <t>Hindman</t>
        </is>
      </c>
      <c r="C10" s="5" t="n">
        <v>375</v>
      </c>
      <c r="D10" s="22" t="n">
        <v>44343</v>
      </c>
      <c r="E10" s="4" t="inlineStr">
        <is>
          <t>Hindman</t>
        </is>
      </c>
      <c r="F10" s="5" t="n">
        <v>700</v>
      </c>
      <c r="G10" s="22" t="n">
        <v>44877</v>
      </c>
      <c r="H10" s="5">
        <f>SUM(F10-C10)</f>
        <v/>
      </c>
      <c r="I10" s="16">
        <f>H10/C10</f>
        <v/>
      </c>
      <c r="J10" s="4">
        <f>G10-D10</f>
        <v/>
      </c>
    </row>
    <row r="11">
      <c r="A11" s="4" t="inlineStr">
        <is>
          <t>A Pair of Canosan Painted Pottery Oinochoai</t>
        </is>
      </c>
      <c r="B11" s="15" t="inlineStr">
        <is>
          <t>Hindman</t>
        </is>
      </c>
      <c r="C11" s="5" t="n">
        <v>6250</v>
      </c>
      <c r="D11" s="22" t="n">
        <v>44343</v>
      </c>
      <c r="E11" s="22" t="inlineStr">
        <is>
          <t>Hindman</t>
        </is>
      </c>
      <c r="F11" s="5" t="n">
        <v>15000</v>
      </c>
      <c r="G11" s="22" t="n">
        <v>44877</v>
      </c>
      <c r="H11" s="5">
        <f>SUM(F11-C11)</f>
        <v/>
      </c>
      <c r="I11" s="16">
        <f>H11/C11</f>
        <v/>
      </c>
      <c r="J11" s="4">
        <f>G11-D11</f>
        <v/>
      </c>
    </row>
    <row r="12">
      <c r="A12" s="4" t="inlineStr">
        <is>
          <t xml:space="preserve">Thirteen Saharan Stone Bracelets and Discoidals </t>
        </is>
      </c>
      <c r="B12" s="15" t="inlineStr">
        <is>
          <t>Amyas Naegele</t>
        </is>
      </c>
      <c r="C12" s="5" t="n">
        <v>6100</v>
      </c>
      <c r="D12" s="22" t="n">
        <v>44692</v>
      </c>
      <c r="E12" s="4" t="inlineStr">
        <is>
          <t>Aquinas Hobor</t>
        </is>
      </c>
      <c r="F12" s="5" t="n">
        <v>8000</v>
      </c>
      <c r="G12" s="22" t="n">
        <v>44908</v>
      </c>
      <c r="H12" s="5">
        <f>SUM(F12-C12)</f>
        <v/>
      </c>
      <c r="I12" s="16">
        <f>H12/C12</f>
        <v/>
      </c>
      <c r="J12" s="4">
        <f>G12-D12</f>
        <v/>
      </c>
    </row>
    <row r="13">
      <c r="A13" s="4" t="inlineStr">
        <is>
          <t>A Greek Style Bronze Corinthian Helmet</t>
        </is>
      </c>
      <c r="B13" s="15" t="inlineStr">
        <is>
          <t>EBay</t>
        </is>
      </c>
      <c r="C13" s="5" t="n">
        <v>5250.97</v>
      </c>
      <c r="D13" s="22" t="n">
        <v>44895</v>
      </c>
      <c r="E13" s="4" t="inlineStr">
        <is>
          <t>Marco Mercanti</t>
        </is>
      </c>
      <c r="F13" s="5" t="n">
        <v>9000</v>
      </c>
      <c r="G13" s="22" t="n">
        <v>44908</v>
      </c>
      <c r="H13" s="5">
        <f>SUM(F13-C13)</f>
        <v/>
      </c>
      <c r="I13" s="16">
        <f>H13/C13</f>
        <v/>
      </c>
      <c r="J13" s="4">
        <f>G13-D13</f>
        <v/>
      </c>
    </row>
    <row r="14">
      <c r="A14" s="2" t="inlineStr">
        <is>
          <t>Total</t>
        </is>
      </c>
      <c r="B14" s="15" t="n"/>
      <c r="C14" s="7">
        <f>SUM(C4:C13)</f>
        <v/>
      </c>
      <c r="D14" s="22" t="n"/>
      <c r="F14" s="7">
        <f>SUM(F4:F13)</f>
        <v/>
      </c>
      <c r="G14" s="22" t="n"/>
      <c r="H14" s="24">
        <f>SUM(H4:H13)</f>
        <v/>
      </c>
      <c r="I14" s="16">
        <f>H14/C14</f>
        <v/>
      </c>
      <c r="J14" s="25">
        <f>AVERAGE(J4:J13)</f>
        <v/>
      </c>
    </row>
    <row r="15">
      <c r="A15" s="17" t="inlineStr">
        <is>
          <t>Sales 2023</t>
        </is>
      </c>
      <c r="B15" s="17" t="n"/>
      <c r="C15" s="17" t="n"/>
      <c r="D15" s="17" t="n"/>
      <c r="E15" s="17" t="n"/>
      <c r="F15" s="17" t="n"/>
      <c r="G15" s="17" t="n"/>
      <c r="H15" s="17" t="n"/>
      <c r="I15" s="16" t="n"/>
    </row>
    <row r="16">
      <c r="A16" s="18" t="inlineStr">
        <is>
          <t>Object</t>
        </is>
      </c>
      <c r="B16" s="19" t="inlineStr">
        <is>
          <t>From</t>
        </is>
      </c>
      <c r="C16" s="20" t="inlineStr">
        <is>
          <t>Cost</t>
        </is>
      </c>
      <c r="D16" s="18" t="inlineStr">
        <is>
          <t xml:space="preserve">Purchase Date </t>
        </is>
      </c>
      <c r="E16" s="18" t="inlineStr">
        <is>
          <t>To</t>
        </is>
      </c>
      <c r="F16" s="20" t="inlineStr">
        <is>
          <t>Sale Price</t>
        </is>
      </c>
      <c r="G16" s="18" t="inlineStr">
        <is>
          <t>Sale Date</t>
        </is>
      </c>
      <c r="H16" s="18" t="inlineStr">
        <is>
          <t>Net Income</t>
        </is>
      </c>
      <c r="I16" s="16" t="n"/>
    </row>
    <row r="17">
      <c r="A17" s="4" t="inlineStr">
        <is>
          <t>Greek Bronze Cheek Pieces</t>
        </is>
      </c>
      <c r="B17" s="15" t="inlineStr">
        <is>
          <t>eBay</t>
        </is>
      </c>
      <c r="C17" s="5" t="n">
        <v>2870.43</v>
      </c>
      <c r="D17" s="22" t="n">
        <v>44918</v>
      </c>
      <c r="E17" s="4" t="inlineStr">
        <is>
          <t>Hindman</t>
        </is>
      </c>
      <c r="F17" s="5" t="n">
        <v>8500</v>
      </c>
      <c r="G17" s="22" t="n">
        <v>45071</v>
      </c>
      <c r="H17" s="5">
        <f>SUM(F17-C17)</f>
        <v/>
      </c>
      <c r="I17" s="16">
        <f>H17/C17</f>
        <v/>
      </c>
      <c r="J17" s="4">
        <f>G17-D17</f>
        <v/>
      </c>
    </row>
    <row r="18">
      <c r="A18" s="4" t="inlineStr">
        <is>
          <t>Egyptian Neolithic Flint Tools (2)</t>
        </is>
      </c>
      <c r="B18" s="15" t="inlineStr">
        <is>
          <t>Arte Primitivo</t>
        </is>
      </c>
      <c r="C18" s="5" t="n">
        <v>392.14</v>
      </c>
      <c r="D18" s="22" t="n">
        <v>44908</v>
      </c>
      <c r="E18" s="4" t="inlineStr">
        <is>
          <t>Hindman</t>
        </is>
      </c>
      <c r="F18" s="5" t="n">
        <v>2500</v>
      </c>
      <c r="G18" s="22" t="n">
        <v>45071</v>
      </c>
      <c r="H18" s="5">
        <f>SUM(F18-C18)</f>
        <v/>
      </c>
      <c r="I18" s="16">
        <f>H18/C18</f>
        <v/>
      </c>
      <c r="J18" s="4">
        <f>G18-D18</f>
        <v/>
      </c>
    </row>
    <row r="19">
      <c r="A19" s="4" t="inlineStr">
        <is>
          <t>Apulian Red Figure Fragment</t>
        </is>
      </c>
      <c r="B19" s="15" t="inlineStr">
        <is>
          <t>Aaron Berk</t>
        </is>
      </c>
      <c r="C19" s="5" t="n">
        <v>750</v>
      </c>
      <c r="D19" s="22" t="n">
        <v>44718</v>
      </c>
      <c r="E19" s="4" t="inlineStr">
        <is>
          <t>Hindman</t>
        </is>
      </c>
      <c r="F19" s="5" t="n">
        <v>600</v>
      </c>
      <c r="G19" s="22" t="n">
        <v>45071</v>
      </c>
      <c r="H19" s="5">
        <f>SUM(F19-C19)</f>
        <v/>
      </c>
      <c r="I19" s="16">
        <f>H19/C19</f>
        <v/>
      </c>
      <c r="J19" s="4">
        <f>G19-D19</f>
        <v/>
      </c>
    </row>
    <row r="20">
      <c r="A20" s="4" t="inlineStr">
        <is>
          <t>A Roman-Style Rock Crystal Amphoriskos</t>
        </is>
      </c>
      <c r="B20" s="15" t="inlineStr">
        <is>
          <t>Live Auctioneers</t>
        </is>
      </c>
      <c r="C20" s="5" t="n">
        <v>1351.78</v>
      </c>
      <c r="D20" s="22" t="n">
        <v>44770</v>
      </c>
      <c r="E20" s="4" t="inlineStr">
        <is>
          <t>Hindman</t>
        </is>
      </c>
      <c r="F20" s="5" t="n">
        <v>1900</v>
      </c>
      <c r="G20" s="22" t="n">
        <v>45071</v>
      </c>
      <c r="H20" s="5">
        <f>SUM(F20-C20)</f>
        <v/>
      </c>
      <c r="I20" s="16">
        <f>H20/C20</f>
        <v/>
      </c>
      <c r="J20" s="4">
        <f>G20-D20</f>
        <v/>
      </c>
    </row>
    <row r="21">
      <c r="A21" s="2" t="inlineStr">
        <is>
          <t>A Roman Mosaic</t>
        </is>
      </c>
      <c r="B21" s="15" t="inlineStr">
        <is>
          <t>ebay</t>
        </is>
      </c>
      <c r="C21" s="5" t="n">
        <v>3938</v>
      </c>
      <c r="D21" s="22" t="n">
        <v>45087</v>
      </c>
      <c r="E21" s="4" t="inlineStr">
        <is>
          <t>Aaron Berk</t>
        </is>
      </c>
      <c r="F21" s="5" t="n">
        <v>8500</v>
      </c>
      <c r="G21" s="22" t="n">
        <v>45099</v>
      </c>
      <c r="H21" s="5">
        <f>SUM(F21-C21)</f>
        <v/>
      </c>
      <c r="I21" s="16">
        <f>H21/C21</f>
        <v/>
      </c>
      <c r="J21" s="4">
        <f>G21-D21</f>
        <v/>
      </c>
    </row>
    <row r="22">
      <c r="A22" s="4" t="inlineStr">
        <is>
          <t>Pre-Columbian Jade Earspools</t>
        </is>
      </c>
      <c r="B22" s="15" t="inlineStr">
        <is>
          <t>Live Auctioneers</t>
        </is>
      </c>
      <c r="C22" s="5" t="n">
        <v>233</v>
      </c>
      <c r="D22" s="22" t="n">
        <v>45086</v>
      </c>
      <c r="E22" s="4" t="inlineStr">
        <is>
          <t>Aaron Berk</t>
        </is>
      </c>
      <c r="F22" s="5" t="n">
        <v>500</v>
      </c>
      <c r="G22" s="22" t="n">
        <v>45099</v>
      </c>
      <c r="H22" s="5">
        <f>SUM(F22-C22)</f>
        <v/>
      </c>
      <c r="I22" s="16">
        <f>H22/C22</f>
        <v/>
      </c>
      <c r="J22" s="4">
        <f>G22-D22</f>
        <v/>
      </c>
    </row>
    <row r="23">
      <c r="A23" s="4" t="inlineStr">
        <is>
          <t>Teo Alabaster Mask</t>
        </is>
      </c>
      <c r="B23" s="15" t="inlineStr">
        <is>
          <t>Live Auctioneers</t>
        </is>
      </c>
      <c r="C23" s="5" t="n">
        <v>701.5</v>
      </c>
      <c r="D23" s="22" t="n">
        <v>45086</v>
      </c>
      <c r="E23" s="4" t="inlineStr">
        <is>
          <t>Aaron Berk</t>
        </is>
      </c>
      <c r="F23" s="5" t="n">
        <v>2000</v>
      </c>
      <c r="G23" s="22" t="n">
        <v>45099</v>
      </c>
      <c r="H23" s="5">
        <f>SUM(F23-C23)</f>
        <v/>
      </c>
      <c r="I23" s="16">
        <f>H23/C23</f>
        <v/>
      </c>
      <c r="J23" s="4">
        <f>G23-D23</f>
        <v/>
      </c>
    </row>
    <row r="24">
      <c r="A24" s="4" t="inlineStr">
        <is>
          <t>Mezcala Stone Temple</t>
        </is>
      </c>
      <c r="B24" s="15" t="inlineStr">
        <is>
          <t>Live Auctioneers</t>
        </is>
      </c>
      <c r="C24" s="5" t="n">
        <v>233</v>
      </c>
      <c r="D24" s="22" t="n">
        <v>45086</v>
      </c>
      <c r="E24" s="4" t="inlineStr">
        <is>
          <t>Aaron Berk</t>
        </is>
      </c>
      <c r="F24" s="5" t="n">
        <v>500</v>
      </c>
      <c r="G24" s="22" t="n">
        <v>45099</v>
      </c>
      <c r="H24" s="5">
        <f>SUM(F24-C24)</f>
        <v/>
      </c>
      <c r="I24" s="16">
        <f>H24/C24</f>
        <v/>
      </c>
      <c r="J24" s="4">
        <f>G24-D24</f>
        <v/>
      </c>
    </row>
    <row r="25">
      <c r="A25" s="4" t="inlineStr">
        <is>
          <t>Mezcala Stone Figure</t>
        </is>
      </c>
      <c r="B25" s="15" t="inlineStr">
        <is>
          <t>Live Auctioneers</t>
        </is>
      </c>
      <c r="C25" s="5" t="n">
        <v>233</v>
      </c>
      <c r="D25" s="22" t="n">
        <v>45086</v>
      </c>
      <c r="E25" s="4" t="inlineStr">
        <is>
          <t>Aaron Berk</t>
        </is>
      </c>
      <c r="F25" s="5" t="n">
        <v>500</v>
      </c>
      <c r="G25" s="22" t="n">
        <v>45099</v>
      </c>
      <c r="H25" s="5">
        <f>SUM(F25-C25)</f>
        <v/>
      </c>
      <c r="I25" s="16">
        <f>H25/C25</f>
        <v/>
      </c>
      <c r="J25" s="4">
        <f>G25-D25</f>
        <v/>
      </c>
    </row>
    <row r="26">
      <c r="A26" s="4" t="inlineStr">
        <is>
          <t>GREEK BRONZE HELMET OF PHRYGIAN TYPE</t>
        </is>
      </c>
      <c r="B26" s="15" t="inlineStr">
        <is>
          <t>ebay</t>
        </is>
      </c>
      <c r="C26" s="5" t="n">
        <v>2000</v>
      </c>
      <c r="D26" s="22" t="n">
        <v>44918</v>
      </c>
      <c r="E26" s="4" t="inlineStr">
        <is>
          <t>Aaron Berk</t>
        </is>
      </c>
      <c r="F26" s="5" t="n">
        <v>7000</v>
      </c>
      <c r="G26" s="22" t="n">
        <v>45099</v>
      </c>
      <c r="H26" s="5">
        <f>SUM(F26-C26)</f>
        <v/>
      </c>
      <c r="I26" s="16">
        <f>H26/C26</f>
        <v/>
      </c>
      <c r="J26" s="4">
        <f>G26-D26</f>
        <v/>
      </c>
    </row>
    <row r="27">
      <c r="A27" s="4" t="inlineStr">
        <is>
          <t>Bactrian Style Stone Votive</t>
        </is>
      </c>
      <c r="B27" s="15" t="inlineStr">
        <is>
          <t>ebay</t>
        </is>
      </c>
      <c r="C27" s="5" t="n">
        <v>990</v>
      </c>
      <c r="D27" s="22" t="n">
        <v>44918</v>
      </c>
      <c r="E27" s="4" t="inlineStr">
        <is>
          <t>Aaron Berk</t>
        </is>
      </c>
      <c r="F27" s="5" t="n">
        <v>1000</v>
      </c>
      <c r="G27" s="22" t="n">
        <v>45099</v>
      </c>
      <c r="H27" s="5">
        <f>SUM(F27-C27)</f>
        <v/>
      </c>
      <c r="I27" s="16">
        <f>H27/C27</f>
        <v/>
      </c>
      <c r="J27" s="4">
        <f>G27-D27</f>
        <v/>
      </c>
    </row>
    <row r="28">
      <c r="A28" s="4" t="inlineStr">
        <is>
          <t>A Roman Bronze Knife</t>
        </is>
      </c>
      <c r="B28" s="15" t="inlineStr">
        <is>
          <t>Ebay</t>
        </is>
      </c>
      <c r="C28" s="26" t="n">
        <v>110</v>
      </c>
      <c r="D28" s="22" t="n">
        <v>44988</v>
      </c>
      <c r="E28" s="4" t="inlineStr">
        <is>
          <t>Gift</t>
        </is>
      </c>
      <c r="F28" s="5" t="n">
        <v>100</v>
      </c>
      <c r="G28" s="22" t="n">
        <v>45097</v>
      </c>
      <c r="H28" s="5">
        <f>SUM(F28-C28)</f>
        <v/>
      </c>
      <c r="I28" s="16">
        <f>H28/C28</f>
        <v/>
      </c>
      <c r="J28" s="4">
        <f>G28-D28</f>
        <v/>
      </c>
    </row>
    <row r="29">
      <c r="A29" s="4" t="inlineStr">
        <is>
          <t>Collection of Cylinder Seals</t>
        </is>
      </c>
      <c r="B29" s="15" t="inlineStr">
        <is>
          <t>Erdal Dere</t>
        </is>
      </c>
      <c r="C29" s="26" t="n">
        <v>360000</v>
      </c>
      <c r="D29" s="22" t="n">
        <v>45135</v>
      </c>
      <c r="E29" s="4" t="inlineStr">
        <is>
          <t>Aaron Berk</t>
        </is>
      </c>
      <c r="F29" s="5" t="n">
        <v>410000</v>
      </c>
      <c r="G29" s="22" t="n">
        <v>45135</v>
      </c>
      <c r="H29" s="5">
        <f>SUM(F29-C29)</f>
        <v/>
      </c>
      <c r="I29" s="16">
        <f>H29/C29</f>
        <v/>
      </c>
      <c r="J29" s="4">
        <f>G29-D29</f>
        <v/>
      </c>
    </row>
    <row r="30">
      <c r="A30" s="4" t="inlineStr">
        <is>
          <t>An Egyptian Cylinder Seal</t>
        </is>
      </c>
      <c r="B30" s="15" t="inlineStr">
        <is>
          <t>Erdal Dere</t>
        </is>
      </c>
      <c r="C30" s="26" t="n">
        <v>3600</v>
      </c>
      <c r="D30" s="22" t="n">
        <v>45191</v>
      </c>
      <c r="E30" s="4" t="inlineStr">
        <is>
          <t>Aaron Berk</t>
        </is>
      </c>
      <c r="F30" s="5" t="n">
        <v>4000</v>
      </c>
      <c r="G30" s="22" t="n">
        <v>45192</v>
      </c>
      <c r="H30" s="5">
        <f>SUM(F30-C30)</f>
        <v/>
      </c>
      <c r="I30" s="16">
        <f>H30/C30</f>
        <v/>
      </c>
      <c r="J30" s="4">
        <f>G30-D30</f>
        <v/>
      </c>
    </row>
    <row r="31">
      <c r="A31" s="4" t="inlineStr">
        <is>
          <t>A Collection of Tablets</t>
        </is>
      </c>
      <c r="B31" s="15" t="inlineStr">
        <is>
          <t>Danny Anavian</t>
        </is>
      </c>
      <c r="C31" s="26" t="n">
        <v>45000</v>
      </c>
      <c r="D31" s="22" t="n">
        <v>45237</v>
      </c>
      <c r="E31" s="4" t="inlineStr">
        <is>
          <t>Aaron Berk</t>
        </is>
      </c>
      <c r="F31" s="26" t="n">
        <v>55000</v>
      </c>
      <c r="G31" s="22" t="n">
        <v>45244</v>
      </c>
      <c r="H31" s="5">
        <f>SUM(F31-C31)</f>
        <v/>
      </c>
      <c r="I31" s="16">
        <f>H31/C31</f>
        <v/>
      </c>
      <c r="J31" s="4">
        <f>G31-D31</f>
        <v/>
      </c>
    </row>
    <row r="32">
      <c r="A32" s="4" t="inlineStr">
        <is>
          <t>A Gold Coin</t>
        </is>
      </c>
      <c r="B32" s="15" t="inlineStr">
        <is>
          <t>Erdal Dere</t>
        </is>
      </c>
      <c r="C32" s="26" t="n">
        <v>4000</v>
      </c>
      <c r="D32" s="22" t="n">
        <v>45246</v>
      </c>
      <c r="E32" s="4" t="inlineStr">
        <is>
          <t>Felix Brejente</t>
        </is>
      </c>
      <c r="F32" s="5" t="n">
        <v>4700</v>
      </c>
      <c r="G32" s="22" t="n">
        <v>45246</v>
      </c>
      <c r="H32" s="5">
        <f>SUM(F32-C32)</f>
        <v/>
      </c>
      <c r="I32" s="16">
        <f>H32/C32</f>
        <v/>
      </c>
      <c r="J32" s="4">
        <f>G32-D32</f>
        <v/>
      </c>
    </row>
    <row r="33">
      <c r="A33" s="4" t="inlineStr">
        <is>
          <t>Bactrian Chlorite Vessel</t>
        </is>
      </c>
      <c r="B33" s="15" t="inlineStr">
        <is>
          <t>Ebay</t>
        </is>
      </c>
      <c r="C33" s="5" t="n">
        <v>10</v>
      </c>
      <c r="D33" s="22" t="n">
        <v>44895</v>
      </c>
      <c r="E33" s="16" t="inlineStr">
        <is>
          <t>Hindman</t>
        </is>
      </c>
      <c r="F33" s="5" t="n">
        <v>2000</v>
      </c>
      <c r="G33" s="22" t="n">
        <v>45265</v>
      </c>
      <c r="H33" s="5">
        <f>SUM(F33-C33)</f>
        <v/>
      </c>
      <c r="I33" s="16">
        <f>H33/C33</f>
        <v/>
      </c>
      <c r="J33" s="4">
        <f>G33-D33</f>
        <v/>
      </c>
    </row>
    <row r="34">
      <c r="A34" s="4" t="inlineStr">
        <is>
          <t>An Egyptian Limestone Head of Hathor</t>
        </is>
      </c>
      <c r="B34" s="15" t="inlineStr">
        <is>
          <t>Ebay</t>
        </is>
      </c>
      <c r="C34" s="5" t="n">
        <v>50</v>
      </c>
      <c r="D34" s="22" t="n">
        <v>44911</v>
      </c>
      <c r="E34" s="4" t="inlineStr">
        <is>
          <t>Harlan J. Berk</t>
        </is>
      </c>
      <c r="F34" s="5" t="n">
        <v>1000</v>
      </c>
      <c r="G34" s="22" t="n">
        <v>45261</v>
      </c>
      <c r="H34" s="5">
        <f>SUM(F34-C34)</f>
        <v/>
      </c>
      <c r="I34" s="16">
        <f>H34/C34</f>
        <v/>
      </c>
      <c r="J34" s="4">
        <f>G34-D34</f>
        <v/>
      </c>
    </row>
    <row r="35">
      <c r="A35" s="4" t="inlineStr">
        <is>
          <t>Native America Banner Stone (Butterfly)</t>
        </is>
      </c>
      <c r="B35" s="15" t="inlineStr">
        <is>
          <t>Amyas Naegele</t>
        </is>
      </c>
      <c r="C35" s="5" t="n">
        <v>50</v>
      </c>
      <c r="D35" s="22" t="n">
        <v>44911</v>
      </c>
      <c r="E35" s="4" t="inlineStr">
        <is>
          <t>Harlan J. Berk</t>
        </is>
      </c>
      <c r="F35" s="5" t="n">
        <v>100</v>
      </c>
      <c r="G35" s="22" t="n">
        <v>45261</v>
      </c>
      <c r="H35" s="5">
        <f>SUM(F35-C35)</f>
        <v/>
      </c>
      <c r="I35" s="16">
        <f>H35/C35</f>
        <v/>
      </c>
      <c r="J35" s="4">
        <f>G35-D35</f>
        <v/>
      </c>
    </row>
    <row r="36">
      <c r="A36" s="4" t="inlineStr">
        <is>
          <t>Native America Banner Stone (Anthro)</t>
        </is>
      </c>
      <c r="B36" s="15" t="inlineStr">
        <is>
          <t>Amyas Naegele</t>
        </is>
      </c>
      <c r="C36" s="5" t="n">
        <v>50</v>
      </c>
      <c r="D36" s="22" t="n">
        <v>44911</v>
      </c>
      <c r="E36" s="4" t="inlineStr">
        <is>
          <t>Harlan J. Berk</t>
        </is>
      </c>
      <c r="F36" s="5" t="n">
        <v>100</v>
      </c>
      <c r="G36" s="22" t="n">
        <v>45261</v>
      </c>
      <c r="H36" s="5">
        <f>SUM(F36-C36)</f>
        <v/>
      </c>
      <c r="I36" s="16">
        <f>H36/C36</f>
        <v/>
      </c>
      <c r="J36" s="4">
        <f>G36-D36</f>
        <v/>
      </c>
    </row>
    <row r="37">
      <c r="A37" s="2" t="inlineStr">
        <is>
          <t>Total</t>
        </is>
      </c>
      <c r="B37" s="15" t="n"/>
      <c r="C37" s="7">
        <f>SUM(C17:C36)</f>
        <v/>
      </c>
      <c r="D37" s="22" t="n"/>
      <c r="F37" s="7">
        <f>SUM(F17:F36)</f>
        <v/>
      </c>
      <c r="G37" s="22" t="n"/>
      <c r="H37" s="24">
        <f>SUM(H17:H36)</f>
        <v/>
      </c>
      <c r="I37" s="16">
        <f>H37/C37</f>
        <v/>
      </c>
      <c r="J37" s="25">
        <f>AVERAGE(J17:J36)</f>
        <v/>
      </c>
    </row>
    <row r="38">
      <c r="A38" s="17" t="inlineStr">
        <is>
          <t>Sales 2024</t>
        </is>
      </c>
      <c r="B38" s="17" t="n"/>
      <c r="C38" s="17" t="n"/>
      <c r="D38" s="17" t="n"/>
      <c r="E38" s="17" t="n"/>
      <c r="F38" s="17" t="n"/>
      <c r="G38" s="17" t="n"/>
      <c r="H38" s="17" t="n"/>
      <c r="I38" s="16" t="n"/>
    </row>
    <row r="39">
      <c r="A39" s="18" t="inlineStr">
        <is>
          <t>Object</t>
        </is>
      </c>
      <c r="B39" s="19" t="inlineStr">
        <is>
          <t>From</t>
        </is>
      </c>
      <c r="C39" s="20" t="inlineStr">
        <is>
          <t>Cost</t>
        </is>
      </c>
      <c r="D39" s="18" t="inlineStr">
        <is>
          <t xml:space="preserve">Purchase Date </t>
        </is>
      </c>
      <c r="E39" s="18" t="inlineStr">
        <is>
          <t>To</t>
        </is>
      </c>
      <c r="F39" s="20" t="inlineStr">
        <is>
          <t>Sale Price</t>
        </is>
      </c>
      <c r="G39" s="18" t="inlineStr">
        <is>
          <t>Sale Date</t>
        </is>
      </c>
      <c r="H39" s="18" t="inlineStr">
        <is>
          <t>Net Income</t>
        </is>
      </c>
      <c r="I39" s="16" t="n"/>
    </row>
    <row r="40">
      <c r="A40" s="4" t="inlineStr">
        <is>
          <t>A Valdivian Stone Votive Axe</t>
        </is>
      </c>
      <c r="B40" s="15" t="inlineStr">
        <is>
          <t>Arte Primitivo</t>
        </is>
      </c>
      <c r="C40" s="26" t="n">
        <v>470</v>
      </c>
      <c r="D40" s="22" t="n">
        <v>45196</v>
      </c>
      <c r="E40" s="4" t="inlineStr">
        <is>
          <t>Hindman</t>
        </is>
      </c>
      <c r="F40" s="5" t="n">
        <v>600</v>
      </c>
      <c r="G40" s="22" t="n">
        <v>45000</v>
      </c>
      <c r="H40" s="5">
        <f>SUM(F40-C40)</f>
        <v/>
      </c>
      <c r="I40" s="16">
        <f>H40/C40</f>
        <v/>
      </c>
    </row>
    <row r="41">
      <c r="A41" s="4" t="inlineStr">
        <is>
          <t>A Roman Marble Leg</t>
        </is>
      </c>
      <c r="B41" s="15" t="inlineStr">
        <is>
          <t>Harlan J. Berk</t>
        </is>
      </c>
      <c r="C41" s="26" t="n">
        <v>2500</v>
      </c>
      <c r="D41" s="22" t="n">
        <v>45379</v>
      </c>
      <c r="E41" s="4" t="inlineStr">
        <is>
          <t>WhiteCube</t>
        </is>
      </c>
      <c r="F41" s="5" t="n">
        <v>2982</v>
      </c>
      <c r="G41" s="22" t="n">
        <v>45379</v>
      </c>
      <c r="H41" s="5">
        <f>SUM(F41-C41)</f>
        <v/>
      </c>
      <c r="I41" s="16">
        <f>H41/C41</f>
        <v/>
      </c>
    </row>
    <row r="42">
      <c r="A42" s="4" t="inlineStr">
        <is>
          <t>Sword 10th Century Viking</t>
        </is>
      </c>
      <c r="B42" s="15" t="inlineStr">
        <is>
          <t>Zevantiques</t>
        </is>
      </c>
      <c r="C42" s="26" t="n">
        <v>1416.99</v>
      </c>
      <c r="D42" s="22" t="n">
        <v>45311</v>
      </c>
      <c r="E42" s="4" t="inlineStr">
        <is>
          <t>Harlan J. Berk</t>
        </is>
      </c>
      <c r="F42" s="5" t="n">
        <v>6500</v>
      </c>
      <c r="G42" s="22" t="n">
        <v>45448</v>
      </c>
      <c r="H42" s="5">
        <f>SUM(F42-C42)</f>
        <v/>
      </c>
      <c r="I42" s="16">
        <f>H42/C42</f>
        <v/>
      </c>
    </row>
    <row r="43">
      <c r="A43" s="4" t="inlineStr">
        <is>
          <t>A Collection of Cylinder Seal</t>
        </is>
      </c>
      <c r="B43" s="15" t="inlineStr">
        <is>
          <t>Erdal Dere</t>
        </is>
      </c>
      <c r="C43" s="26" t="n">
        <v>33000</v>
      </c>
      <c r="D43" s="22" t="n">
        <v>45468</v>
      </c>
      <c r="E43" s="4" t="inlineStr">
        <is>
          <t>Harlan J. Berk</t>
        </is>
      </c>
      <c r="F43" s="5" t="n">
        <v>36000</v>
      </c>
      <c r="G43" s="22" t="n">
        <v>45468</v>
      </c>
      <c r="H43" s="5">
        <f>SUM(F43-C43)</f>
        <v/>
      </c>
      <c r="I43" s="16" t="n"/>
    </row>
    <row r="44">
      <c r="A44" s="4" t="inlineStr">
        <is>
          <t>A Roman Glass Beaker</t>
        </is>
      </c>
      <c r="B44" s="15" t="inlineStr">
        <is>
          <t>Erdal Dere</t>
        </is>
      </c>
      <c r="C44" s="26" t="n">
        <v>25000</v>
      </c>
      <c r="D44" s="22" t="n">
        <v>45408</v>
      </c>
      <c r="E44" s="4" t="inlineStr">
        <is>
          <t>Erdal Dere</t>
        </is>
      </c>
      <c r="F44" s="5" t="n">
        <v>37500</v>
      </c>
      <c r="G44" s="22" t="n">
        <v>45656</v>
      </c>
      <c r="H44" s="5">
        <f>SUM(F44-C44)</f>
        <v/>
      </c>
      <c r="I44" s="16">
        <f>H44/C44</f>
        <v/>
      </c>
    </row>
    <row r="45">
      <c r="A45" s="4" t="inlineStr">
        <is>
          <t>An Egyptian Limestone Head of a Pharaoh</t>
        </is>
      </c>
      <c r="B45" s="15" t="inlineStr">
        <is>
          <t>Live Auctioneers</t>
        </is>
      </c>
      <c r="C45" s="26" t="n">
        <v>1885.96</v>
      </c>
      <c r="D45" s="22" t="n">
        <v>45414</v>
      </c>
      <c r="E45" s="4" t="inlineStr">
        <is>
          <t>Harlan J. Berk</t>
        </is>
      </c>
      <c r="F45" s="5" t="n">
        <v>5500</v>
      </c>
      <c r="G45" s="22" t="n">
        <v>45621</v>
      </c>
      <c r="H45" s="5">
        <f>SUM(F45-C45)</f>
        <v/>
      </c>
      <c r="I45" s="16">
        <f>H45/C45</f>
        <v/>
      </c>
    </row>
    <row r="46">
      <c r="A46" s="4" t="inlineStr">
        <is>
          <t>Indus Valley Vessels</t>
        </is>
      </c>
      <c r="B46" s="15" t="inlineStr">
        <is>
          <t>Ebay</t>
        </is>
      </c>
      <c r="C46" s="5" t="n">
        <v>214.99</v>
      </c>
      <c r="D46" s="22" t="n">
        <v>45345</v>
      </c>
      <c r="E46" s="4" t="inlineStr">
        <is>
          <t>Hindman</t>
        </is>
      </c>
      <c r="F46" s="5" t="n">
        <v>1700</v>
      </c>
      <c r="G46" s="22" t="n">
        <v>45435</v>
      </c>
      <c r="H46" s="5">
        <f>SUM(F46-C46)</f>
        <v/>
      </c>
      <c r="I46" s="16">
        <f>H46/C46</f>
        <v/>
      </c>
    </row>
    <row r="47">
      <c r="A47" s="2" t="inlineStr">
        <is>
          <t>Total</t>
        </is>
      </c>
      <c r="B47" s="15" t="n"/>
      <c r="C47" s="27">
        <f>SUM(C40:C46)</f>
        <v/>
      </c>
      <c r="D47" s="22" t="n"/>
      <c r="F47" s="7">
        <f>SUM(F40:F46)</f>
        <v/>
      </c>
      <c r="G47" s="22" t="n"/>
      <c r="H47" s="24">
        <f>SUM(H40:H46)</f>
        <v/>
      </c>
      <c r="I47" s="16">
        <f>H47/C47</f>
        <v/>
      </c>
      <c r="J47" s="25">
        <f>AVERAGE(J26:J46)</f>
        <v/>
      </c>
    </row>
    <row r="48">
      <c r="B48" s="15" t="n"/>
      <c r="C48" s="5" t="n"/>
      <c r="F48" s="5" t="n"/>
      <c r="I48" s="16" t="n"/>
    </row>
    <row r="49">
      <c r="A49" s="17" t="inlineStr">
        <is>
          <t>Sales 2025</t>
        </is>
      </c>
      <c r="B49" s="17" t="n"/>
      <c r="C49" s="17" t="n"/>
      <c r="D49" s="17" t="n"/>
      <c r="E49" s="17" t="n"/>
      <c r="F49" s="17" t="n"/>
      <c r="G49" s="17" t="n"/>
      <c r="H49" s="17" t="n"/>
      <c r="I49" s="16" t="n"/>
    </row>
    <row r="50">
      <c r="A50" s="18" t="inlineStr">
        <is>
          <t>Object</t>
        </is>
      </c>
      <c r="B50" s="19" t="inlineStr">
        <is>
          <t>From</t>
        </is>
      </c>
      <c r="C50" s="20" t="inlineStr">
        <is>
          <t>Cost</t>
        </is>
      </c>
      <c r="D50" s="18" t="inlineStr">
        <is>
          <t xml:space="preserve">Purchase Date </t>
        </is>
      </c>
      <c r="E50" s="18" t="inlineStr">
        <is>
          <t>To</t>
        </is>
      </c>
      <c r="F50" s="20" t="inlineStr">
        <is>
          <t>Sale Price</t>
        </is>
      </c>
      <c r="G50" s="18" t="inlineStr">
        <is>
          <t>Sale Date</t>
        </is>
      </c>
      <c r="H50" s="18" t="inlineStr">
        <is>
          <t>Net Income</t>
        </is>
      </c>
      <c r="I50" s="16" t="n"/>
    </row>
    <row r="51">
      <c r="A51" s="28" t="inlineStr">
        <is>
          <t>A Group of 10 Engraved Gems</t>
        </is>
      </c>
      <c r="B51" s="15" t="inlineStr">
        <is>
          <t>Erdal Dere</t>
        </is>
      </c>
      <c r="C51" s="29" t="n">
        <v>1000</v>
      </c>
      <c r="D51" s="28" t="n"/>
      <c r="E51" s="28" t="inlineStr">
        <is>
          <t>Harlan J. Berk</t>
        </is>
      </c>
      <c r="F51" s="29" t="n"/>
      <c r="G51" s="30" t="n">
        <v>45695</v>
      </c>
      <c r="H51" s="28">
        <f>IF(OR(F51="",C51=""),"",F51-C51)</f>
        <v/>
      </c>
      <c r="I51" s="16">
        <f>IF(OR(H51="",C51=0),"",H51/C51)</f>
        <v/>
      </c>
    </row>
    <row r="52">
      <c r="A52" s="28" t="inlineStr">
        <is>
          <t>A Greek Amber(?) Ram's Head Protome</t>
        </is>
      </c>
      <c r="B52" s="15" t="inlineStr">
        <is>
          <t>Erdal Dere</t>
        </is>
      </c>
      <c r="C52" s="29" t="n">
        <v>300</v>
      </c>
      <c r="D52" s="28" t="n"/>
      <c r="E52" s="28" t="inlineStr">
        <is>
          <t>Harlan J. Berk</t>
        </is>
      </c>
      <c r="F52" s="29" t="n"/>
      <c r="G52" s="30" t="n">
        <v>45695</v>
      </c>
      <c r="H52" s="28">
        <f>IF(OR(F52="",C52=""),"",F52-C52)</f>
        <v/>
      </c>
      <c r="I52" s="16">
        <f>IF(OR(H52="",C52=0),"",H52/C52)</f>
        <v/>
      </c>
    </row>
    <row r="53">
      <c r="A53" s="28" t="inlineStr">
        <is>
          <t>A Stone Cylinder Seal</t>
        </is>
      </c>
      <c r="B53" s="15" t="inlineStr">
        <is>
          <t>Estate Sale</t>
        </is>
      </c>
      <c r="C53" s="29" t="n">
        <v>300</v>
      </c>
      <c r="D53" s="28" t="n"/>
      <c r="E53" s="28" t="inlineStr">
        <is>
          <t>Harlan J. Berk</t>
        </is>
      </c>
      <c r="F53" s="29" t="n"/>
      <c r="G53" s="30" t="n">
        <v>45695</v>
      </c>
      <c r="H53" s="28">
        <f>IF(OR(F53="",C53=""),"",F53-C53)</f>
        <v/>
      </c>
      <c r="I53" s="16">
        <f>IF(OR(H53="",C53=0),"",H53/C53)</f>
        <v/>
      </c>
    </row>
    <row r="54">
      <c r="A54" s="28" t="inlineStr">
        <is>
          <t>Commission on Cypriot Head</t>
        </is>
      </c>
      <c r="B54" s="15" t="inlineStr">
        <is>
          <t>Asher Edelman</t>
        </is>
      </c>
      <c r="C54" s="5" t="n">
        <v>1000</v>
      </c>
      <c r="D54" s="28" t="n"/>
      <c r="E54" s="28" t="inlineStr">
        <is>
          <t>Harlan J. Berk</t>
        </is>
      </c>
      <c r="F54" s="29" t="n"/>
      <c r="G54" s="30" t="n">
        <v>45695</v>
      </c>
      <c r="H54" s="28">
        <f>IF(OR(F54="",C54=""),"",F54-C54)</f>
        <v/>
      </c>
      <c r="I54" s="16">
        <f>IF(OR(H54="",C54=0),"",H54/C54)</f>
        <v/>
      </c>
    </row>
    <row r="55">
      <c r="A55" s="28" t="inlineStr">
        <is>
          <t>Commission on Seal Collection</t>
        </is>
      </c>
      <c r="B55" s="15" t="inlineStr">
        <is>
          <t>Erdal Dere</t>
        </is>
      </c>
      <c r="C55" s="29" t="n">
        <v>1000</v>
      </c>
      <c r="D55" s="28" t="n"/>
      <c r="E55" s="28" t="inlineStr">
        <is>
          <t>Harlan J. Berk</t>
        </is>
      </c>
      <c r="F55" s="29" t="n"/>
      <c r="G55" s="30" t="n">
        <v>45695</v>
      </c>
      <c r="H55" s="28">
        <f>IF(OR(F55="",C55=""),"",F55-C55)</f>
        <v/>
      </c>
      <c r="I55" s="16">
        <f>IF(OR(H55="",C55=0),"",H55/C55)</f>
        <v/>
      </c>
    </row>
    <row r="56">
      <c r="A56" s="28" t="inlineStr">
        <is>
          <t>Scythian Faience Horse Plaque</t>
        </is>
      </c>
      <c r="B56" s="15" t="inlineStr">
        <is>
          <t>Estate Sale</t>
        </is>
      </c>
      <c r="C56" s="29" t="n">
        <v>1000</v>
      </c>
      <c r="D56" s="28" t="n"/>
      <c r="E56" s="28" t="inlineStr">
        <is>
          <t>Harlan J. Berk</t>
        </is>
      </c>
      <c r="F56" s="29" t="n"/>
      <c r="G56" s="30" t="n">
        <v>45695</v>
      </c>
      <c r="H56" s="28">
        <f>IF(OR(F56="",C56=""),"",F56-C56)</f>
        <v/>
      </c>
      <c r="I56" s="16">
        <f>IF(OR(H56="",C56=0),"",H56/C56)</f>
        <v/>
      </c>
    </row>
    <row r="57">
      <c r="A57" s="28" t="inlineStr">
        <is>
          <t>Syro-Hittite Terracotta Figure</t>
        </is>
      </c>
      <c r="B57" s="15" t="inlineStr">
        <is>
          <t>Estate Sale</t>
        </is>
      </c>
      <c r="C57" s="29" t="n">
        <v>600</v>
      </c>
      <c r="D57" s="28" t="n"/>
      <c r="E57" s="28" t="inlineStr">
        <is>
          <t>Harlan J. Berk</t>
        </is>
      </c>
      <c r="F57" s="29" t="n"/>
      <c r="G57" s="30" t="n">
        <v>45695</v>
      </c>
      <c r="H57" s="28">
        <f>IF(OR(F57="",C57=""),"",F57-C57)</f>
        <v/>
      </c>
      <c r="I57" s="16">
        <f>IF(OR(H57="",C57=0),"",H57/C57)</f>
        <v/>
      </c>
    </row>
    <row r="58">
      <c r="A58" s="28" t="inlineStr">
        <is>
          <t>A Group of 6 Roman Oil Lamps</t>
        </is>
      </c>
      <c r="B58" s="15" t="inlineStr">
        <is>
          <t>Estate Sale</t>
        </is>
      </c>
      <c r="C58" s="29" t="n">
        <v>600</v>
      </c>
      <c r="D58" s="28" t="n"/>
      <c r="E58" s="28" t="inlineStr">
        <is>
          <t>Harlan J. Berk</t>
        </is>
      </c>
      <c r="F58" s="29" t="n"/>
      <c r="G58" s="30" t="n">
        <v>45695</v>
      </c>
      <c r="H58" s="28">
        <f>IF(OR(F58="",C58=""),"",F58-C58)</f>
        <v/>
      </c>
      <c r="I58" s="16">
        <f>IF(OR(H58="",C58=0),"",H58/C58)</f>
        <v/>
      </c>
    </row>
    <row r="59">
      <c r="A59" s="28" t="inlineStr">
        <is>
          <t>A Cypriot Limestine Head</t>
        </is>
      </c>
      <c r="B59" s="15" t="inlineStr">
        <is>
          <t>Estate Sale</t>
        </is>
      </c>
      <c r="C59" s="29" t="n">
        <v>1000</v>
      </c>
      <c r="D59" s="28" t="n"/>
      <c r="E59" s="28" t="inlineStr">
        <is>
          <t>Harlan J. Berk</t>
        </is>
      </c>
      <c r="F59" s="29" t="n"/>
      <c r="G59" s="30" t="n">
        <v>45695</v>
      </c>
      <c r="H59" s="28">
        <f>IF(OR(F59="",C59=""),"",F59-C59)</f>
        <v/>
      </c>
      <c r="I59" s="16">
        <f>IF(OR(H59="",C59=0),"",H59/C59)</f>
        <v/>
      </c>
    </row>
    <row r="60">
      <c r="A60" s="28" t="inlineStr">
        <is>
          <t>A Roman Marble Torso</t>
        </is>
      </c>
      <c r="B60" s="15" t="inlineStr">
        <is>
          <t>William Pearlstein</t>
        </is>
      </c>
      <c r="C60" s="29" t="n">
        <v>4000</v>
      </c>
      <c r="D60" s="28" t="n"/>
      <c r="E60" s="28" t="inlineStr">
        <is>
          <t>Harlan J. Berk</t>
        </is>
      </c>
      <c r="F60" s="29" t="n"/>
      <c r="G60" s="30" t="n">
        <v>45695</v>
      </c>
      <c r="H60" s="28">
        <f>IF(OR(F60="",C60=""),"",F60-C60)</f>
        <v/>
      </c>
      <c r="I60" s="16">
        <f>IF(OR(H60="",C60=0),"",H60/C60)</f>
        <v/>
      </c>
    </row>
    <row r="61">
      <c r="A61" s="28" t="inlineStr">
        <is>
          <t>Cypriot Bichrome Juglet</t>
        </is>
      </c>
      <c r="B61" s="15" t="inlineStr">
        <is>
          <t>Live Auctioneers</t>
        </is>
      </c>
      <c r="C61" s="29" t="n">
        <v>600</v>
      </c>
      <c r="D61" s="28" t="n"/>
      <c r="E61" s="28" t="inlineStr">
        <is>
          <t>Harlan J. Berk</t>
        </is>
      </c>
      <c r="F61" s="29" t="n"/>
      <c r="G61" s="30" t="n">
        <v>45695</v>
      </c>
      <c r="H61" s="28">
        <f>IF(OR(F61="",C61=""),"",F61-C61)</f>
        <v/>
      </c>
      <c r="I61" s="16">
        <f>IF(OR(H61="",C61=0),"",H61/C61)</f>
        <v/>
      </c>
    </row>
    <row r="62">
      <c r="A62" s="4" t="inlineStr">
        <is>
          <t>An Attic Black-Figured Fragment</t>
        </is>
      </c>
      <c r="B62" s="31" t="inlineStr">
        <is>
          <t>Hindman</t>
        </is>
      </c>
      <c r="C62" s="5" t="n">
        <v>334.44</v>
      </c>
      <c r="D62" s="22" t="n">
        <v>45071</v>
      </c>
      <c r="E62" s="16" t="inlineStr">
        <is>
          <t>Harlan J. Berk</t>
        </is>
      </c>
      <c r="G62" s="30" t="n">
        <v>45695</v>
      </c>
      <c r="H62" s="32">
        <f>IF(OR(F62="",C62=""),"",F62-C62)</f>
        <v/>
      </c>
      <c r="I62" s="32">
        <f>IF(OR(H62="",C62=0),"",H62/C62)</f>
        <v/>
      </c>
    </row>
    <row r="63">
      <c r="A63" s="4" t="inlineStr">
        <is>
          <t>A Luristan Bronze Ibex</t>
        </is>
      </c>
      <c r="B63" s="31" t="inlineStr">
        <is>
          <t>Hindman</t>
        </is>
      </c>
      <c r="C63" s="5" t="n">
        <v>234.44</v>
      </c>
      <c r="D63" s="22" t="n">
        <v>45071</v>
      </c>
      <c r="E63" s="16" t="inlineStr">
        <is>
          <t>Harlan J. Berk</t>
        </is>
      </c>
      <c r="G63" s="30" t="n">
        <v>45695</v>
      </c>
      <c r="H63" s="32">
        <f>IF(OR(F63="",C63=""),"",F63-C63)</f>
        <v/>
      </c>
      <c r="I63" s="32">
        <f>IF(OR(H63="",C63=0),"",H63/C63)</f>
        <v/>
      </c>
    </row>
    <row r="64">
      <c r="A64" s="4" t="inlineStr">
        <is>
          <t>An Egyptian Swivel Ring with Scarab</t>
        </is>
      </c>
      <c r="B64" s="31" t="inlineStr">
        <is>
          <t>Live Auctioneers</t>
        </is>
      </c>
      <c r="C64" s="5" t="n">
        <v>2228.76</v>
      </c>
      <c r="D64" s="22" t="n"/>
      <c r="E64" s="16" t="inlineStr">
        <is>
          <t>Harlan J. Berk</t>
        </is>
      </c>
      <c r="G64" s="30" t="n">
        <v>45695</v>
      </c>
      <c r="H64" s="32">
        <f>IF(OR(F64="",C64=""),"",F64-C64)</f>
        <v/>
      </c>
      <c r="I64" s="32">
        <f>IF(OR(H64="",C64=0),"",H64/C64)</f>
        <v/>
      </c>
    </row>
    <row r="65">
      <c r="A65" s="4" t="inlineStr">
        <is>
          <t>A Canosan Terracotta Horse</t>
        </is>
      </c>
      <c r="B65" s="31" t="inlineStr">
        <is>
          <t>Hindman</t>
        </is>
      </c>
      <c r="C65" s="5" t="n">
        <v>1000</v>
      </c>
      <c r="D65" s="22" t="n"/>
      <c r="E65" s="16" t="inlineStr">
        <is>
          <t>Harlan J. Berk</t>
        </is>
      </c>
      <c r="G65" s="30" t="n">
        <v>45695</v>
      </c>
      <c r="H65" s="32">
        <f>IF(OR(F65="",C65=""),"",F65-C65)</f>
        <v/>
      </c>
      <c r="I65" s="32">
        <f>IF(OR(H65="",C65=0),"",H65/C65)</f>
        <v/>
      </c>
    </row>
    <row r="66">
      <c r="A66" s="4" t="inlineStr">
        <is>
          <t>An Attic Black-Figured Column-Krater</t>
        </is>
      </c>
      <c r="B66" s="15" t="inlineStr">
        <is>
          <t>Antiquarium/Benningson</t>
        </is>
      </c>
      <c r="C66" s="26" t="n">
        <v>4500</v>
      </c>
      <c r="D66" s="22" t="n">
        <v>45275</v>
      </c>
      <c r="E66" s="4" t="inlineStr">
        <is>
          <t>Harlan J. Berk</t>
        </is>
      </c>
      <c r="F66" s="5" t="n"/>
      <c r="G66" s="30" t="n">
        <v>45695</v>
      </c>
      <c r="H66" s="32">
        <f>IF(OR(F66="",C66=""),"",F66-C66)</f>
        <v/>
      </c>
      <c r="I66" s="16">
        <f>IF(OR(H66="",C66=0),"",H66/C66)</f>
        <v/>
      </c>
    </row>
    <row r="67">
      <c r="A67" s="4" t="inlineStr">
        <is>
          <t>Roman Marble Base with Foot</t>
        </is>
      </c>
      <c r="B67" s="15" t="inlineStr">
        <is>
          <t>Arte Primitivo</t>
        </is>
      </c>
      <c r="C67" s="26" t="n">
        <v>500</v>
      </c>
      <c r="D67" s="22" t="n"/>
      <c r="E67" s="4" t="inlineStr">
        <is>
          <t>Harlan J. Berk</t>
        </is>
      </c>
      <c r="F67" s="5" t="n"/>
      <c r="G67" s="30" t="n">
        <v>45695</v>
      </c>
      <c r="H67" s="32">
        <f>IF(OR(F67="",C67=""),"",F67-C67)</f>
        <v/>
      </c>
      <c r="I67" s="16">
        <f>IF(OR(H67="",C67=0),"",H67/C67)</f>
        <v/>
      </c>
    </row>
    <row r="68">
      <c r="A68" s="4" t="inlineStr">
        <is>
          <t>Neolithic Flint Celt</t>
        </is>
      </c>
      <c r="B68" s="15" t="inlineStr">
        <is>
          <t>Arte Primitivo</t>
        </is>
      </c>
      <c r="C68" s="5" t="n">
        <v>195.78</v>
      </c>
      <c r="D68" s="22" t="n">
        <v>44908</v>
      </c>
      <c r="E68" s="4" t="inlineStr">
        <is>
          <t>Harlan J. Berk</t>
        </is>
      </c>
      <c r="F68" s="5" t="n"/>
      <c r="G68" s="30" t="n">
        <v>45695</v>
      </c>
      <c r="H68" s="32">
        <f>IF(OR(F68="",C68=""),"",F68-C68)</f>
        <v/>
      </c>
      <c r="I68" s="16">
        <f>IF(OR(H68="",C68=0),"",H68/C68)</f>
        <v/>
      </c>
    </row>
    <row r="69">
      <c r="A69" s="4" t="inlineStr">
        <is>
          <t>Neolithic Danish Chert Adze</t>
        </is>
      </c>
      <c r="B69" s="15" t="inlineStr">
        <is>
          <t>Live Auctioneers</t>
        </is>
      </c>
      <c r="C69" s="5" t="n">
        <v>311.25</v>
      </c>
      <c r="D69" s="22" t="n">
        <v>44284</v>
      </c>
      <c r="E69" s="4" t="inlineStr">
        <is>
          <t>Harlan J. Berk</t>
        </is>
      </c>
      <c r="F69" s="5" t="n"/>
      <c r="G69" s="30" t="n">
        <v>45695</v>
      </c>
      <c r="H69" s="32">
        <f>IF(OR(F69="",C69=""),"",F69-C69)</f>
        <v/>
      </c>
      <c r="I69" s="16">
        <f>IF(OR(H69="",C69=0),"",H69/C69)</f>
        <v/>
      </c>
    </row>
    <row r="70">
      <c r="A70" s="4" t="inlineStr">
        <is>
          <t>Three Lots from Lithics Sale</t>
        </is>
      </c>
      <c r="B70" s="15" t="inlineStr">
        <is>
          <t>Hindman</t>
        </is>
      </c>
      <c r="C70" s="26" t="n">
        <v>2240.27</v>
      </c>
      <c r="D70" s="22" t="n">
        <v>45356</v>
      </c>
      <c r="E70" s="4" t="inlineStr">
        <is>
          <t>Harlan J. Berk</t>
        </is>
      </c>
      <c r="F70" s="5" t="n"/>
      <c r="G70" s="30" t="n">
        <v>45695</v>
      </c>
      <c r="H70" s="32">
        <f>IF(OR(F70="",C70=""),"",F70-C70)</f>
        <v/>
      </c>
      <c r="I70" s="16">
        <f>IF(OR(H70="",C70=0),"",H70/C70)</f>
        <v/>
      </c>
    </row>
    <row r="71">
      <c r="B71" s="15" t="n"/>
      <c r="C71" s="5">
        <f>SUM(C51:C70)</f>
        <v/>
      </c>
      <c r="D71" s="22" t="n"/>
      <c r="F71" s="33" t="n">
        <v>30000</v>
      </c>
      <c r="G71" s="34" t="n">
        <v>45695</v>
      </c>
      <c r="H71" s="5">
        <f>F71-C71</f>
        <v/>
      </c>
      <c r="I71" s="16" t="n"/>
    </row>
    <row r="72">
      <c r="B72" s="15" t="n"/>
      <c r="C72" s="5" t="n"/>
      <c r="D72" s="22" t="n"/>
      <c r="F72" s="5" t="n"/>
      <c r="G72" s="30" t="n"/>
      <c r="H72" s="5">
        <f>SUM(F72-C72)</f>
        <v/>
      </c>
      <c r="I72" s="16" t="n"/>
    </row>
    <row r="73">
      <c r="A73" s="28" t="inlineStr">
        <is>
          <t>A Collection of Seals</t>
        </is>
      </c>
      <c r="B73" s="15" t="inlineStr">
        <is>
          <t>Erdal Dere</t>
        </is>
      </c>
      <c r="C73" s="35" t="n">
        <v>13000</v>
      </c>
      <c r="D73" s="36" t="n">
        <v>45665</v>
      </c>
      <c r="E73" s="28" t="inlineStr">
        <is>
          <t>Harlan J. Berk</t>
        </is>
      </c>
      <c r="F73" s="35" t="n">
        <v>14000</v>
      </c>
      <c r="G73" s="36" t="n">
        <v>45667</v>
      </c>
      <c r="H73" s="5">
        <f>SUM(F73-C73)</f>
        <v/>
      </c>
      <c r="I73" s="16" t="n"/>
    </row>
    <row r="74">
      <c r="A74" s="28" t="inlineStr">
        <is>
          <t>Three Ancient Mosaics</t>
        </is>
      </c>
      <c r="B74" s="15" t="inlineStr">
        <is>
          <t>Jamal Rifai and Antiquarium</t>
        </is>
      </c>
      <c r="C74" s="35" t="n">
        <v>90000</v>
      </c>
      <c r="D74" s="30" t="n">
        <v>45709</v>
      </c>
      <c r="E74" s="28" t="inlineStr">
        <is>
          <t>Jonathan Yantis</t>
        </is>
      </c>
      <c r="F74" s="35" t="n">
        <v>105000</v>
      </c>
      <c r="G74" s="30" t="n">
        <v>45709</v>
      </c>
      <c r="H74" s="5">
        <f>SUM(F74-C74)</f>
        <v/>
      </c>
      <c r="I74" s="16" t="n"/>
    </row>
    <row r="75">
      <c r="A75" s="28" t="inlineStr">
        <is>
          <t>Canosan Terracotta Horse</t>
        </is>
      </c>
      <c r="B75" s="15" t="inlineStr">
        <is>
          <t>Hindman</t>
        </is>
      </c>
      <c r="C75" s="29" t="n">
        <v>900</v>
      </c>
      <c r="D75" s="30" t="n"/>
      <c r="E75" s="28" t="inlineStr">
        <is>
          <t>Erdal Dere</t>
        </is>
      </c>
      <c r="F75" s="29" t="n">
        <v>1000</v>
      </c>
      <c r="G75" s="30" t="n"/>
      <c r="H75" s="5">
        <f>SUM(F75-C75)</f>
        <v/>
      </c>
      <c r="I75" s="16" t="n"/>
    </row>
    <row r="76">
      <c r="A76" s="28" t="inlineStr">
        <is>
          <t>Sale 6428 Contract 303468 (object TBD)</t>
        </is>
      </c>
      <c r="B76" s="15" t="inlineStr">
        <is>
          <t>Cost TBD</t>
        </is>
      </c>
      <c r="C76" s="37" t="n"/>
      <c r="D76" s="30" t="n"/>
      <c r="E76" s="28" t="inlineStr">
        <is>
          <t>Freeman's LLC — check to Megan (joint 0203)</t>
        </is>
      </c>
      <c r="F76" s="38" t="n">
        <v>11000</v>
      </c>
      <c r="G76" s="30" t="inlineStr">
        <is>
          <t>2025-12-24</t>
        </is>
      </c>
      <c r="H76" s="5">
        <f>IF(C76="","",F76-C76)</f>
        <v/>
      </c>
      <c r="I76" s="16" t="n"/>
    </row>
    <row r="77">
      <c r="A77" s="39" t="inlineStr">
        <is>
          <t>Books (titles TBD)</t>
        </is>
      </c>
      <c r="B77" s="40" t="inlineStr">
        <is>
          <t>Cost TBD</t>
        </is>
      </c>
      <c r="C77" s="41" t="n"/>
      <c r="E77" s="39" t="inlineStr">
        <is>
          <t>Aquinas Hobor</t>
        </is>
      </c>
      <c r="F77" s="42" t="n">
        <v>1000</v>
      </c>
      <c r="G77" s="43" t="n">
        <v>45692</v>
      </c>
      <c r="H77" s="44">
        <f>IF(OR(F77="",C77=""),"",F77-C77)</f>
        <v/>
      </c>
      <c r="I77" s="45" t="inlineStr">
        <is>
          <t>LOCKED 2026-09-20: book SALE $1,000 on Mercury 8291. Cost TBD — not in Income I8 yet (same as Sale 6428). Titles TBD. Not tax advice.</t>
        </is>
      </c>
    </row>
    <row r="78">
      <c r="A78" s="44" t="inlineStr">
        <is>
          <t>Total</t>
        </is>
      </c>
      <c r="H78" s="46">
        <f>SUM(H51:H75)</f>
        <v/>
      </c>
    </row>
    <row r="79">
      <c r="A79" s="47" t="inlineStr">
        <is>
          <t>Mercury 8291 MATCHED: Berk $14,000 (1/10 seals) + $30,000 (2/7 lots). EOEB $105,000 (2/21 mosaics). Fortuna $13,000 (1/8 seals Cost). Plutus $50,000 of mosaics $90,000 Cost — $40,000 of Cost not on 8291 (ASK). Newstar $23,581 is jewelry fabrication COGS, parked below — not in sold-lot Cost (Berk gem/scarab lots already sold in February). David Aaron $13,595 (6/24) is LOCKED consultant fee — not a sale (EPGC Consultant June). Aquinas Hobor $1,000 (2/4) is LOCKED book sale — EPGC Art Sales February; Cost TBD (not in I8). Not tax advice.</t>
        </is>
      </c>
    </row>
    <row r="80">
      <c r="A80" s="2" t="inlineStr">
        <is>
          <t>Art Purchases/Inventory</t>
        </is>
      </c>
      <c r="B80" s="15" t="n"/>
      <c r="C80" s="5" t="n"/>
      <c r="D80" s="22" t="n"/>
      <c r="E80" s="48" t="n"/>
      <c r="F80" s="5" t="n"/>
      <c r="G80" s="22" t="n"/>
      <c r="H80" s="48" t="n"/>
      <c r="I80" s="16" t="n"/>
      <c r="J80" s="48" t="n"/>
      <c r="K80" s="48" t="n"/>
      <c r="L80" s="48" t="n"/>
      <c r="M80" s="48" t="n"/>
      <c r="N80" s="48" t="n"/>
    </row>
    <row r="81">
      <c r="A81" s="4" t="inlineStr">
        <is>
          <t>30 Paleothic and Neolithic Stone Tools</t>
        </is>
      </c>
      <c r="B81" s="31" t="inlineStr">
        <is>
          <t>Holestein</t>
        </is>
      </c>
      <c r="C81" s="5" t="n">
        <v>4000</v>
      </c>
      <c r="E81" s="16" t="n"/>
    </row>
    <row r="82">
      <c r="A82" s="4" t="inlineStr">
        <is>
          <t>A Tairona Figure</t>
        </is>
      </c>
      <c r="B82" s="31" t="inlineStr">
        <is>
          <t>Live Auctioneers</t>
        </is>
      </c>
      <c r="C82" s="5" t="n">
        <v>250</v>
      </c>
      <c r="D82" s="22" t="n">
        <v>45119</v>
      </c>
      <c r="E82" s="16" t="n"/>
    </row>
    <row r="83">
      <c r="A83" s="4" t="inlineStr">
        <is>
          <t>A Tairona Figure</t>
        </is>
      </c>
      <c r="B83" s="31" t="inlineStr">
        <is>
          <t>Live Auctioneers</t>
        </is>
      </c>
      <c r="C83" s="5" t="n">
        <v>300</v>
      </c>
      <c r="D83" s="22" t="n">
        <v>45119</v>
      </c>
      <c r="E83" s="16" t="n"/>
    </row>
    <row r="84">
      <c r="A84" s="4" t="inlineStr">
        <is>
          <t>A Pair of Greek Bronze Greeves</t>
        </is>
      </c>
      <c r="B84" s="31" t="inlineStr">
        <is>
          <t>ebay</t>
        </is>
      </c>
      <c r="C84" s="5" t="n">
        <v>200</v>
      </c>
      <c r="D84" s="22" t="n">
        <v>45145</v>
      </c>
      <c r="E84" s="16" t="n"/>
    </row>
    <row r="85">
      <c r="A85" s="4" t="inlineStr">
        <is>
          <t>An Illyrian Bronze Helmet</t>
        </is>
      </c>
      <c r="B85" s="31" t="inlineStr">
        <is>
          <t>ebay</t>
        </is>
      </c>
      <c r="C85" s="5" t="n">
        <v>551.25</v>
      </c>
      <c r="D85" s="22" t="n">
        <v>45114</v>
      </c>
      <c r="E85" s="16" t="n"/>
    </row>
    <row r="86">
      <c r="A86" s="4" t="inlineStr">
        <is>
          <t>An Egyptian Faience Ibis</t>
        </is>
      </c>
      <c r="B86" s="15" t="inlineStr">
        <is>
          <t>Hindman</t>
        </is>
      </c>
      <c r="C86" s="5" t="n">
        <v>375</v>
      </c>
      <c r="D86" s="22" t="n">
        <v>44343</v>
      </c>
      <c r="E86" s="22" t="n"/>
      <c r="F86" s="5" t="n"/>
      <c r="I86" s="16" t="n"/>
    </row>
    <row r="87">
      <c r="A87" s="4" t="inlineStr">
        <is>
          <t>African Stone Bracelet Upper Volta River 1 0f 4</t>
        </is>
      </c>
      <c r="B87" s="15" t="inlineStr">
        <is>
          <t>Live Auctioneers</t>
        </is>
      </c>
      <c r="C87" s="5" t="n">
        <v>293</v>
      </c>
      <c r="D87" s="22" t="n">
        <v>44548</v>
      </c>
      <c r="F87" s="5" t="n"/>
      <c r="I87" s="16" t="n"/>
    </row>
    <row r="88">
      <c r="A88" s="4" t="inlineStr">
        <is>
          <t>African Stone Bracelet Upper Volta River 2 0f 4</t>
        </is>
      </c>
      <c r="B88" s="15" t="inlineStr">
        <is>
          <t>Live Auctioneers</t>
        </is>
      </c>
      <c r="C88" s="5" t="n">
        <v>293</v>
      </c>
      <c r="D88" s="22" t="n">
        <v>44548</v>
      </c>
      <c r="F88" s="5" t="n"/>
      <c r="I88" s="16" t="n"/>
    </row>
    <row r="89">
      <c r="A89" s="4" t="inlineStr">
        <is>
          <t>African Stone Bracelet Upper Volta River 4 0f 4</t>
        </is>
      </c>
      <c r="B89" s="15" t="inlineStr">
        <is>
          <t>Live Auctioneers</t>
        </is>
      </c>
      <c r="C89" s="5" t="n">
        <v>293</v>
      </c>
      <c r="D89" s="22" t="n">
        <v>44548</v>
      </c>
      <c r="F89" s="5" t="n"/>
      <c r="I89" s="16" t="n"/>
    </row>
    <row r="90">
      <c r="A90" s="4" t="inlineStr">
        <is>
          <t>A Saharan Stone Discoidal</t>
        </is>
      </c>
      <c r="B90" s="15" t="inlineStr">
        <is>
          <t>Pace African Art</t>
        </is>
      </c>
      <c r="C90" s="5" t="n">
        <v>1000</v>
      </c>
      <c r="D90" s="22" t="n">
        <v>44562</v>
      </c>
      <c r="F90" s="5" t="n"/>
      <c r="I90" s="16" t="n"/>
    </row>
    <row r="91">
      <c r="A91" s="4" t="inlineStr">
        <is>
          <t>Carved Ostrish Egg</t>
        </is>
      </c>
      <c r="B91" s="15" t="inlineStr">
        <is>
          <t xml:space="preserve">Etsy </t>
        </is>
      </c>
      <c r="C91" s="5" t="n">
        <v>90</v>
      </c>
      <c r="F91" s="5" t="n"/>
      <c r="I91" s="16" t="n"/>
    </row>
    <row r="92">
      <c r="A92" s="4" t="inlineStr">
        <is>
          <t>Carved Goose Egg</t>
        </is>
      </c>
      <c r="B92" s="15" t="inlineStr">
        <is>
          <t>Etsy</t>
        </is>
      </c>
      <c r="C92" s="5" t="n">
        <v>30</v>
      </c>
      <c r="F92" s="5" t="n"/>
      <c r="I92" s="16" t="n"/>
    </row>
    <row r="93">
      <c r="A93" s="4" t="inlineStr">
        <is>
          <t>Carved Goose Egg</t>
        </is>
      </c>
      <c r="B93" s="15" t="inlineStr">
        <is>
          <t>Etsy</t>
        </is>
      </c>
      <c r="C93" s="5" t="n">
        <v>35</v>
      </c>
      <c r="F93" s="5" t="n"/>
      <c r="I93" s="16" t="n"/>
    </row>
    <row r="94">
      <c r="A94" s="4" t="inlineStr">
        <is>
          <t>Quimbaya Figure (Gift)</t>
        </is>
      </c>
      <c r="B94" s="15" t="inlineStr">
        <is>
          <t>Jeffrey Norris</t>
        </is>
      </c>
      <c r="C94" s="5" t="n">
        <v>10</v>
      </c>
      <c r="D94" s="22" t="n">
        <v>45079</v>
      </c>
      <c r="I94" s="16" t="n"/>
    </row>
    <row r="95">
      <c r="A95" s="4" t="inlineStr">
        <is>
          <t>A Saharan Stone Discoidal (Gift)</t>
        </is>
      </c>
      <c r="B95" s="15" t="inlineStr">
        <is>
          <t>Aquinas Hobor</t>
        </is>
      </c>
      <c r="C95" s="5" t="n">
        <v>10</v>
      </c>
      <c r="D95" s="22" t="n">
        <v>45079</v>
      </c>
      <c r="I95" s="16" t="n"/>
    </row>
    <row r="96">
      <c r="A96" s="4" t="inlineStr">
        <is>
          <t>A Saharan Stone Discoidal</t>
        </is>
      </c>
      <c r="B96" s="15" t="inlineStr">
        <is>
          <t>Aquinas Hobor</t>
        </is>
      </c>
      <c r="C96" s="26" t="n">
        <v>500</v>
      </c>
      <c r="D96" s="22" t="n">
        <v>45079</v>
      </c>
      <c r="F96" s="5" t="n"/>
      <c r="I96" s="16" t="n"/>
    </row>
    <row r="97">
      <c r="A97" s="4" t="inlineStr">
        <is>
          <t>Two Songye and Bozo Vessels</t>
        </is>
      </c>
      <c r="B97" s="15" t="inlineStr">
        <is>
          <t>Hindman</t>
        </is>
      </c>
      <c r="C97" s="26" t="n">
        <v>138.91</v>
      </c>
      <c r="D97" s="22" t="n">
        <v>45211</v>
      </c>
      <c r="F97" s="5" t="n"/>
      <c r="I97" s="16" t="n"/>
    </row>
    <row r="98">
      <c r="A98" s="4" t="inlineStr">
        <is>
          <t xml:space="preserve">Sword 9th Century </t>
        </is>
      </c>
      <c r="B98" s="15" t="inlineStr">
        <is>
          <t>Zevantiques</t>
        </is>
      </c>
      <c r="C98" s="26" t="n">
        <v>3000</v>
      </c>
      <c r="D98" s="22" t="n">
        <v>45311</v>
      </c>
      <c r="F98" s="5" t="n"/>
      <c r="I98" s="16" t="n"/>
    </row>
    <row r="99">
      <c r="A99" s="4" t="inlineStr">
        <is>
          <t>A Roman Marble Plaque with Insciption</t>
        </is>
      </c>
      <c r="B99" s="15" t="inlineStr">
        <is>
          <t>ebay</t>
        </is>
      </c>
      <c r="C99" s="26" t="n">
        <v>1331.41</v>
      </c>
      <c r="D99" s="22" t="n">
        <v>45546</v>
      </c>
      <c r="F99" s="5" t="n"/>
      <c r="I99" s="16" t="n"/>
    </row>
    <row r="100">
      <c r="A100" s="4" t="inlineStr">
        <is>
          <t>Erotic Intaglio Finger Ring</t>
        </is>
      </c>
      <c r="B100" s="15" t="inlineStr">
        <is>
          <t>ebay</t>
        </is>
      </c>
      <c r="C100" s="26" t="n">
        <v>205.07</v>
      </c>
      <c r="D100" s="22" t="n">
        <v>45446</v>
      </c>
      <c r="F100" s="5" t="n"/>
      <c r="I100" s="16" t="n"/>
    </row>
    <row r="101">
      <c r="B101" s="15" t="n"/>
      <c r="C101" s="26" t="n"/>
      <c r="D101" s="22" t="n"/>
      <c r="F101" s="5" t="n"/>
      <c r="I101" s="16" t="n"/>
    </row>
    <row r="102">
      <c r="A102" s="2" t="inlineStr">
        <is>
          <t>Total</t>
        </is>
      </c>
      <c r="B102" s="15" t="n"/>
      <c r="C102" s="7" t="n"/>
      <c r="F102" s="5" t="n"/>
      <c r="I102" s="16" t="n"/>
    </row>
    <row r="103">
      <c r="B103" s="15" t="n"/>
      <c r="C103" s="5" t="n"/>
      <c r="F103" s="5" t="n"/>
      <c r="I103" s="16" t="n"/>
    </row>
    <row r="104">
      <c r="A104" s="2" t="inlineStr">
        <is>
          <t>Office/Business Inventory</t>
        </is>
      </c>
      <c r="B104" s="15" t="n"/>
      <c r="C104" s="5" t="n"/>
      <c r="D104" s="48" t="n"/>
      <c r="E104" s="48" t="n"/>
      <c r="F104" s="5" t="n"/>
      <c r="G104" s="48" t="n"/>
      <c r="H104" s="48" t="n"/>
      <c r="I104" s="16" t="n"/>
      <c r="J104" s="48" t="n"/>
      <c r="K104" s="48" t="n"/>
      <c r="L104" s="48" t="n"/>
      <c r="M104" s="48" t="n"/>
      <c r="N104" s="48" t="n"/>
    </row>
    <row r="105">
      <c r="A105" s="4" t="inlineStr">
        <is>
          <t>Sofa</t>
        </is>
      </c>
      <c r="B105" s="15" t="n"/>
      <c r="C105" s="5" t="n"/>
      <c r="F105" s="5" t="n"/>
      <c r="I105" s="16" t="n"/>
    </row>
    <row r="106">
      <c r="A106" s="4" t="inlineStr">
        <is>
          <t>Space Heater</t>
        </is>
      </c>
      <c r="B106" s="15" t="n"/>
      <c r="C106" s="5" t="n"/>
      <c r="F106" s="5" t="n"/>
      <c r="I106" s="16" t="n"/>
    </row>
    <row r="107">
      <c r="A107" s="4" t="inlineStr">
        <is>
          <t>Shelving</t>
        </is>
      </c>
      <c r="B107" s="15" t="n"/>
      <c r="C107" s="5" t="n"/>
      <c r="F107" s="5" t="n"/>
      <c r="I107" s="16" t="n"/>
    </row>
    <row r="108">
      <c r="A108" s="4" t="inlineStr">
        <is>
          <t>Storage Bins</t>
        </is>
      </c>
      <c r="B108" s="15" t="n"/>
      <c r="C108" s="5" t="n"/>
      <c r="F108" s="5" t="n"/>
      <c r="I108" s="16" t="n"/>
    </row>
    <row r="109">
      <c r="A109" s="4" t="inlineStr">
        <is>
          <t>Table</t>
        </is>
      </c>
      <c r="B109" s="15" t="n"/>
      <c r="C109" s="5" t="n"/>
      <c r="F109" s="5" t="n"/>
      <c r="I109" s="16" t="n"/>
    </row>
    <row r="110">
      <c r="A110" s="4" t="inlineStr">
        <is>
          <t>Computer</t>
        </is>
      </c>
      <c r="B110" s="15" t="n"/>
      <c r="C110" s="5" t="n"/>
      <c r="F110" s="5" t="n"/>
      <c r="I110" s="16" t="n"/>
    </row>
    <row r="111">
      <c r="A111" s="4" t="inlineStr">
        <is>
          <t>Art Library</t>
        </is>
      </c>
      <c r="B111" s="15" t="n"/>
      <c r="C111" s="5" t="n"/>
      <c r="F111" s="5" t="n"/>
      <c r="I111" s="16" t="n"/>
    </row>
    <row r="112">
      <c r="A112" s="4" t="inlineStr">
        <is>
          <t>Standing Desk</t>
        </is>
      </c>
      <c r="B112" s="15" t="n"/>
      <c r="C112" s="5" t="n"/>
      <c r="F112" s="5" t="n"/>
      <c r="I112" s="16" t="n"/>
    </row>
    <row r="113">
      <c r="B113" s="15" t="n"/>
      <c r="C113" s="5" t="n"/>
      <c r="F113" s="5" t="n"/>
      <c r="I113" s="16" t="n"/>
    </row>
    <row r="114">
      <c r="A114" s="49" t="inlineStr">
        <is>
          <t>2025 CC inventory (not in Cost total until object is named)</t>
        </is>
      </c>
      <c r="B114" s="15" t="n"/>
      <c r="C114" s="5" t="n"/>
      <c r="F114" s="5" t="n"/>
      <c r="I114" s="16" t="n"/>
    </row>
    <row r="115">
      <c r="A115" s="32" t="inlineStr">
        <is>
          <t>Los Angeles Modern Auctions (inventory purchase)</t>
        </is>
      </c>
      <c r="B115" s="32" t="inlineStr">
        <is>
          <t>Sapphire 5423</t>
        </is>
      </c>
      <c r="C115" s="50" t="n">
        <v>6821.06</v>
      </c>
      <c r="D115" s="32" t="inlineStr">
        <is>
          <t>2025-07-24</t>
        </is>
      </c>
    </row>
    <row r="116">
      <c r="A116" s="32" t="inlineStr">
        <is>
          <t>Hindman LLC (inventory purchase)</t>
        </is>
      </c>
      <c r="B116" s="32" t="inlineStr">
        <is>
          <t>Sapphire 5423</t>
        </is>
      </c>
      <c r="C116" s="50" t="n">
        <v>282.24</v>
      </c>
      <c r="D116" s="32" t="inlineStr">
        <is>
          <t>2025-04-03</t>
        </is>
      </c>
    </row>
    <row r="117">
      <c r="A117" s="32" t="inlineStr">
        <is>
          <t>Hindman LLC (inventory purchase)</t>
        </is>
      </c>
      <c r="B117" s="32" t="inlineStr">
        <is>
          <t>Sapphire 5423</t>
        </is>
      </c>
      <c r="C117" s="50" t="n">
        <v>403.51</v>
      </c>
      <c r="D117" s="32" t="inlineStr">
        <is>
          <t>2025-07-29</t>
        </is>
      </c>
    </row>
    <row r="118">
      <c r="A118" s="32" t="inlineStr">
        <is>
          <t>The Great Frame Up (inventory framing)</t>
        </is>
      </c>
      <c r="B118" s="32" t="inlineStr">
        <is>
          <t>Sapphire 5423</t>
        </is>
      </c>
      <c r="C118" s="50" t="n">
        <v>536.41</v>
      </c>
      <c r="D118" s="32" t="inlineStr">
        <is>
          <t>2025-02-16</t>
        </is>
      </c>
    </row>
    <row r="119"/>
    <row r="120">
      <c r="A120" s="51" t="inlineStr">
        <is>
          <t>2025 Mercury 8291 — David Aaron Limited is LOCKED consultant fee (not Art Sales)</t>
        </is>
      </c>
    </row>
    <row r="121">
      <c r="A121" s="39" t="inlineStr">
        <is>
          <t>NOT a 2025 art sale — David Aaron Limited consultant fee (EPGC Consultant June)</t>
        </is>
      </c>
      <c r="B121" s="39" t="inlineStr">
        <is>
          <t>David Aaron Limited</t>
        </is>
      </c>
      <c r="C121" s="39" t="n"/>
      <c r="D121" s="39" t="n"/>
      <c r="E121" s="39" t="n"/>
      <c r="F121" s="42" t="n"/>
      <c r="G121" s="52" t="n"/>
      <c r="H121" s="52" t="n"/>
      <c r="I121" s="39" t="inlineStr">
        <is>
          <t>LOCKED 2026-09-20: consultant fee, not a sale. $13,595 is on EPGC Consultant June. Not tax advice.</t>
        </is>
      </c>
    </row>
    <row r="122"/>
    <row r="123">
      <c r="A123" s="51" t="inlineStr">
        <is>
          <t>2025 Mercury COGS — Newstar Jewelers (LOCKED jewelry fabrication)</t>
        </is>
      </c>
    </row>
    <row r="124">
      <c r="A124" s="53" t="inlineStr">
        <is>
          <t>Newstar Jewelers — jewelry from intaglios / engraved gems / scarabs</t>
        </is>
      </c>
      <c r="B124" s="53" t="inlineStr">
        <is>
          <t>Mercury 8291</t>
        </is>
      </c>
      <c r="C124" s="54" t="n">
        <v>8000</v>
      </c>
      <c r="D124" s="53" t="inlineStr">
        <is>
          <t>2025-10-14</t>
        </is>
      </c>
      <c r="I124" s="32" t="inlineStr">
        <is>
          <t>LOCKED COGS fabrication. Not in sold-lot Cost total (Feb Berk lots already sold). Identify which gems/intaglios/scarabs.</t>
        </is>
      </c>
    </row>
    <row r="125">
      <c r="A125" s="53" t="inlineStr">
        <is>
          <t>Newstar Jewelers — jewelry from intaglios / engraved gems / scarabs</t>
        </is>
      </c>
      <c r="B125" s="53" t="inlineStr">
        <is>
          <t>Mercury 8291</t>
        </is>
      </c>
      <c r="C125" s="54" t="n">
        <v>8000</v>
      </c>
      <c r="D125" s="53" t="inlineStr">
        <is>
          <t>2025-11-12</t>
        </is>
      </c>
      <c r="I125" s="32" t="inlineStr">
        <is>
          <t>LOCKED COGS fabrication. Not in sold-lot Cost total (Feb Berk lots already sold). Identify which gems/intaglios/scarabs.</t>
        </is>
      </c>
    </row>
    <row r="126">
      <c r="A126" s="53" t="inlineStr">
        <is>
          <t>Newstar Jewelers — jewelry from intaglios / engraved gems / scarabs (3 of 3)</t>
        </is>
      </c>
      <c r="B126" s="53" t="inlineStr">
        <is>
          <t>Mercury 8291</t>
        </is>
      </c>
      <c r="C126" s="54" t="n">
        <v>7581</v>
      </c>
      <c r="D126" s="53" t="inlineStr">
        <is>
          <t>2025-12-24</t>
        </is>
      </c>
      <c r="I126" s="32" t="inlineStr">
        <is>
          <t>LOCKED COGS fabrication. Not in sold-lot Cost total (Feb Berk lots already sold). Identify which gems/intaglios/scarabs.</t>
        </is>
      </c>
    </row>
    <row r="127">
      <c r="A127" s="32" t="inlineStr">
        <is>
          <t>Newstar 2025 total</t>
        </is>
      </c>
      <c r="C127" s="54">
        <f>SUM(C123:C125)</f>
        <v/>
      </c>
    </row>
    <row r="128"/>
    <row r="129">
      <c r="A129" s="55" t="inlineStr">
        <is>
          <t>2025 Mercury ASK — Fortuna inventory remaining (not in Cost total until object is named)</t>
        </is>
      </c>
    </row>
    <row r="130">
      <c r="A130" s="41" t="inlineStr">
        <is>
          <t>Fortuna / Erdal Dere — object TBD</t>
        </is>
      </c>
      <c r="B130" s="41" t="inlineStr">
        <is>
          <t>Mercury 8291</t>
        </is>
      </c>
      <c r="C130" s="50" t="n">
        <v>20000</v>
      </c>
      <c r="D130" s="41" t="inlineStr">
        <is>
          <t>2025-05-09</t>
        </is>
      </c>
      <c r="I130" s="32" t="inlineStr">
        <is>
          <t>ASK: inventory purchase vs other. Do not add to sold Cost until named (avoid double count).</t>
        </is>
      </c>
    </row>
    <row r="131">
      <c r="A131" s="41" t="inlineStr">
        <is>
          <t>Fortuna / Erdal Dere — object TBD</t>
        </is>
      </c>
      <c r="B131" s="41" t="inlineStr">
        <is>
          <t>Mercury 8291</t>
        </is>
      </c>
      <c r="C131" s="50" t="n">
        <v>45000</v>
      </c>
      <c r="D131" s="41" t="inlineStr">
        <is>
          <t>2025-07-21</t>
        </is>
      </c>
      <c r="I131" s="32" t="inlineStr">
        <is>
          <t>ASK: inventory purchase vs other. Do not add to sold Cost until named (avoid double count).</t>
        </is>
      </c>
    </row>
    <row r="132">
      <c r="A132" s="41" t="inlineStr">
        <is>
          <t>Fortuna / Erdal Dere — object TBD</t>
        </is>
      </c>
      <c r="B132" s="41" t="inlineStr">
        <is>
          <t>Mercury 8291</t>
        </is>
      </c>
      <c r="C132" s="50" t="n">
        <v>20000</v>
      </c>
      <c r="D132" s="41" t="inlineStr">
        <is>
          <t>2025-08-15</t>
        </is>
      </c>
      <c r="I132" s="32" t="inlineStr">
        <is>
          <t>ASK: inventory purchase vs other. Do not add to sold Cost until named (avoid double count).</t>
        </is>
      </c>
    </row>
    <row r="133">
      <c r="A133" s="32" t="inlineStr">
        <is>
          <t>Fortuna remaining 2025 (excl. seals $13,000 already on row 73)</t>
        </is>
      </c>
      <c r="C133" s="50" t="n">
        <v>85000</v>
      </c>
    </row>
    <row r="1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4.14" customWidth="1" min="3" max="3"/>
    <col width="10.71" customWidth="1" min="4" max="4"/>
    <col width="11.86" customWidth="1" min="5" max="5"/>
    <col width="8.710000000000001" customWidth="1" min="6" max="6"/>
  </cols>
  <sheetData>
    <row r="1"/>
    <row r="2">
      <c r="A2" s="56" t="inlineStr">
        <is>
          <t>GCM Boards 2022</t>
        </is>
      </c>
      <c r="B2" s="57" t="n"/>
      <c r="C2" s="57" t="n"/>
      <c r="D2" s="57" t="n"/>
      <c r="E2" s="57" t="n"/>
    </row>
    <row r="3">
      <c r="A3" s="2" t="inlineStr">
        <is>
          <t>Fees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</row>
    <row r="4">
      <c r="A4" s="4" t="inlineStr">
        <is>
          <t>GCM Board</t>
        </is>
      </c>
      <c r="B4" s="5" t="n">
        <v>3500</v>
      </c>
      <c r="C4" s="5" t="n">
        <v>3500</v>
      </c>
      <c r="D4" s="5" t="n">
        <v>3500</v>
      </c>
      <c r="E4" s="5" t="n">
        <v>7000</v>
      </c>
    </row>
    <row r="5">
      <c r="A5" s="4" t="inlineStr">
        <is>
          <t>Gates SPC</t>
        </is>
      </c>
      <c r="B5" s="5" t="n"/>
      <c r="C5" s="5" t="n">
        <v>2500</v>
      </c>
      <c r="D5" s="5" t="n">
        <v>2500</v>
      </c>
      <c r="E5" s="5" t="n">
        <v>2500</v>
      </c>
    </row>
    <row r="6">
      <c r="A6" s="4" t="inlineStr">
        <is>
          <t>Total</t>
        </is>
      </c>
      <c r="B6" s="7">
        <f>SUM(B4:B5)</f>
        <v/>
      </c>
      <c r="C6" s="7">
        <f>SUM(C4:C5)</f>
        <v/>
      </c>
      <c r="D6" s="7">
        <f>SUM(D4:D5)</f>
        <v/>
      </c>
      <c r="E6" s="7">
        <f>SUM(E4:E5)</f>
        <v/>
      </c>
    </row>
    <row r="7">
      <c r="A7" s="2" t="inlineStr">
        <is>
          <t>Grand Total</t>
        </is>
      </c>
      <c r="C7" s="2" t="n"/>
      <c r="D7" s="2" t="n"/>
      <c r="E7" s="7">
        <f>SUM(B6:E6)</f>
        <v/>
      </c>
    </row>
    <row r="8"/>
    <row r="9">
      <c r="A9" s="56" t="inlineStr">
        <is>
          <t>GCM Boards 2023</t>
        </is>
      </c>
      <c r="B9" s="57" t="n"/>
      <c r="C9" s="57" t="n"/>
      <c r="D9" s="57" t="n"/>
      <c r="E9" s="57" t="n"/>
    </row>
    <row r="10">
      <c r="A10" s="2" t="inlineStr">
        <is>
          <t>Fees</t>
        </is>
      </c>
      <c r="B10" s="2" t="inlineStr">
        <is>
          <t>Q1</t>
        </is>
      </c>
      <c r="C10" s="2" t="inlineStr">
        <is>
          <t>Q2</t>
        </is>
      </c>
      <c r="D10" s="2" t="inlineStr">
        <is>
          <t>Q3</t>
        </is>
      </c>
      <c r="E10" s="2" t="inlineStr">
        <is>
          <t>Q4</t>
        </is>
      </c>
    </row>
    <row r="11">
      <c r="A11" s="4" t="inlineStr">
        <is>
          <t>GCM Board</t>
        </is>
      </c>
      <c r="B11" s="5" t="n">
        <v>3675</v>
      </c>
      <c r="C11" s="5" t="n">
        <v>3675</v>
      </c>
      <c r="D11" s="58" t="n">
        <v>3675</v>
      </c>
      <c r="E11" s="58" t="n">
        <v>3675</v>
      </c>
    </row>
    <row r="12">
      <c r="A12" s="4" t="inlineStr">
        <is>
          <t>Total</t>
        </is>
      </c>
      <c r="B12" s="7">
        <f>SUM(B11)</f>
        <v/>
      </c>
      <c r="C12" s="7">
        <f>SUM(C11)</f>
        <v/>
      </c>
      <c r="D12" s="7">
        <f>SUM(D11)</f>
        <v/>
      </c>
      <c r="E12" s="7">
        <f>SUM(E11)</f>
        <v/>
      </c>
    </row>
    <row r="13">
      <c r="A13" s="2" t="inlineStr">
        <is>
          <t>Grand Total</t>
        </is>
      </c>
      <c r="C13" s="2" t="n"/>
      <c r="D13" s="2" t="n"/>
      <c r="E13" s="7">
        <f>SUM(B12:E12)</f>
        <v/>
      </c>
    </row>
    <row r="14"/>
    <row r="15">
      <c r="A15" s="56" t="inlineStr">
        <is>
          <t>GCM Boards 2024</t>
        </is>
      </c>
      <c r="B15" s="57" t="n"/>
      <c r="C15" s="57" t="n"/>
      <c r="D15" s="57" t="n"/>
      <c r="E15" s="57" t="n"/>
    </row>
    <row r="16">
      <c r="A16" s="2" t="inlineStr">
        <is>
          <t>Fees</t>
        </is>
      </c>
      <c r="B16" s="2" t="inlineStr">
        <is>
          <t>Q1</t>
        </is>
      </c>
      <c r="C16" s="2" t="inlineStr">
        <is>
          <t>Q2</t>
        </is>
      </c>
      <c r="D16" s="2" t="inlineStr">
        <is>
          <t>Q3</t>
        </is>
      </c>
      <c r="E16" s="2" t="inlineStr">
        <is>
          <t>Q4</t>
        </is>
      </c>
    </row>
    <row r="17">
      <c r="A17" s="4" t="inlineStr">
        <is>
          <t>GCM Board</t>
        </is>
      </c>
      <c r="B17" s="5" t="n">
        <v>4050</v>
      </c>
      <c r="C17" s="5" t="n">
        <v>4050</v>
      </c>
      <c r="D17" s="58" t="n">
        <v>4050</v>
      </c>
      <c r="E17" s="58" t="n">
        <v>4050</v>
      </c>
    </row>
    <row r="18">
      <c r="A18" s="4" t="inlineStr">
        <is>
          <t>Total</t>
        </is>
      </c>
      <c r="B18" s="7">
        <f>SUM(B17)</f>
        <v/>
      </c>
      <c r="C18" s="7">
        <f>SUM(C17)</f>
        <v/>
      </c>
      <c r="D18" s="7">
        <f>SUM(D17)</f>
        <v/>
      </c>
      <c r="E18" s="7">
        <f>SUM(E17)</f>
        <v/>
      </c>
    </row>
    <row r="19">
      <c r="A19" s="2" t="inlineStr">
        <is>
          <t>Grand Total</t>
        </is>
      </c>
      <c r="C19" s="2" t="n"/>
      <c r="D19" s="2" t="n"/>
      <c r="E19" s="7">
        <f>SUM(B18:E18)</f>
        <v/>
      </c>
    </row>
    <row r="20">
      <c r="A20" s="22" t="n"/>
      <c r="B20" s="59" t="n"/>
    </row>
    <row r="21"/>
    <row r="22">
      <c r="A22" s="60" t="inlineStr">
        <is>
          <t>GCM Boards 2025</t>
        </is>
      </c>
    </row>
    <row r="23">
      <c r="A23" s="32" t="inlineStr">
        <is>
          <t>Fees</t>
        </is>
      </c>
      <c r="B23" s="32" t="inlineStr">
        <is>
          <t>Q1</t>
        </is>
      </c>
      <c r="C23" s="32" t="inlineStr">
        <is>
          <t>Q2</t>
        </is>
      </c>
      <c r="D23" s="32" t="inlineStr">
        <is>
          <t>Q3</t>
        </is>
      </c>
      <c r="E23" s="32" t="inlineStr">
        <is>
          <t>Q4</t>
        </is>
      </c>
    </row>
    <row r="24">
      <c r="A24" s="32" t="inlineStr">
        <is>
          <t>GCM Board</t>
        </is>
      </c>
      <c r="B24" s="61" t="n">
        <v>4100</v>
      </c>
      <c r="C24" s="61" t="n">
        <v>9200</v>
      </c>
      <c r="D24" s="61" t="n">
        <v>4100</v>
      </c>
      <c r="E24" s="61" t="n">
        <v>4100</v>
      </c>
    </row>
    <row r="25">
      <c r="A25" s="32" t="inlineStr">
        <is>
          <t>Total</t>
        </is>
      </c>
      <c r="B25" s="32">
        <f>SUM(B24)</f>
        <v/>
      </c>
      <c r="C25" s="32">
        <f>SUM(C24)</f>
        <v/>
      </c>
      <c r="D25" s="32">
        <f>SUM(D24)</f>
        <v/>
      </c>
      <c r="E25" s="32">
        <f>SUM(E24)</f>
        <v/>
      </c>
    </row>
    <row r="26">
      <c r="A26" s="32" t="inlineStr">
        <is>
          <t>Grand Total</t>
        </is>
      </c>
      <c r="E26" s="32">
        <f>SUM(B25:E25)</f>
        <v/>
      </c>
    </row>
    <row r="27"/>
    <row r="28">
      <c r="A28" s="32" t="inlineStr">
        <is>
          <t>BOM PAYMEN $21,500 = Form 1099-NEC (personal, Jacob). NOT EPGC Consultant. JAKE C / SEFOF reimbursements excluded. Not tax advice.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4" t="inlineStr">
        <is>
          <t>Fidelity</t>
        </is>
      </c>
      <c r="B1" s="4" t="inlineStr">
        <is>
          <t>SEP IRA</t>
        </is>
      </c>
    </row>
    <row r="2">
      <c r="A2" s="4" t="inlineStr">
        <is>
          <t>ML</t>
        </is>
      </c>
      <c r="B2" s="4" t="inlineStr">
        <is>
          <t>UTMA EMMA COLEY</t>
        </is>
      </c>
    </row>
    <row r="3">
      <c r="A3" s="4" t="inlineStr">
        <is>
          <t>ML</t>
        </is>
      </c>
      <c r="B3" s="4" t="inlineStr">
        <is>
          <t>UTMA PHOEBE COLEY</t>
        </is>
      </c>
    </row>
    <row r="4"/>
    <row r="5">
      <c r="A5" s="60" t="inlineStr">
        <is>
          <t>Coinbase (ACH from Mercury 8291)</t>
        </is>
      </c>
      <c r="B5" s="44" t="inlineStr">
        <is>
          <t>Investment transfers — not EPGC Art Sales, not advisory. Distinct from Coinbase 6108 card.</t>
        </is>
      </c>
    </row>
    <row r="6">
      <c r="A6" s="62" t="inlineStr"/>
      <c r="B6" s="62" t="inlineStr">
        <is>
          <t>JAN</t>
        </is>
      </c>
      <c r="C6" s="62" t="inlineStr">
        <is>
          <t>FEB</t>
        </is>
      </c>
      <c r="D6" s="62" t="inlineStr">
        <is>
          <t>MAR</t>
        </is>
      </c>
      <c r="E6" s="62" t="inlineStr">
        <is>
          <t>APR</t>
        </is>
      </c>
      <c r="F6" s="62" t="inlineStr">
        <is>
          <t>MAY</t>
        </is>
      </c>
      <c r="G6" s="62" t="inlineStr">
        <is>
          <t>JUN</t>
        </is>
      </c>
      <c r="H6" s="62" t="inlineStr">
        <is>
          <t>JUL</t>
        </is>
      </c>
      <c r="I6" s="62" t="inlineStr">
        <is>
          <t>AUG</t>
        </is>
      </c>
      <c r="J6" s="62" t="inlineStr">
        <is>
          <t>SEP</t>
        </is>
      </c>
      <c r="K6" s="62" t="inlineStr">
        <is>
          <t>OCT</t>
        </is>
      </c>
      <c r="L6" s="62" t="inlineStr">
        <is>
          <t>NOV</t>
        </is>
      </c>
      <c r="M6" s="62" t="inlineStr">
        <is>
          <t>DEC</t>
        </is>
      </c>
      <c r="N6" s="62" t="inlineStr">
        <is>
          <t>2025 NET</t>
        </is>
      </c>
    </row>
    <row r="7">
      <c r="A7" s="32" t="inlineStr">
        <is>
          <t>To Coinbase (funding)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63" t="n">
        <v>-9000</v>
      </c>
      <c r="K7" s="63" t="n">
        <v>-10000</v>
      </c>
      <c r="L7" s="63" t="n">
        <v>-35000</v>
      </c>
      <c r="M7" s="63" t="n">
        <v>-5000</v>
      </c>
      <c r="N7" s="46">
        <f>SUM(B7:M7)</f>
        <v/>
      </c>
    </row>
    <row r="8">
      <c r="A8" s="32" t="inlineStr">
        <is>
          <t>From Coinbase (back to 8291)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63" t="n">
        <v>8000</v>
      </c>
      <c r="N8" s="46">
        <f>SUM(B8:M8)</f>
        <v/>
      </c>
    </row>
    <row r="9">
      <c r="A9" s="32" t="inlineStr">
        <is>
          <t>Net transfer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42" t="n">
        <v>-9000</v>
      </c>
      <c r="K9" s="42" t="n">
        <v>-10000</v>
      </c>
      <c r="L9" s="42" t="n">
        <v>-35000</v>
      </c>
      <c r="M9" s="42" t="n">
        <v>3000</v>
      </c>
      <c r="N9" s="46">
        <f>SUM(B9:M9)</f>
        <v/>
      </c>
    </row>
    <row r="10"/>
    <row r="11">
      <c r="A11" s="64" t="inlineStr">
        <is>
          <t>2025: funded $59,000.00 / returned $8,000.00 / net $-51,000.00 off the EPGC operating account. Not income, not an expense. Not tax advice.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5" customWidth="1" min="1" max="1"/>
    <col width="110" customWidth="1" min="2" max="2"/>
    <col width="20" customWidth="1" min="3" max="3"/>
  </cols>
  <sheetData>
    <row r="1">
      <c r="A1" s="49" t="inlineStr">
        <is>
          <t>ASK — remaining Mercury 8291 questions. Q6 consultant, Q7 Wise expertise, Q8 pass-through, Q9 Aquinas books LOCKED (green). Q1/Q2 mixed pattern CONFIRMED (blue) — remainder dollars unallocated until invoice split. Not tax advice.</t>
        </is>
      </c>
    </row>
    <row r="2"/>
    <row r="3">
      <c r="A3" s="62" t="inlineStr">
        <is>
          <t>Question</t>
        </is>
      </c>
      <c r="B3" s="62" t="inlineStr">
        <is>
          <t>What I need</t>
        </is>
      </c>
    </row>
    <row r="4">
      <c r="A4" s="65" t="inlineStr">
        <is>
          <t>1. EOEB LLC remainder after mosaics — MIXED PATTERN CONFIRMED, dollars unallocated</t>
        </is>
      </c>
      <c r="B4" s="66" t="inlineStr">
        <is>
          <t>$130,270.00 of EOEB IN is not mosaics $105,000 and not Wise reimburse $565.75. User 2026-09-20: EOEB is mixed art sales AND advisory/consultant fees. Do NOT dump this remainder onto Consultant or Art Sales. Mark each invoice sale vs advisory: 1/16 $1,000 (Canosan-horse STILL OPEN — Art Sales horse is to Erdal, this cash is EOEB); 3/10 $14,000; 5/1 $21,000; 5/13 $16,200; 6/12 $25,000 + $3,300; 7/8 $2,000; 8/29 $10,000; 9/19 $5,000; 9/25 $3,100; 10/1 $10,000; 10/15 $16,000; 10/24 $1,500; 10/31 $2,170.</t>
        </is>
      </c>
    </row>
    <row r="5">
      <c r="A5" s="65" t="inlineStr">
        <is>
          <t>2. L5 (all seven invoices) — MIXED PATTERN CONFIRMED, dollars unallocated</t>
        </is>
      </c>
      <c r="B5" s="66" t="inlineStr">
        <is>
          <t>$87,396.32. User 2026-09-20: L5 is mixed art sales AND advisory/consultant fees. Do NOT dump onto Consultant or Art Sales. Mark each invoice sale vs advisory: 7/11 $8,534.79; 7/15 $50,000 + $2,500 (same week as Aysel $50k / Fortuna $45k); 9/2 $5,042; 9/23 $9,119.27; 10/21 $7,500; 12/4 $4,700.26.</t>
        </is>
      </c>
    </row>
    <row r="6">
      <c r="A6" s="67" t="inlineStr">
        <is>
          <t>3. Fortuna / Erdal Dere OUT after seals</t>
        </is>
      </c>
      <c r="B6" s="45" t="inlineStr">
        <is>
          <t>$85,000.00 after the 1/8 $13,000 seals COGS (5/9 $20k, 7/21 $45k, 8/15 $20k). Inventory purchases (object names) or something else?</t>
        </is>
      </c>
    </row>
    <row r="7">
      <c r="A7" s="67" t="inlineStr">
        <is>
          <t>4. Erdal Dere IN</t>
        </is>
      </c>
      <c r="B7" s="45" t="inlineStr">
        <is>
          <t>$57,000.00 (7/24 $26k, 10/9 $25k, 11/7 $6k ‘FORTUNA PAYMENT’). Sales to Erdal, refunds of Fortuna purchases, or other?</t>
        </is>
      </c>
    </row>
    <row r="8">
      <c r="A8" s="67" t="inlineStr">
        <is>
          <t>5. Aysel Dere $50,000 IN (7/18)</t>
        </is>
      </c>
      <c r="B8" s="45" t="inlineStr">
        <is>
          <t>Sale, related-party transfer, or part of the mid-July Fortuna/L5 cluster?</t>
        </is>
      </c>
    </row>
    <row r="9">
      <c r="A9" s="68" t="inlineStr">
        <is>
          <t>6. David Aaron Limited $13,595 IN (6/24) — LOCKED consultant fee</t>
        </is>
      </c>
      <c r="B9" s="69" t="inlineStr">
        <is>
          <t>CONFIRMED 2026-09-20: consultant fee, not a sale. Booked EPGC Consultant June $13,595 (peach). Not Art Sales. Not Income I8.</t>
        </is>
      </c>
    </row>
    <row r="10">
      <c r="A10" s="68" t="inlineStr">
        <is>
          <t>7. Wise $334.17 (7/9) and $658.63 (10/30) — LOCKED expertise write-ups</t>
        </is>
      </c>
      <c r="B10" s="69" t="inlineStr">
        <is>
          <t>CONFIRMED 2026-09-20: business expenses (expertise write-ups). Booked EPGC Consultant Fees July $334.17 + October $658.63 = $992.80. Not COGS. Distinct from Dec Wise $565.75 reimbursed by EOEB (still not P&amp;L).</t>
        </is>
      </c>
    </row>
    <row r="11">
      <c r="A11" s="68" t="inlineStr">
        <is>
          <t>8. Jack Koziol &amp; Tracy Hoffman $150,000 IN (10/20) / Ariadne Demirjian $150,000 OUT (10/21) — LOCKED pass-through</t>
        </is>
      </c>
      <c r="B11" s="69" t="inlineStr">
        <is>
          <t>CONFIRMED 2026-09-20: pass-through, not P&amp;L. Not a sale, not a purchase, not COGS, not Consultant.</t>
        </is>
      </c>
    </row>
    <row r="12">
      <c r="A12" s="68" t="inlineStr">
        <is>
          <t>9. Aquinas Hobor $1,000 IN (2/4) — LOCKED book sale</t>
        </is>
      </c>
      <c r="B12" s="69" t="inlineStr">
        <is>
          <t>CONFIRMED 2026-09-20: book SALE. Hits EPGC Art Sales February +$1,000 (Feb $136,000; matched cash $150,000). Art Sales register: Books (titles TBD) to Aquinas Hobor, Sale Price $1,000, Sale Date 2025-02-04, Cost TBD. Not in Income I8 until Cost (same as Sale 6428).</t>
        </is>
      </c>
    </row>
    <row r="13">
      <c r="A13" s="67" t="inlineStr">
        <is>
          <t>10. Mosaics Cost $90,000 vs Mercury $50,000</t>
        </is>
      </c>
      <c r="B13" s="45" t="inlineStr">
        <is>
          <t>Plutus &amp; Mnemosyne paid $50,000 in February. Where is the other $40,000 of Cost (other account / 2024 / still owed)?</t>
        </is>
      </c>
    </row>
    <row r="14"/>
    <row r="15">
      <c r="A15" s="62" t="inlineStr">
        <is>
          <t>LOCKED / MATCHED this pass (do not recast without saying so)</t>
        </is>
      </c>
    </row>
    <row r="16">
      <c r="A16" s="39" t="inlineStr">
        <is>
          <t>Coinbase ACH net</t>
        </is>
      </c>
      <c r="B16" s="39" t="inlineStr">
        <is>
          <t>$-51,000.00  (OUT $-59,000.00 / IN $8,000.00) — Investments tab, not EPGC</t>
        </is>
      </c>
    </row>
    <row r="17">
      <c r="A17" s="39" t="inlineStr">
        <is>
          <t>Newstar Jewelers</t>
        </is>
      </c>
      <c r="B17" s="39" t="inlineStr">
        <is>
          <t>$23,581.00 jewelry fabrication COGS (10/14 $8,000 + 11/12 $8,000 + 12/24 $7,581)</t>
        </is>
      </c>
    </row>
    <row r="18">
      <c r="A18" s="39" t="inlineStr">
        <is>
          <t>Berk sales</t>
        </is>
      </c>
      <c r="B18" s="39" t="inlineStr">
        <is>
          <t>$14,000 seals (1/10) + $30,000 lots (2/7) = $44,000 Art Sales</t>
        </is>
      </c>
    </row>
    <row r="19">
      <c r="A19" s="39" t="inlineStr">
        <is>
          <t>Mosaics</t>
        </is>
      </c>
      <c r="B19" s="39" t="inlineStr">
        <is>
          <t>EOEB $105,000 sale (2/21) / Plutus $50,000 of $90,000 Cost</t>
        </is>
      </c>
    </row>
    <row r="20">
      <c r="A20" s="39" t="inlineStr">
        <is>
          <t>BoA 9922 draws</t>
        </is>
      </c>
      <c r="B20" s="39" t="inlineStr">
        <is>
          <t>$261,172.00 owner transfer — not P&amp;L</t>
        </is>
      </c>
    </row>
    <row r="21">
      <c r="A21" s="39" t="inlineStr">
        <is>
          <t>Wise/EOEB 12/2</t>
        </is>
      </c>
      <c r="B21" s="39" t="inlineStr">
        <is>
          <t>$565.75 reimbursed — not income, not expense</t>
        </is>
      </c>
    </row>
    <row r="22">
      <c r="A22" s="39" t="inlineStr">
        <is>
          <t>$10 test wires</t>
        </is>
      </c>
      <c r="B22" s="39" t="inlineStr">
        <is>
          <t>Jamal Rifai / EPGC / Plutus tests — not P&amp;L</t>
        </is>
      </c>
    </row>
    <row r="23">
      <c r="A23" s="39" t="inlineStr">
        <is>
          <t>David Aaron Limited</t>
        </is>
      </c>
      <c r="B23" s="39" t="inlineStr">
        <is>
          <t>$13,595 (6/24) consultant fee → EPGC Consultant June. Not a sale.</t>
        </is>
      </c>
    </row>
    <row r="24">
      <c r="A24" s="39" t="inlineStr">
        <is>
          <t>Koziol / Ariadne</t>
        </is>
      </c>
      <c r="B24" s="39" t="inlineStr">
        <is>
          <t>$150,000 IN 10/20 + $150,000 OUT 10/21 LOCKED pass-through — not P&amp;L</t>
        </is>
      </c>
    </row>
    <row r="25">
      <c r="A25" s="39" t="inlineStr">
        <is>
          <t>Wise expertise write-ups</t>
        </is>
      </c>
      <c r="B25" s="39" t="inlineStr">
        <is>
          <t>$334.17 (7/9) + $658.63 (10/30) = $992.80 → EPGC Consultant Fees expense. Dec $565.75 still reimbursed / not P&amp;L.</t>
        </is>
      </c>
    </row>
    <row r="26">
      <c r="A26" s="39" t="inlineStr">
        <is>
          <t>Aquinas Hobor books</t>
        </is>
      </c>
      <c r="B26" s="39" t="inlineStr">
        <is>
          <t>$1,000 IN 2/4 LOCKED book sale → EPGC Art Sales February +$1,000 (Feb $136,000; matched cash $150,000). Cost / titles TBD (not in I8 until Cost, same as Sale 6428).</t>
        </is>
      </c>
    </row>
    <row r="27">
      <c r="A27" s="39" t="inlineStr">
        <is>
          <t>EOEB / L5 mixed pattern</t>
        </is>
      </c>
      <c r="B27" s="39" t="inlineStr">
        <is>
          <t>CONFIRMED mixed art sales AND advisory/consultant. Remainder $130,270 / $87,396.32 unallocated — not on P&amp;L until invoice split. Jan 16 $1,000 Canosan-horse still open.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6" customWidth="1" min="5" max="5"/>
    <col width="12" customWidth="1" min="6" max="6"/>
    <col width="42" customWidth="1" min="7" max="7"/>
    <col width="22" customWidth="1" min="8" max="8"/>
    <col width="22" customWidth="1" min="9" max="9"/>
    <col width="22" customWidth="1" min="10" max="10"/>
    <col width="55" customWidth="1" min="11" max="11"/>
    <col width="70" customWidth="1" min="12" max="12"/>
  </cols>
  <sheetData>
    <row r="1">
      <c r="A1" s="70" t="inlineStr">
        <is>
          <t>Mercury Checking 8291 — EPGC LLC (Choice Financial) 2025. 64 unique cash transactions. Coinbase ACH = investment. Newstar = jewelry COGS on intaglios/gems/scarabs. BoA 9922 draws and Koziol/Ariadne $150k are LOCKED not-P&amp;L (pass-through / owner transfer). David Aaron $13,595 is LOCKED EPGC Consultant (June). Wise $334.17 + $658.63 are LOCKED EPGC Consultant Fees (expertise write-ups). Aquinas Hobor $1,000 (2/4) is LOCKED books sold (EPGC Art Sales February; Cost TBD). Not tax advice.</t>
        </is>
      </c>
    </row>
    <row r="2"/>
    <row r="3">
      <c r="A3" s="71" t="inlineStr">
        <is>
          <t>Date</t>
        </is>
      </c>
      <c r="B3" s="71" t="inlineStr">
        <is>
          <t>Counterparty</t>
        </is>
      </c>
      <c r="C3" s="71" t="inlineStr">
        <is>
          <t>Amount</t>
        </is>
      </c>
      <c r="D3" s="71" t="inlineStr">
        <is>
          <t>Direction</t>
        </is>
      </c>
      <c r="E3" s="71" t="inlineStr">
        <is>
          <t>Bucket</t>
        </is>
      </c>
      <c r="F3" s="71" t="inlineStr">
        <is>
          <t>Status</t>
        </is>
      </c>
      <c r="G3" s="71" t="inlineStr">
        <is>
          <t>Deal / object</t>
        </is>
      </c>
      <c r="H3" s="71" t="inlineStr">
        <is>
          <t>Hits EPGC Art Sales?</t>
        </is>
      </c>
      <c r="I3" s="71" t="inlineStr">
        <is>
          <t>Hits EPGC Consultant?</t>
        </is>
      </c>
      <c r="J3" s="71" t="inlineStr">
        <is>
          <t>Monarch category</t>
        </is>
      </c>
      <c r="K3" s="71" t="inlineStr">
        <is>
          <t>Original statement</t>
        </is>
      </c>
      <c r="L3" s="71" t="inlineStr">
        <is>
          <t>Notes</t>
        </is>
      </c>
    </row>
    <row r="4">
      <c r="A4" s="44" t="inlineStr">
        <is>
          <t>2025-01-08</t>
        </is>
      </c>
      <c r="B4" s="44" t="inlineStr">
        <is>
          <t>Erdal Dere (Fortuna)</t>
        </is>
      </c>
      <c r="C4" s="10" t="n">
        <v>-13000</v>
      </c>
      <c r="D4" s="44" t="inlineStr">
        <is>
          <t>OUT</t>
        </is>
      </c>
      <c r="E4" s="72" t="inlineStr">
        <is>
          <t>ART_PURCHASE</t>
        </is>
      </c>
      <c r="F4" s="39" t="inlineStr">
        <is>
          <t>MATCHED</t>
        </is>
      </c>
      <c r="G4" s="44" t="inlineStr">
        <is>
          <t>A Collection of Seals — COGS</t>
        </is>
      </c>
      <c r="H4" s="44" t="inlineStr">
        <is>
          <t>no</t>
        </is>
      </c>
      <c r="I4" s="44" t="inlineStr">
        <is>
          <t>no</t>
        </is>
      </c>
      <c r="J4" s="44" t="inlineStr">
        <is>
          <t xml:space="preserve">Business Investment </t>
        </is>
      </c>
      <c r="K4" s="44" t="inlineStr">
        <is>
          <t>Merchant name: Erdal Dere (Fortuna)</t>
        </is>
      </c>
      <c r="L4" s="14" t="inlineStr">
        <is>
          <t>Fortuna / Erdal Dere. Matches Art Sales Cost $13,000; Berk sold it 1/10 for $14,000.</t>
        </is>
      </c>
    </row>
    <row r="5">
      <c r="A5" s="44" t="inlineStr">
        <is>
          <t>2025-01-10</t>
        </is>
      </c>
      <c r="B5" s="44" t="inlineStr">
        <is>
          <t>HARLAN J BERK LTD</t>
        </is>
      </c>
      <c r="C5" s="42" t="n">
        <v>14000</v>
      </c>
      <c r="D5" s="44" t="inlineStr">
        <is>
          <t>IN</t>
        </is>
      </c>
      <c r="E5" s="73" t="inlineStr">
        <is>
          <t>ART_SALE</t>
        </is>
      </c>
      <c r="F5" s="39" t="inlineStr">
        <is>
          <t>MATCHED</t>
        </is>
      </c>
      <c r="G5" s="44" t="inlineStr">
        <is>
          <t>A Collection of Seals — Sale Price</t>
        </is>
      </c>
      <c r="H5" s="44" t="inlineStr">
        <is>
          <t>YES</t>
        </is>
      </c>
      <c r="I5" s="44" t="inlineStr">
        <is>
          <t>no</t>
        </is>
      </c>
      <c r="J5" s="44" t="inlineStr">
        <is>
          <t>Business Income</t>
        </is>
      </c>
      <c r="K5" s="44" t="inlineStr">
        <is>
          <t>Incoming Wire; Merchant name: HARLAN J BERK LTD</t>
        </is>
      </c>
      <c r="L5" s="14" t="inlineStr">
        <is>
          <t>Harlan J. Berk Ltd wire. Matches Art Sales Sale Price $14,000.</t>
        </is>
      </c>
    </row>
    <row r="6">
      <c r="A6" s="44" t="inlineStr">
        <is>
          <t>2025-01-16</t>
        </is>
      </c>
      <c r="B6" s="44" t="inlineStr">
        <is>
          <t>EOEB LLC</t>
        </is>
      </c>
      <c r="C6" s="74" t="n">
        <v>1000</v>
      </c>
      <c r="D6" s="44" t="inlineStr">
        <is>
          <t>IN</t>
        </is>
      </c>
      <c r="E6" s="40" t="inlineStr">
        <is>
          <t>ASK</t>
        </is>
      </c>
      <c r="F6" s="40" t="inlineStr">
        <is>
          <t>ASK</t>
        </is>
      </c>
      <c r="G6" s="44" t="inlineStr">
        <is>
          <t>EOEB $1,000 — Canosan horse vs advisory (STILL OPEN)</t>
        </is>
      </c>
      <c r="H6" s="44" t="inlineStr">
        <is>
          <t>no</t>
        </is>
      </c>
      <c r="I6" s="44" t="inlineStr">
        <is>
          <t>no</t>
        </is>
      </c>
      <c r="J6" s="44" t="inlineStr">
        <is>
          <t>Business Income</t>
        </is>
      </c>
      <c r="K6" s="44" t="inlineStr">
        <is>
          <t>Incoming Wire; MAKE A PAYMENT; Merchant name: EOEB LLC</t>
        </is>
      </c>
      <c r="L6" s="14" t="inlineStr">
        <is>
          <t>STILL OPEN after mixed-pattern confirm. Art Sales has Canosan Terracotta Horse to Erdal $1,000. This cash is EOEB, not Erdal. Sale of the horse, advisory invoice, or other? Not allocated.</t>
        </is>
      </c>
    </row>
    <row r="7">
      <c r="A7" s="44" t="inlineStr">
        <is>
          <t>2025-02-04</t>
        </is>
      </c>
      <c r="B7" s="44" t="inlineStr">
        <is>
          <t>Bank of America - Checking ••9922</t>
        </is>
      </c>
      <c r="C7" s="10" t="n">
        <v>-25000</v>
      </c>
      <c r="D7" s="44" t="inlineStr">
        <is>
          <t>OUT</t>
        </is>
      </c>
      <c r="E7" s="75" t="inlineStr">
        <is>
          <t>TRANSFER</t>
        </is>
      </c>
      <c r="F7" s="39" t="inlineStr">
        <is>
          <t>LOCKED</t>
        </is>
      </c>
      <c r="G7" s="44" t="inlineStr">
        <is>
          <t>Owner transfer to BoA 9922</t>
        </is>
      </c>
      <c r="H7" s="44" t="inlineStr">
        <is>
          <t>no</t>
        </is>
      </c>
      <c r="I7" s="44" t="inlineStr">
        <is>
          <t>no</t>
        </is>
      </c>
      <c r="J7" s="44" t="inlineStr">
        <is>
          <t>Transfer</t>
        </is>
      </c>
      <c r="K7" s="44" t="inlineStr">
        <is>
          <t>Transfer from Mercury to another bank account; Merchant name: Bank of America - Checking ••9922</t>
        </is>
      </c>
      <c r="L7" s="14" t="inlineStr">
        <is>
          <t>Not EPGC P&amp;L. Draw / transfer to Jake Adv Plus 9922.</t>
        </is>
      </c>
    </row>
    <row r="8">
      <c r="A8" s="44" t="inlineStr">
        <is>
          <t>2025-02-04</t>
        </is>
      </c>
      <c r="B8" s="44" t="inlineStr">
        <is>
          <t>AQUINAS HOBOR</t>
        </is>
      </c>
      <c r="C8" s="42" t="n">
        <v>1000</v>
      </c>
      <c r="D8" s="44" t="inlineStr">
        <is>
          <t>IN</t>
        </is>
      </c>
      <c r="E8" s="73" t="inlineStr">
        <is>
          <t>ART_SALE</t>
        </is>
      </c>
      <c r="F8" s="39" t="inlineStr">
        <is>
          <t>LOCKED</t>
        </is>
      </c>
      <c r="G8" s="44" t="inlineStr">
        <is>
          <t>Books (titles TBD) — Sale Price</t>
        </is>
      </c>
      <c r="H8" s="44" t="inlineStr">
        <is>
          <t>YES</t>
        </is>
      </c>
      <c r="I8" s="44" t="inlineStr">
        <is>
          <t>no</t>
        </is>
      </c>
      <c r="J8" s="44" t="inlineStr">
        <is>
          <t>Transfer</t>
        </is>
      </c>
      <c r="K8" s="44" t="inlineStr">
        <is>
          <t>AQUINAS HOBOR; SENDER; 770699534; Merchant name: AQUINAS HOBOR</t>
        </is>
      </c>
      <c r="L8" s="14" t="inlineStr">
        <is>
          <t>User 2026-09-20: book SALE to Aquinas Hobor. Hits EPGC Art Sales February +$1,000. Art Sales register: Books (titles TBD), Cost TBD. Not in Income I8 until Cost is known (same as Sale 6428).</t>
        </is>
      </c>
    </row>
    <row r="9">
      <c r="A9" s="44" t="inlineStr">
        <is>
          <t>2025-02-07</t>
        </is>
      </c>
      <c r="B9" s="44" t="inlineStr">
        <is>
          <t>HARLAN J BERK LTD</t>
        </is>
      </c>
      <c r="C9" s="42" t="n">
        <v>30000</v>
      </c>
      <c r="D9" s="44" t="inlineStr">
        <is>
          <t>IN</t>
        </is>
      </c>
      <c r="E9" s="73" t="inlineStr">
        <is>
          <t>ART_SALE</t>
        </is>
      </c>
      <c r="F9" s="39" t="inlineStr">
        <is>
          <t>MATCHED</t>
        </is>
      </c>
      <c r="G9" s="44" t="inlineStr">
        <is>
          <t>Berk lots lump Sale Price $30,000</t>
        </is>
      </c>
      <c r="H9" s="44" t="inlineStr">
        <is>
          <t>YES</t>
        </is>
      </c>
      <c r="I9" s="44" t="inlineStr">
        <is>
          <t>no</t>
        </is>
      </c>
      <c r="J9" s="44" t="inlineStr">
        <is>
          <t>Business Income</t>
        </is>
      </c>
      <c r="K9" s="44" t="inlineStr">
        <is>
          <t>Incoming Wire; PER ARB; Merchant name: HARLAN J BERK LTD</t>
        </is>
      </c>
      <c r="L9" s="14" t="inlineStr">
        <is>
          <t>Harlan J. Berk Ltd PER ARB. Matches Art Sales F71 hardcoded $30,000 covering rows 51–70. Per-object invoices still yellow.</t>
        </is>
      </c>
    </row>
    <row r="10">
      <c r="A10" s="44" t="inlineStr">
        <is>
          <t>2025-02-21</t>
        </is>
      </c>
      <c r="B10" s="44" t="inlineStr">
        <is>
          <t>Jamal M Rifai</t>
        </is>
      </c>
      <c r="C10" s="10" t="n">
        <v>-10</v>
      </c>
      <c r="D10" s="44" t="inlineStr">
        <is>
          <t>OUT</t>
        </is>
      </c>
      <c r="E10" s="75" t="inlineStr">
        <is>
          <t>TEST</t>
        </is>
      </c>
      <c r="F10" s="39" t="inlineStr">
        <is>
          <t>LOCKED</t>
        </is>
      </c>
      <c r="G10" s="44" t="inlineStr">
        <is>
          <t>$10 test wire to Jamal M. Rifai</t>
        </is>
      </c>
      <c r="H10" s="44" t="inlineStr">
        <is>
          <t>no</t>
        </is>
      </c>
      <c r="I10" s="44" t="inlineStr">
        <is>
          <t>no</t>
        </is>
      </c>
      <c r="J10" s="44" t="inlineStr">
        <is>
          <t>Transfer</t>
        </is>
      </c>
      <c r="K10" s="44" t="inlineStr">
        <is>
          <t>Merchant name: Jamal M Rifai</t>
        </is>
      </c>
      <c r="L10" s="14" t="inlineStr">
        <is>
          <t>Not P&amp;L. Related to mosaics counterparty test.</t>
        </is>
      </c>
    </row>
    <row r="11">
      <c r="A11" s="44" t="inlineStr">
        <is>
          <t>2025-02-21</t>
        </is>
      </c>
      <c r="B11" s="44" t="inlineStr">
        <is>
          <t>DDA/066196221</t>
        </is>
      </c>
      <c r="C11" s="10" t="n">
        <v>10</v>
      </c>
      <c r="D11" s="44" t="inlineStr">
        <is>
          <t>IN</t>
        </is>
      </c>
      <c r="E11" s="75" t="inlineStr">
        <is>
          <t>TEST</t>
        </is>
      </c>
      <c r="F11" s="39" t="inlineStr">
        <is>
          <t>LOCKED</t>
        </is>
      </c>
      <c r="G11" s="44" t="inlineStr">
        <is>
          <t>$10 test wire in</t>
        </is>
      </c>
      <c r="H11" s="44" t="inlineStr">
        <is>
          <t>no</t>
        </is>
      </c>
      <c r="I11" s="44" t="inlineStr">
        <is>
          <t>no</t>
        </is>
      </c>
      <c r="J11" s="44" t="inlineStr">
        <is>
          <t>Transfer</t>
        </is>
      </c>
      <c r="K11" s="44" t="inlineStr">
        <is>
          <t>Incoming Wire; Merchant name: DDA/066196221</t>
        </is>
      </c>
      <c r="L11" s="14" t="inlineStr">
        <is>
          <t>Not P&amp;L.</t>
        </is>
      </c>
    </row>
    <row r="12">
      <c r="A12" s="44" t="inlineStr">
        <is>
          <t>2025-02-21</t>
        </is>
      </c>
      <c r="B12" s="44" t="inlineStr">
        <is>
          <t>EOEB LLC</t>
        </is>
      </c>
      <c r="C12" s="42" t="n">
        <v>105000</v>
      </c>
      <c r="D12" s="44" t="inlineStr">
        <is>
          <t>IN</t>
        </is>
      </c>
      <c r="E12" s="73" t="inlineStr">
        <is>
          <t>ART_SALE</t>
        </is>
      </c>
      <c r="F12" s="39" t="inlineStr">
        <is>
          <t>MATCHED</t>
        </is>
      </c>
      <c r="G12" s="44" t="inlineStr">
        <is>
          <t>Three Ancient Mosaics — Sale Price</t>
        </is>
      </c>
      <c r="H12" s="44" t="inlineStr">
        <is>
          <t>YES</t>
        </is>
      </c>
      <c r="I12" s="44" t="inlineStr">
        <is>
          <t>no</t>
        </is>
      </c>
      <c r="J12" s="44" t="inlineStr">
        <is>
          <t>Transfer</t>
        </is>
      </c>
      <c r="K12" s="44" t="inlineStr">
        <is>
          <t>Incoming Wire; MAKE A PAYMENT; Merchant name: EOEB LLC</t>
        </is>
      </c>
      <c r="L12" s="14" t="inlineStr">
        <is>
          <t>EOEB LLC MAKE A PAYMENT. Matches Art Sales to Jonathan Yantis $105,000.</t>
        </is>
      </c>
    </row>
    <row r="13">
      <c r="A13" s="44" t="inlineStr">
        <is>
          <t>2025-02-24</t>
        </is>
      </c>
      <c r="B13" s="44" t="inlineStr">
        <is>
          <t>Bank of America - Checking ••9922</t>
        </is>
      </c>
      <c r="C13" s="10" t="n">
        <v>-90000</v>
      </c>
      <c r="D13" s="44" t="inlineStr">
        <is>
          <t>OUT</t>
        </is>
      </c>
      <c r="E13" s="75" t="inlineStr">
        <is>
          <t>TRANSFER</t>
        </is>
      </c>
      <c r="F13" s="39" t="inlineStr">
        <is>
          <t>LOCKED</t>
        </is>
      </c>
      <c r="G13" s="44" t="inlineStr">
        <is>
          <t>Owner transfer to BoA 9922</t>
        </is>
      </c>
      <c r="H13" s="44" t="inlineStr">
        <is>
          <t>no</t>
        </is>
      </c>
      <c r="I13" s="44" t="inlineStr">
        <is>
          <t>no</t>
        </is>
      </c>
      <c r="J13" s="44" t="inlineStr">
        <is>
          <t>Transfer</t>
        </is>
      </c>
      <c r="K13" s="44" t="inlineStr">
        <is>
          <t>Transfer from Mercury to another bank account; Merchant name: Bank of America - Checking ••9922</t>
        </is>
      </c>
      <c r="L13" s="14" t="inlineStr">
        <is>
          <t>Not EPGC P&amp;L.</t>
        </is>
      </c>
    </row>
    <row r="14">
      <c r="A14" s="44" t="inlineStr">
        <is>
          <t>2025-02-24</t>
        </is>
      </c>
      <c r="B14" s="44" t="inlineStr">
        <is>
          <t>Jamal M Rifai</t>
        </is>
      </c>
      <c r="C14" s="10" t="n">
        <v>-10</v>
      </c>
      <c r="D14" s="44" t="inlineStr">
        <is>
          <t>OUT</t>
        </is>
      </c>
      <c r="E14" s="75" t="inlineStr">
        <is>
          <t>TEST</t>
        </is>
      </c>
      <c r="F14" s="39" t="inlineStr">
        <is>
          <t>LOCKED</t>
        </is>
      </c>
      <c r="G14" s="44" t="inlineStr">
        <is>
          <t>$10 test (Jamal or Plutus)</t>
        </is>
      </c>
      <c r="H14" s="44" t="inlineStr">
        <is>
          <t>no</t>
        </is>
      </c>
      <c r="I14" s="44" t="inlineStr">
        <is>
          <t>no</t>
        </is>
      </c>
      <c r="J14" s="44" t="inlineStr">
        <is>
          <t>Transfer</t>
        </is>
      </c>
      <c r="K14" s="44" t="inlineStr">
        <is>
          <t>Merchant name: Jamal M Rifai</t>
        </is>
      </c>
      <c r="L14" s="14" t="inlineStr">
        <is>
          <t>Not P&amp;L. If this is the Plutus $10, it is the first $10 of the $50,000 mosaics cost; the $49,990 follows 2/25.</t>
        </is>
      </c>
    </row>
    <row r="15">
      <c r="A15" s="44" t="inlineStr">
        <is>
          <t>2025-02-24</t>
        </is>
      </c>
      <c r="B15" s="44" t="inlineStr">
        <is>
          <t>Plutus &amp; Mnemosyne, LLC</t>
        </is>
      </c>
      <c r="C15" s="10" t="n">
        <v>-10</v>
      </c>
      <c r="D15" s="44" t="inlineStr">
        <is>
          <t>OUT</t>
        </is>
      </c>
      <c r="E15" s="75" t="inlineStr">
        <is>
          <t>TEST</t>
        </is>
      </c>
      <c r="F15" s="39" t="inlineStr">
        <is>
          <t>LOCKED</t>
        </is>
      </c>
      <c r="G15" s="44" t="inlineStr">
        <is>
          <t>$10 test (Jamal or Plutus)</t>
        </is>
      </c>
      <c r="H15" s="44" t="inlineStr">
        <is>
          <t>no</t>
        </is>
      </c>
      <c r="I15" s="44" t="inlineStr">
        <is>
          <t>no</t>
        </is>
      </c>
      <c r="J15" s="44" t="inlineStr">
        <is>
          <t xml:space="preserve">Business Investment </t>
        </is>
      </c>
      <c r="K15" s="44" t="inlineStr">
        <is>
          <t>Merchant name: Plutus &amp; Mnemosyne, LLC</t>
        </is>
      </c>
      <c r="L15" s="14" t="inlineStr">
        <is>
          <t>Not P&amp;L. If this is the Plutus $10, it is the first $10 of the $50,000 mosaics cost; the $49,990 follows 2/25.</t>
        </is>
      </c>
    </row>
    <row r="16">
      <c r="A16" s="44" t="inlineStr">
        <is>
          <t>2025-02-24</t>
        </is>
      </c>
      <c r="B16" s="44" t="inlineStr">
        <is>
          <t>EPGC LLC</t>
        </is>
      </c>
      <c r="C16" s="10" t="n">
        <v>10</v>
      </c>
      <c r="D16" s="44" t="inlineStr">
        <is>
          <t>IN</t>
        </is>
      </c>
      <c r="E16" s="75" t="inlineStr">
        <is>
          <t>TEST</t>
        </is>
      </c>
      <c r="F16" s="39" t="inlineStr">
        <is>
          <t>LOCKED</t>
        </is>
      </c>
      <c r="G16" s="44" t="inlineStr">
        <is>
          <t>$10 test wire EPGC</t>
        </is>
      </c>
      <c r="H16" s="44" t="inlineStr">
        <is>
          <t>no</t>
        </is>
      </c>
      <c r="I16" s="44" t="inlineStr">
        <is>
          <t>no</t>
        </is>
      </c>
      <c r="J16" s="44" t="inlineStr">
        <is>
          <t>Transfer</t>
        </is>
      </c>
      <c r="K16" s="44" t="inlineStr">
        <is>
          <t>Incoming Wire; Merchant name: EPGC LLC</t>
        </is>
      </c>
      <c r="L16" s="14" t="inlineStr">
        <is>
          <t>Not P&amp;L.</t>
        </is>
      </c>
    </row>
    <row r="17">
      <c r="A17" s="44" t="inlineStr">
        <is>
          <t>2025-02-25</t>
        </is>
      </c>
      <c r="B17" s="44" t="inlineStr">
        <is>
          <t>Plutus &amp; Mnemosyne, LLC</t>
        </is>
      </c>
      <c r="C17" s="10" t="n">
        <v>-49990</v>
      </c>
      <c r="D17" s="44" t="inlineStr">
        <is>
          <t>OUT</t>
        </is>
      </c>
      <c r="E17" s="72" t="inlineStr">
        <is>
          <t>ART_PURCHASE</t>
        </is>
      </c>
      <c r="F17" s="39" t="inlineStr">
        <is>
          <t>MATCHED</t>
        </is>
      </c>
      <c r="G17" s="44" t="inlineStr">
        <is>
          <t>Three Ancient Mosaics — partial COGS</t>
        </is>
      </c>
      <c r="H17" s="44" t="inlineStr">
        <is>
          <t>no</t>
        </is>
      </c>
      <c r="I17" s="44" t="inlineStr">
        <is>
          <t>no</t>
        </is>
      </c>
      <c r="J17" s="44" t="inlineStr">
        <is>
          <t xml:space="preserve">Business Investment </t>
        </is>
      </c>
      <c r="K17" s="44" t="inlineStr">
        <is>
          <t>Merchant name: Plutus &amp; Mnemosyne, LLC</t>
        </is>
      </c>
      <c r="L17" s="14" t="inlineStr">
        <is>
          <t>Plutus &amp; Mnemosyne LLC. With the 2/24 $10 test this is $50,000 of the $90,000 mosaics Cost. $40,000 of Cost is not on Mercury 8291.</t>
        </is>
      </c>
    </row>
    <row r="18">
      <c r="A18" s="44" t="inlineStr">
        <is>
          <t>2025-03-10</t>
        </is>
      </c>
      <c r="B18" s="44" t="inlineStr">
        <is>
          <t>EOEB LLC</t>
        </is>
      </c>
      <c r="C18" s="74" t="n">
        <v>14000</v>
      </c>
      <c r="D18" s="44" t="inlineStr">
        <is>
          <t>IN</t>
        </is>
      </c>
      <c r="E18" s="40" t="inlineStr">
        <is>
          <t>ADVISORY</t>
        </is>
      </c>
      <c r="F18" s="40" t="inlineStr">
        <is>
          <t>ASK</t>
        </is>
      </c>
      <c r="G18" s="44" t="inlineStr">
        <is>
          <t>EOEB — mixed unallocated (sale vs advisory)</t>
        </is>
      </c>
      <c r="H18" s="44" t="inlineStr">
        <is>
          <t>no</t>
        </is>
      </c>
      <c r="I18" s="44" t="inlineStr">
        <is>
          <t>no — ASK first</t>
        </is>
      </c>
      <c r="J18" s="44" t="inlineStr">
        <is>
          <t>Business Income</t>
        </is>
      </c>
      <c r="K18" s="44" t="inlineStr">
        <is>
          <t>Incoming Wire; MAKE A PAYMENT; Merchant name: EOEB LLC</t>
        </is>
      </c>
      <c r="L18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19">
      <c r="A19" s="44" t="inlineStr">
        <is>
          <t>2025-05-01</t>
        </is>
      </c>
      <c r="B19" s="44" t="inlineStr">
        <is>
          <t>EOEB LLC</t>
        </is>
      </c>
      <c r="C19" s="74" t="n">
        <v>21000</v>
      </c>
      <c r="D19" s="44" t="inlineStr">
        <is>
          <t>IN</t>
        </is>
      </c>
      <c r="E19" s="40" t="inlineStr">
        <is>
          <t>ADVISORY</t>
        </is>
      </c>
      <c r="F19" s="40" t="inlineStr">
        <is>
          <t>ASK</t>
        </is>
      </c>
      <c r="G19" s="44" t="inlineStr">
        <is>
          <t>EOEB — mixed unallocated (sale vs advisory)</t>
        </is>
      </c>
      <c r="H19" s="44" t="inlineStr">
        <is>
          <t>no</t>
        </is>
      </c>
      <c r="I19" s="44" t="inlineStr">
        <is>
          <t>no — ASK first</t>
        </is>
      </c>
      <c r="J19" s="44" t="inlineStr">
        <is>
          <t>Business Income</t>
        </is>
      </c>
      <c r="K19" s="44" t="inlineStr">
        <is>
          <t>Incoming Wire; MAKE A PAYMENT; Merchant name: EOEB LLC</t>
        </is>
      </c>
      <c r="L19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0">
      <c r="A20" s="44" t="inlineStr">
        <is>
          <t>2025-05-09</t>
        </is>
      </c>
      <c r="B20" s="44" t="inlineStr">
        <is>
          <t>Erdal Dere (Fortuna)</t>
        </is>
      </c>
      <c r="C20" s="74" t="n">
        <v>-20000</v>
      </c>
      <c r="D20" s="44" t="inlineStr">
        <is>
          <t>OUT</t>
        </is>
      </c>
      <c r="E20" s="72" t="inlineStr">
        <is>
          <t>ART_PURCHASE</t>
        </is>
      </c>
      <c r="F20" s="40" t="inlineStr">
        <is>
          <t>ASK</t>
        </is>
      </c>
      <c r="G20" s="44" t="inlineStr">
        <is>
          <t>Fortuna / Erdal — inventory vs other</t>
        </is>
      </c>
      <c r="H20" s="44" t="inlineStr">
        <is>
          <t>no</t>
        </is>
      </c>
      <c r="I20" s="44" t="inlineStr">
        <is>
          <t>no</t>
        </is>
      </c>
      <c r="J20" s="44" t="inlineStr">
        <is>
          <t xml:space="preserve">Business Investment </t>
        </is>
      </c>
      <c r="K20" s="44" t="inlineStr">
        <is>
          <t>Merchant name: Erdal Dere (Fortuna)</t>
        </is>
      </c>
      <c r="L20" s="14" t="inlineStr">
        <is>
          <t>After seals $13,000. Object name? Inventory purchase (COGS when sold) or something else?</t>
        </is>
      </c>
    </row>
    <row r="21">
      <c r="A21" s="44" t="inlineStr">
        <is>
          <t>2025-05-13</t>
        </is>
      </c>
      <c r="B21" s="44" t="inlineStr">
        <is>
          <t>EOEB LLC</t>
        </is>
      </c>
      <c r="C21" s="74" t="n">
        <v>16200</v>
      </c>
      <c r="D21" s="44" t="inlineStr">
        <is>
          <t>IN</t>
        </is>
      </c>
      <c r="E21" s="40" t="inlineStr">
        <is>
          <t>ADVISORY</t>
        </is>
      </c>
      <c r="F21" s="40" t="inlineStr">
        <is>
          <t>ASK</t>
        </is>
      </c>
      <c r="G21" s="44" t="inlineStr">
        <is>
          <t>EOEB — mixed unallocated (sale vs advisory)</t>
        </is>
      </c>
      <c r="H21" s="44" t="inlineStr">
        <is>
          <t>no</t>
        </is>
      </c>
      <c r="I21" s="44" t="inlineStr">
        <is>
          <t>no — ASK first</t>
        </is>
      </c>
      <c r="J21" s="44" t="inlineStr">
        <is>
          <t>Business Income</t>
        </is>
      </c>
      <c r="K21" s="44" t="inlineStr">
        <is>
          <t>Incoming Wire; MAKE A PAYMENT; Merchant name: EOEB LLC</t>
        </is>
      </c>
      <c r="L21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2">
      <c r="A22" s="44" t="inlineStr">
        <is>
          <t>2025-06-12</t>
        </is>
      </c>
      <c r="B22" s="44" t="inlineStr">
        <is>
          <t>EOEB LLC</t>
        </is>
      </c>
      <c r="C22" s="74" t="n">
        <v>3300</v>
      </c>
      <c r="D22" s="44" t="inlineStr">
        <is>
          <t>IN</t>
        </is>
      </c>
      <c r="E22" s="40" t="inlineStr">
        <is>
          <t>ADVISORY</t>
        </is>
      </c>
      <c r="F22" s="40" t="inlineStr">
        <is>
          <t>ASK</t>
        </is>
      </c>
      <c r="G22" s="44" t="inlineStr">
        <is>
          <t>EOEB — mixed unallocated (sale vs advisory)</t>
        </is>
      </c>
      <c r="H22" s="44" t="inlineStr">
        <is>
          <t>no</t>
        </is>
      </c>
      <c r="I22" s="44" t="inlineStr">
        <is>
          <t>no — ASK first</t>
        </is>
      </c>
      <c r="J22" s="44" t="inlineStr">
        <is>
          <t>Business Income</t>
        </is>
      </c>
      <c r="K22" s="44" t="inlineStr">
        <is>
          <t>Incoming Wire; MAKE A PAYMENT; Merchant name: EOEB LLC</t>
        </is>
      </c>
      <c r="L22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3">
      <c r="A23" s="44" t="inlineStr">
        <is>
          <t>2025-06-12</t>
        </is>
      </c>
      <c r="B23" s="44" t="inlineStr">
        <is>
          <t>EOEB LLC</t>
        </is>
      </c>
      <c r="C23" s="74" t="n">
        <v>25000</v>
      </c>
      <c r="D23" s="44" t="inlineStr">
        <is>
          <t>IN</t>
        </is>
      </c>
      <c r="E23" s="40" t="inlineStr">
        <is>
          <t>ADVISORY</t>
        </is>
      </c>
      <c r="F23" s="40" t="inlineStr">
        <is>
          <t>ASK</t>
        </is>
      </c>
      <c r="G23" s="44" t="inlineStr">
        <is>
          <t>EOEB — mixed unallocated (sale vs advisory)</t>
        </is>
      </c>
      <c r="H23" s="44" t="inlineStr">
        <is>
          <t>no</t>
        </is>
      </c>
      <c r="I23" s="44" t="inlineStr">
        <is>
          <t>no — ASK first</t>
        </is>
      </c>
      <c r="J23" s="44" t="inlineStr">
        <is>
          <t>Business Income</t>
        </is>
      </c>
      <c r="K23" s="44" t="inlineStr">
        <is>
          <t>Incoming Wire; MAKE A PAYMENT; Merchant name: EOEB LLC</t>
        </is>
      </c>
      <c r="L23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4">
      <c r="A24" s="44" t="inlineStr">
        <is>
          <t>2025-06-24</t>
        </is>
      </c>
      <c r="B24" s="44" t="inlineStr">
        <is>
          <t>DAVID AARON LIMITED</t>
        </is>
      </c>
      <c r="C24" s="42" t="n">
        <v>13595</v>
      </c>
      <c r="D24" s="44" t="inlineStr">
        <is>
          <t>IN</t>
        </is>
      </c>
      <c r="E24" s="39" t="inlineStr">
        <is>
          <t>ADVISORY</t>
        </is>
      </c>
      <c r="F24" s="39" t="inlineStr">
        <is>
          <t>LOCKED</t>
        </is>
      </c>
      <c r="G24" s="44" t="inlineStr">
        <is>
          <t>David Aaron Limited — consultant fee</t>
        </is>
      </c>
      <c r="H24" s="44" t="inlineStr">
        <is>
          <t>no</t>
        </is>
      </c>
      <c r="I24" s="44" t="inlineStr">
        <is>
          <t>YES</t>
        </is>
      </c>
      <c r="J24" s="44" t="inlineStr">
        <is>
          <t>Business Income</t>
        </is>
      </c>
      <c r="K24" s="44" t="inlineStr">
        <is>
          <t>Auto-Routing transfer; Merchant name: DAVID AARON LIMITED</t>
        </is>
      </c>
      <c r="L24" s="14" t="inlineStr">
        <is>
          <t>User 2026-09-20: consultant fee, not a sale. Hits EPGC Consultant June $13,595. Not Art Sales.</t>
        </is>
      </c>
    </row>
    <row r="25">
      <c r="A25" s="44" t="inlineStr">
        <is>
          <t>2025-07-03</t>
        </is>
      </c>
      <c r="B25" s="44" t="inlineStr">
        <is>
          <t>Bank of America - Checking ••9922</t>
        </is>
      </c>
      <c r="C25" s="10" t="n">
        <v>-40000</v>
      </c>
      <c r="D25" s="44" t="inlineStr">
        <is>
          <t>OUT</t>
        </is>
      </c>
      <c r="E25" s="75" t="inlineStr">
        <is>
          <t>TRANSFER</t>
        </is>
      </c>
      <c r="F25" s="39" t="inlineStr">
        <is>
          <t>LOCKED</t>
        </is>
      </c>
      <c r="G25" s="44" t="inlineStr">
        <is>
          <t>Owner transfer to BoA 9922</t>
        </is>
      </c>
      <c r="H25" s="44" t="inlineStr">
        <is>
          <t>no</t>
        </is>
      </c>
      <c r="I25" s="44" t="inlineStr">
        <is>
          <t>no</t>
        </is>
      </c>
      <c r="J25" s="44" t="inlineStr">
        <is>
          <t>Transfer</t>
        </is>
      </c>
      <c r="K25" s="44" t="inlineStr">
        <is>
          <t>Transfer from Mercury to another bank account; Merchant name: Bank of America - Checking ••9922</t>
        </is>
      </c>
      <c r="L25" s="14" t="inlineStr">
        <is>
          <t>Not EPGC P&amp;L.</t>
        </is>
      </c>
    </row>
    <row r="26">
      <c r="A26" s="44" t="inlineStr">
        <is>
          <t>2025-07-08</t>
        </is>
      </c>
      <c r="B26" s="44" t="inlineStr">
        <is>
          <t>EOEB LLC</t>
        </is>
      </c>
      <c r="C26" s="74" t="n">
        <v>2000</v>
      </c>
      <c r="D26" s="44" t="inlineStr">
        <is>
          <t>IN</t>
        </is>
      </c>
      <c r="E26" s="40" t="inlineStr">
        <is>
          <t>ADVISORY</t>
        </is>
      </c>
      <c r="F26" s="40" t="inlineStr">
        <is>
          <t>ASK</t>
        </is>
      </c>
      <c r="G26" s="44" t="inlineStr">
        <is>
          <t>EOEB — mixed unallocated (sale vs advisory)</t>
        </is>
      </c>
      <c r="H26" s="44" t="inlineStr">
        <is>
          <t>no</t>
        </is>
      </c>
      <c r="I26" s="44" t="inlineStr">
        <is>
          <t>no — ASK first</t>
        </is>
      </c>
      <c r="J26" s="44" t="inlineStr">
        <is>
          <t>Transfer</t>
        </is>
      </c>
      <c r="K26" s="44" t="inlineStr">
        <is>
          <t>Auto-Routing transfer; Merchant name: EOEB LLC</t>
        </is>
      </c>
      <c r="L26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27">
      <c r="A27" s="44" t="inlineStr">
        <is>
          <t>2025-07-09</t>
        </is>
      </c>
      <c r="B27" s="44" t="inlineStr">
        <is>
          <t>Wise Inc</t>
        </is>
      </c>
      <c r="C27" s="42" t="n">
        <v>-334.17</v>
      </c>
      <c r="D27" s="44" t="inlineStr">
        <is>
          <t>OUT</t>
        </is>
      </c>
      <c r="E27" s="73" t="inlineStr">
        <is>
          <t>EPGC_EXPENSE</t>
        </is>
      </c>
      <c r="F27" s="39" t="inlineStr">
        <is>
          <t>LOCKED</t>
        </is>
      </c>
      <c r="G27" s="44" t="inlineStr">
        <is>
          <t>Wise — expertise write-ups (Consultant Fees)</t>
        </is>
      </c>
      <c r="H27" s="44" t="inlineStr">
        <is>
          <t>no</t>
        </is>
      </c>
      <c r="I27" s="44" t="inlineStr">
        <is>
          <t>no</t>
        </is>
      </c>
      <c r="J27" s="44" t="inlineStr">
        <is>
          <t xml:space="preserve">Business Expense </t>
        </is>
      </c>
      <c r="K27" s="44" t="inlineStr">
        <is>
          <t>Wise Inc; WISE; EPGC LLC; Merchant name: Wise Inc</t>
        </is>
      </c>
      <c r="L27" s="14" t="inlineStr">
        <is>
          <t>User 2026-09-20: business expense (expertise write-ups). Hits EPGC Consultant Fees July $334.17. Not COGS, not reimbursed. Distinct from Dec Wise $565.75 (EOEB reimburse).</t>
        </is>
      </c>
    </row>
    <row r="28">
      <c r="A28" s="44" t="inlineStr">
        <is>
          <t>2025-07-11</t>
        </is>
      </c>
      <c r="B28" s="44" t="inlineStr">
        <is>
          <t>L5</t>
        </is>
      </c>
      <c r="C28" s="74" t="n">
        <v>8534.790000000001</v>
      </c>
      <c r="D28" s="44" t="inlineStr">
        <is>
          <t>IN</t>
        </is>
      </c>
      <c r="E28" s="40" t="inlineStr">
        <is>
          <t>ADVISORY</t>
        </is>
      </c>
      <c r="F28" s="40" t="inlineStr">
        <is>
          <t>ASK</t>
        </is>
      </c>
      <c r="G28" s="44" t="inlineStr">
        <is>
          <t>L5 — mixed unallocated (sale vs advisory)</t>
        </is>
      </c>
      <c r="H28" s="44" t="inlineStr">
        <is>
          <t>no</t>
        </is>
      </c>
      <c r="I28" s="44" t="inlineStr">
        <is>
          <t>no — ASK first</t>
        </is>
      </c>
      <c r="J28" s="44" t="inlineStr">
        <is>
          <t>Business Income</t>
        </is>
      </c>
      <c r="K28" s="44" t="inlineStr">
        <is>
          <t>Auto-Routing transfer; Merchant name: L5</t>
        </is>
      </c>
      <c r="L28" s="14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29">
      <c r="A29" s="44" t="inlineStr">
        <is>
          <t>2025-07-15</t>
        </is>
      </c>
      <c r="B29" s="44" t="inlineStr">
        <is>
          <t>L5</t>
        </is>
      </c>
      <c r="C29" s="74" t="n">
        <v>2500</v>
      </c>
      <c r="D29" s="44" t="inlineStr">
        <is>
          <t>IN</t>
        </is>
      </c>
      <c r="E29" s="40" t="inlineStr">
        <is>
          <t>ADVISORY</t>
        </is>
      </c>
      <c r="F29" s="40" t="inlineStr">
        <is>
          <t>ASK</t>
        </is>
      </c>
      <c r="G29" s="44" t="inlineStr">
        <is>
          <t>L5 — mixed unallocated (sale vs advisory)</t>
        </is>
      </c>
      <c r="H29" s="44" t="inlineStr">
        <is>
          <t>no</t>
        </is>
      </c>
      <c r="I29" s="44" t="inlineStr">
        <is>
          <t>no — ASK first</t>
        </is>
      </c>
      <c r="J29" s="44" t="inlineStr">
        <is>
          <t>Business Income</t>
        </is>
      </c>
      <c r="K29" s="44" t="inlineStr">
        <is>
          <t>Auto-Routing transfer; Merchant name: L5</t>
        </is>
      </c>
      <c r="L29" s="14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30">
      <c r="A30" s="44" t="inlineStr">
        <is>
          <t>2025-07-15</t>
        </is>
      </c>
      <c r="B30" s="44" t="inlineStr">
        <is>
          <t>L5</t>
        </is>
      </c>
      <c r="C30" s="74" t="n">
        <v>50000</v>
      </c>
      <c r="D30" s="44" t="inlineStr">
        <is>
          <t>IN</t>
        </is>
      </c>
      <c r="E30" s="40" t="inlineStr">
        <is>
          <t>ADVISORY</t>
        </is>
      </c>
      <c r="F30" s="40" t="inlineStr">
        <is>
          <t>ASK</t>
        </is>
      </c>
      <c r="G30" s="44" t="inlineStr">
        <is>
          <t>L5 $50,000 — mixed unallocated (sale vs advisory)</t>
        </is>
      </c>
      <c r="H30" s="44" t="inlineStr">
        <is>
          <t>no</t>
        </is>
      </c>
      <c r="I30" s="44" t="inlineStr">
        <is>
          <t>no — ASK first</t>
        </is>
      </c>
      <c r="J30" s="44" t="inlineStr">
        <is>
          <t>Transfer</t>
        </is>
      </c>
      <c r="K30" s="44" t="inlineStr">
        <is>
          <t>Auto-Routing transfer; Merchant name: L5</t>
        </is>
      </c>
      <c r="L30" s="14" t="inlineStr">
        <is>
          <t>User 2026-09-20: L5 LLC mixed art sales AND advisory/consultant fees. Pattern confirmed; this invoice still unallocated. Do NOT dump L5 remainder $87,396.32 onto Consultant or Art Sales. Invoice-level split still ASK. Same week as Aysel $50k IN and Fortuna $45k OUT.</t>
        </is>
      </c>
    </row>
    <row r="31">
      <c r="A31" s="44" t="inlineStr">
        <is>
          <t>2025-07-18</t>
        </is>
      </c>
      <c r="B31" s="44" t="inlineStr">
        <is>
          <t>Aysel Dere</t>
        </is>
      </c>
      <c r="C31" s="74" t="n">
        <v>50000</v>
      </c>
      <c r="D31" s="44" t="inlineStr">
        <is>
          <t>IN</t>
        </is>
      </c>
      <c r="E31" s="40" t="inlineStr">
        <is>
          <t>ASK</t>
        </is>
      </c>
      <c r="F31" s="40" t="inlineStr">
        <is>
          <t>ASK</t>
        </is>
      </c>
      <c r="G31" s="44" t="inlineStr">
        <is>
          <t>Aysel Dere $50,000 IN</t>
        </is>
      </c>
      <c r="H31" s="44" t="inlineStr">
        <is>
          <t>no</t>
        </is>
      </c>
      <c r="I31" s="44" t="inlineStr">
        <is>
          <t>no</t>
        </is>
      </c>
      <c r="J31" s="44" t="inlineStr">
        <is>
          <t>Transfer</t>
        </is>
      </c>
      <c r="K31" s="44" t="inlineStr">
        <is>
          <t>Merchant name: Aysel Dere</t>
        </is>
      </c>
      <c r="L31" s="14" t="inlineStr">
        <is>
          <t>Same week as L5 $50k, Fortuna $45k OUT (7/21), Erdal $26k IN (7/24). Sale, family/related transfer, or inventory reverse?</t>
        </is>
      </c>
    </row>
    <row r="32">
      <c r="A32" s="44" t="inlineStr">
        <is>
          <t>2025-07-21</t>
        </is>
      </c>
      <c r="B32" s="44" t="inlineStr">
        <is>
          <t>Erdal Dere (Fortuna)</t>
        </is>
      </c>
      <c r="C32" s="74" t="n">
        <v>-45000</v>
      </c>
      <c r="D32" s="44" t="inlineStr">
        <is>
          <t>OUT</t>
        </is>
      </c>
      <c r="E32" s="72" t="inlineStr">
        <is>
          <t>ART_PURCHASE</t>
        </is>
      </c>
      <c r="F32" s="40" t="inlineStr">
        <is>
          <t>ASK</t>
        </is>
      </c>
      <c r="G32" s="44" t="inlineStr">
        <is>
          <t>Fortuna / Erdal — inventory vs other</t>
        </is>
      </c>
      <c r="H32" s="44" t="inlineStr">
        <is>
          <t>no</t>
        </is>
      </c>
      <c r="I32" s="44" t="inlineStr">
        <is>
          <t>no</t>
        </is>
      </c>
      <c r="J32" s="44" t="inlineStr">
        <is>
          <t xml:space="preserve">Business Investment </t>
        </is>
      </c>
      <c r="K32" s="44" t="inlineStr">
        <is>
          <t>Merchant name: Erdal Dere (Fortuna)</t>
        </is>
      </c>
      <c r="L32" s="14" t="inlineStr">
        <is>
          <t>Object name? Ties to Aysel $50k / Erdal $26k the same week?</t>
        </is>
      </c>
    </row>
    <row r="33">
      <c r="A33" s="44" t="inlineStr">
        <is>
          <t>2025-07-24</t>
        </is>
      </c>
      <c r="B33" s="44" t="inlineStr">
        <is>
          <t>ERDAL DERE</t>
        </is>
      </c>
      <c r="C33" s="74" t="n">
        <v>26000</v>
      </c>
      <c r="D33" s="44" t="inlineStr">
        <is>
          <t>IN</t>
        </is>
      </c>
      <c r="E33" s="73" t="inlineStr">
        <is>
          <t>ART_SALE</t>
        </is>
      </c>
      <c r="F33" s="40" t="inlineStr">
        <is>
          <t>ASK</t>
        </is>
      </c>
      <c r="G33" s="44" t="inlineStr">
        <is>
          <t>Erdal Dere $26,000 IN — sale vs other</t>
        </is>
      </c>
      <c r="H33" s="44" t="inlineStr">
        <is>
          <t>no</t>
        </is>
      </c>
      <c r="I33" s="44" t="inlineStr">
        <is>
          <t>no</t>
        </is>
      </c>
      <c r="J33" s="44" t="inlineStr">
        <is>
          <t>Business Income</t>
        </is>
      </c>
      <c r="K33" s="44" t="inlineStr">
        <is>
          <t>Incoming Wire; Merchant name: ERDAL DERE</t>
        </is>
      </c>
      <c r="L33" s="14" t="inlineStr">
        <is>
          <t>Incoming wire ERDAL DERE. Sale of inventory to Erdal, repayment, or advisory?</t>
        </is>
      </c>
    </row>
    <row r="34">
      <c r="A34" s="44" t="inlineStr">
        <is>
          <t>2025-07-28</t>
        </is>
      </c>
      <c r="B34" s="44" t="inlineStr">
        <is>
          <t>Bank of America - Checking ••9922</t>
        </is>
      </c>
      <c r="C34" s="10" t="n">
        <v>-60000</v>
      </c>
      <c r="D34" s="44" t="inlineStr">
        <is>
          <t>OUT</t>
        </is>
      </c>
      <c r="E34" s="75" t="inlineStr">
        <is>
          <t>TRANSFER</t>
        </is>
      </c>
      <c r="F34" s="39" t="inlineStr">
        <is>
          <t>LOCKED</t>
        </is>
      </c>
      <c r="G34" s="44" t="inlineStr">
        <is>
          <t>Owner transfer to BoA 9922</t>
        </is>
      </c>
      <c r="H34" s="44" t="inlineStr">
        <is>
          <t>no</t>
        </is>
      </c>
      <c r="I34" s="44" t="inlineStr">
        <is>
          <t>no</t>
        </is>
      </c>
      <c r="J34" s="44" t="inlineStr">
        <is>
          <t>Transfer</t>
        </is>
      </c>
      <c r="K34" s="44" t="inlineStr">
        <is>
          <t>Transfer from Mercury to another bank account; Merchant name: Bank of America - Checking ••9922</t>
        </is>
      </c>
      <c r="L34" s="14" t="inlineStr">
        <is>
          <t>Not EPGC P&amp;L.</t>
        </is>
      </c>
    </row>
    <row r="35">
      <c r="A35" s="44" t="inlineStr">
        <is>
          <t>2025-08-15</t>
        </is>
      </c>
      <c r="B35" s="44" t="inlineStr">
        <is>
          <t>Erdal Dere (Fortuna)</t>
        </is>
      </c>
      <c r="C35" s="74" t="n">
        <v>-20000</v>
      </c>
      <c r="D35" s="44" t="inlineStr">
        <is>
          <t>OUT</t>
        </is>
      </c>
      <c r="E35" s="72" t="inlineStr">
        <is>
          <t>ART_PURCHASE</t>
        </is>
      </c>
      <c r="F35" s="40" t="inlineStr">
        <is>
          <t>ASK</t>
        </is>
      </c>
      <c r="G35" s="44" t="inlineStr">
        <is>
          <t>Fortuna / Erdal — inventory vs other</t>
        </is>
      </c>
      <c r="H35" s="44" t="inlineStr">
        <is>
          <t>no</t>
        </is>
      </c>
      <c r="I35" s="44" t="inlineStr">
        <is>
          <t>no</t>
        </is>
      </c>
      <c r="J35" s="44" t="inlineStr">
        <is>
          <t xml:space="preserve">Business Investment </t>
        </is>
      </c>
      <c r="K35" s="44" t="inlineStr">
        <is>
          <t>Merchant name: Erdal Dere (Fortuna)</t>
        </is>
      </c>
      <c r="L35" s="14" t="inlineStr">
        <is>
          <t>Object name?</t>
        </is>
      </c>
    </row>
    <row r="36">
      <c r="A36" s="44" t="inlineStr">
        <is>
          <t>2025-08-29</t>
        </is>
      </c>
      <c r="B36" s="44" t="inlineStr">
        <is>
          <t>EOEB LLC</t>
        </is>
      </c>
      <c r="C36" s="74" t="n">
        <v>10000</v>
      </c>
      <c r="D36" s="44" t="inlineStr">
        <is>
          <t>IN</t>
        </is>
      </c>
      <c r="E36" s="40" t="inlineStr">
        <is>
          <t>ADVISORY</t>
        </is>
      </c>
      <c r="F36" s="40" t="inlineStr">
        <is>
          <t>ASK</t>
        </is>
      </c>
      <c r="G36" s="44" t="inlineStr">
        <is>
          <t>EOEB — mixed unallocated (sale vs advisory)</t>
        </is>
      </c>
      <c r="H36" s="44" t="inlineStr">
        <is>
          <t>no</t>
        </is>
      </c>
      <c r="I36" s="44" t="inlineStr">
        <is>
          <t>no — ASK first</t>
        </is>
      </c>
      <c r="J36" s="44" t="inlineStr">
        <is>
          <t>Business Income</t>
        </is>
      </c>
      <c r="K36" s="44" t="inlineStr">
        <is>
          <t>Auto-Routing transfer; Merchant name: EOEB LLC</t>
        </is>
      </c>
      <c r="L36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37">
      <c r="A37" s="44" t="inlineStr">
        <is>
          <t>2025-09-02</t>
        </is>
      </c>
      <c r="B37" s="44" t="inlineStr">
        <is>
          <t>L5</t>
        </is>
      </c>
      <c r="C37" s="74" t="n">
        <v>5042</v>
      </c>
      <c r="D37" s="44" t="inlineStr">
        <is>
          <t>IN</t>
        </is>
      </c>
      <c r="E37" s="40" t="inlineStr">
        <is>
          <t>ADVISORY</t>
        </is>
      </c>
      <c r="F37" s="40" t="inlineStr">
        <is>
          <t>ASK</t>
        </is>
      </c>
      <c r="G37" s="44" t="inlineStr">
        <is>
          <t>L5 — mixed unallocated (sale vs advisory)</t>
        </is>
      </c>
      <c r="H37" s="44" t="inlineStr">
        <is>
          <t>no</t>
        </is>
      </c>
      <c r="I37" s="44" t="inlineStr">
        <is>
          <t>no — ASK first</t>
        </is>
      </c>
      <c r="J37" s="44" t="inlineStr">
        <is>
          <t>Business Income</t>
        </is>
      </c>
      <c r="K37" s="44" t="inlineStr">
        <is>
          <t>Auto-Routing transfer; Merchant name: L5</t>
        </is>
      </c>
      <c r="L37" s="14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38">
      <c r="A38" s="44" t="inlineStr">
        <is>
          <t>2025-09-04</t>
        </is>
      </c>
      <c r="B38" s="44" t="inlineStr">
        <is>
          <t>COINBASE INC.</t>
        </is>
      </c>
      <c r="C38" s="42" t="n">
        <v>-3000</v>
      </c>
      <c r="D38" s="44" t="inlineStr">
        <is>
          <t>OUT</t>
        </is>
      </c>
      <c r="E38" s="76" t="inlineStr">
        <is>
          <t>INVESTMENT</t>
        </is>
      </c>
      <c r="F38" s="39" t="inlineStr">
        <is>
          <t>LOCKED</t>
        </is>
      </c>
      <c r="G38" s="44" t="inlineStr">
        <is>
          <t>Coinbase ACH funding</t>
        </is>
      </c>
      <c r="H38" s="44" t="inlineStr">
        <is>
          <t>no</t>
        </is>
      </c>
      <c r="I38" s="44" t="inlineStr">
        <is>
          <t>no</t>
        </is>
      </c>
      <c r="J38" s="44" t="inlineStr">
        <is>
          <t>Transfer</t>
        </is>
      </c>
      <c r="K38" s="44" t="inlineStr">
        <is>
          <t>COINBASE INC.; 2A0875F9; JACOB COLEY; Merchant name: COINBASE INC.</t>
        </is>
      </c>
      <c r="L38" s="14" t="inlineStr">
        <is>
          <t>Investment transfer off Mercury 8291. Not EPGC operating. Distinct from Coinbase 6108 credit-card spend.</t>
        </is>
      </c>
    </row>
    <row r="39">
      <c r="A39" s="44" t="inlineStr">
        <is>
          <t>2025-09-19</t>
        </is>
      </c>
      <c r="B39" s="44" t="inlineStr">
        <is>
          <t>EOEB LLC</t>
        </is>
      </c>
      <c r="C39" s="74" t="n">
        <v>5000</v>
      </c>
      <c r="D39" s="44" t="inlineStr">
        <is>
          <t>IN</t>
        </is>
      </c>
      <c r="E39" s="40" t="inlineStr">
        <is>
          <t>ADVISORY</t>
        </is>
      </c>
      <c r="F39" s="40" t="inlineStr">
        <is>
          <t>ASK</t>
        </is>
      </c>
      <c r="G39" s="44" t="inlineStr">
        <is>
          <t>EOEB — mixed unallocated (sale vs advisory)</t>
        </is>
      </c>
      <c r="H39" s="44" t="inlineStr">
        <is>
          <t>no</t>
        </is>
      </c>
      <c r="I39" s="44" t="inlineStr">
        <is>
          <t>no — ASK first</t>
        </is>
      </c>
      <c r="J39" s="44" t="inlineStr">
        <is>
          <t>Business Income</t>
        </is>
      </c>
      <c r="K39" s="44" t="inlineStr">
        <is>
          <t>Auto-Routing transfer; Merchant name: EOEB LLC</t>
        </is>
      </c>
      <c r="L39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0">
      <c r="A40" s="44" t="inlineStr">
        <is>
          <t>2025-09-23</t>
        </is>
      </c>
      <c r="B40" s="44" t="inlineStr">
        <is>
          <t>L5</t>
        </is>
      </c>
      <c r="C40" s="74" t="n">
        <v>9119.27</v>
      </c>
      <c r="D40" s="44" t="inlineStr">
        <is>
          <t>IN</t>
        </is>
      </c>
      <c r="E40" s="40" t="inlineStr">
        <is>
          <t>ADVISORY</t>
        </is>
      </c>
      <c r="F40" s="40" t="inlineStr">
        <is>
          <t>ASK</t>
        </is>
      </c>
      <c r="G40" s="44" t="inlineStr">
        <is>
          <t>L5 — mixed unallocated (sale vs advisory)</t>
        </is>
      </c>
      <c r="H40" s="44" t="inlineStr">
        <is>
          <t>no</t>
        </is>
      </c>
      <c r="I40" s="44" t="inlineStr">
        <is>
          <t>no — ASK first</t>
        </is>
      </c>
      <c r="J40" s="44" t="inlineStr">
        <is>
          <t>Business Income</t>
        </is>
      </c>
      <c r="K40" s="44" t="inlineStr">
        <is>
          <t>Auto-Routing transfer; Merchant name: L5</t>
        </is>
      </c>
      <c r="L40" s="14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41">
      <c r="A41" s="44" t="inlineStr">
        <is>
          <t>2025-09-25</t>
        </is>
      </c>
      <c r="B41" s="44" t="inlineStr">
        <is>
          <t>Bank of America - Checking ••9922</t>
        </is>
      </c>
      <c r="C41" s="10" t="n">
        <v>-40000</v>
      </c>
      <c r="D41" s="44" t="inlineStr">
        <is>
          <t>OUT</t>
        </is>
      </c>
      <c r="E41" s="75" t="inlineStr">
        <is>
          <t>TRANSFER</t>
        </is>
      </c>
      <c r="F41" s="39" t="inlineStr">
        <is>
          <t>LOCKED</t>
        </is>
      </c>
      <c r="G41" s="44" t="inlineStr">
        <is>
          <t>Owner transfer to BoA 9922</t>
        </is>
      </c>
      <c r="H41" s="44" t="inlineStr">
        <is>
          <t>no</t>
        </is>
      </c>
      <c r="I41" s="44" t="inlineStr">
        <is>
          <t>no</t>
        </is>
      </c>
      <c r="J41" s="44" t="inlineStr">
        <is>
          <t>Transfer</t>
        </is>
      </c>
      <c r="K41" s="44" t="inlineStr">
        <is>
          <t>Transfer from Mercury to another bank account; Merchant name: Bank of America - Checking ••9922</t>
        </is>
      </c>
      <c r="L41" s="14" t="inlineStr">
        <is>
          <t>Not EPGC P&amp;L.</t>
        </is>
      </c>
    </row>
    <row r="42">
      <c r="A42" s="44" t="inlineStr">
        <is>
          <t>2025-09-25</t>
        </is>
      </c>
      <c r="B42" s="44" t="inlineStr">
        <is>
          <t>EOEB LLC</t>
        </is>
      </c>
      <c r="C42" s="74" t="n">
        <v>3100</v>
      </c>
      <c r="D42" s="44" t="inlineStr">
        <is>
          <t>IN</t>
        </is>
      </c>
      <c r="E42" s="40" t="inlineStr">
        <is>
          <t>ADVISORY</t>
        </is>
      </c>
      <c r="F42" s="40" t="inlineStr">
        <is>
          <t>ASK</t>
        </is>
      </c>
      <c r="G42" s="44" t="inlineStr">
        <is>
          <t>EOEB — mixed unallocated (sale vs advisory)</t>
        </is>
      </c>
      <c r="H42" s="44" t="inlineStr">
        <is>
          <t>no</t>
        </is>
      </c>
      <c r="I42" s="44" t="inlineStr">
        <is>
          <t>no — ASK first</t>
        </is>
      </c>
      <c r="J42" s="44" t="inlineStr">
        <is>
          <t>Business Income</t>
        </is>
      </c>
      <c r="K42" s="44" t="inlineStr">
        <is>
          <t>Auto-Routing transfer; Merchant name: EOEB LLC</t>
        </is>
      </c>
      <c r="L42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3">
      <c r="A43" s="44" t="inlineStr">
        <is>
          <t>2025-09-29</t>
        </is>
      </c>
      <c r="B43" s="44" t="inlineStr">
        <is>
          <t>COINBASE INC.</t>
        </is>
      </c>
      <c r="C43" s="42" t="n">
        <v>-6000</v>
      </c>
      <c r="D43" s="44" t="inlineStr">
        <is>
          <t>OUT</t>
        </is>
      </c>
      <c r="E43" s="76" t="inlineStr">
        <is>
          <t>INVESTMENT</t>
        </is>
      </c>
      <c r="F43" s="39" t="inlineStr">
        <is>
          <t>LOCKED</t>
        </is>
      </c>
      <c r="G43" s="44" t="inlineStr">
        <is>
          <t>Coinbase ACH funding</t>
        </is>
      </c>
      <c r="H43" s="44" t="inlineStr">
        <is>
          <t>no</t>
        </is>
      </c>
      <c r="I43" s="44" t="inlineStr">
        <is>
          <t>no</t>
        </is>
      </c>
      <c r="J43" s="44" t="inlineStr">
        <is>
          <t>Transfer</t>
        </is>
      </c>
      <c r="K43" s="44" t="inlineStr">
        <is>
          <t>COINBASE INC.; 27B17286; JACOB COLEY; Merchant name: COINBASE INC.</t>
        </is>
      </c>
      <c r="L43" s="14" t="inlineStr">
        <is>
          <t>Investment transfer. Not EPGC operating.</t>
        </is>
      </c>
    </row>
    <row r="44">
      <c r="A44" s="44" t="inlineStr">
        <is>
          <t>2025-10-01</t>
        </is>
      </c>
      <c r="B44" s="44" t="inlineStr">
        <is>
          <t>COINBASE INC.</t>
        </is>
      </c>
      <c r="C44" s="42" t="n">
        <v>-10000</v>
      </c>
      <c r="D44" s="44" t="inlineStr">
        <is>
          <t>OUT</t>
        </is>
      </c>
      <c r="E44" s="76" t="inlineStr">
        <is>
          <t>INVESTMENT</t>
        </is>
      </c>
      <c r="F44" s="39" t="inlineStr">
        <is>
          <t>LOCKED</t>
        </is>
      </c>
      <c r="G44" s="44" t="inlineStr">
        <is>
          <t>Coinbase ACH funding</t>
        </is>
      </c>
      <c r="H44" s="44" t="inlineStr">
        <is>
          <t>no</t>
        </is>
      </c>
      <c r="I44" s="44" t="inlineStr">
        <is>
          <t>no</t>
        </is>
      </c>
      <c r="J44" s="44" t="inlineStr">
        <is>
          <t>Transfer</t>
        </is>
      </c>
      <c r="K44" s="44" t="inlineStr">
        <is>
          <t>COINBASE INC.; E2C52DA9; JACOB COLEY; Merchant name: COINBASE INC.</t>
        </is>
      </c>
      <c r="L44" s="14" t="inlineStr">
        <is>
          <t>Investment transfer. Not EPGC operating.</t>
        </is>
      </c>
    </row>
    <row r="45">
      <c r="A45" s="44" t="inlineStr">
        <is>
          <t>2025-10-01</t>
        </is>
      </c>
      <c r="B45" s="44" t="inlineStr">
        <is>
          <t>EOEB LLC</t>
        </is>
      </c>
      <c r="C45" s="74" t="n">
        <v>10000</v>
      </c>
      <c r="D45" s="44" t="inlineStr">
        <is>
          <t>IN</t>
        </is>
      </c>
      <c r="E45" s="40" t="inlineStr">
        <is>
          <t>ADVISORY</t>
        </is>
      </c>
      <c r="F45" s="40" t="inlineStr">
        <is>
          <t>ASK</t>
        </is>
      </c>
      <c r="G45" s="44" t="inlineStr">
        <is>
          <t>EOEB — mixed unallocated (sale vs advisory)</t>
        </is>
      </c>
      <c r="H45" s="44" t="inlineStr">
        <is>
          <t>no</t>
        </is>
      </c>
      <c r="I45" s="44" t="inlineStr">
        <is>
          <t>no — ASK first</t>
        </is>
      </c>
      <c r="J45" s="44" t="inlineStr">
        <is>
          <t>Transfer</t>
        </is>
      </c>
      <c r="K45" s="44" t="inlineStr">
        <is>
          <t>Auto-Routing transfer; Merchant name: EOEB LLC</t>
        </is>
      </c>
      <c r="L45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46">
      <c r="A46" s="44" t="inlineStr">
        <is>
          <t>2025-10-09</t>
        </is>
      </c>
      <c r="B46" s="44" t="inlineStr">
        <is>
          <t>Bank of America - Checking ••9922</t>
        </is>
      </c>
      <c r="C46" s="10" t="n">
        <v>-6172</v>
      </c>
      <c r="D46" s="44" t="inlineStr">
        <is>
          <t>OUT</t>
        </is>
      </c>
      <c r="E46" s="75" t="inlineStr">
        <is>
          <t>TRANSFER</t>
        </is>
      </c>
      <c r="F46" s="39" t="inlineStr">
        <is>
          <t>LOCKED</t>
        </is>
      </c>
      <c r="G46" s="44" t="inlineStr">
        <is>
          <t>Owner transfer to BoA 9922</t>
        </is>
      </c>
      <c r="H46" s="44" t="inlineStr">
        <is>
          <t>no</t>
        </is>
      </c>
      <c r="I46" s="44" t="inlineStr">
        <is>
          <t>no</t>
        </is>
      </c>
      <c r="J46" s="44" t="inlineStr">
        <is>
          <t>Transfer</t>
        </is>
      </c>
      <c r="K46" s="44" t="inlineStr">
        <is>
          <t>Transfer from Mercury to another bank account; Merchant name: Bank of America - Checking ••9922</t>
        </is>
      </c>
      <c r="L46" s="14" t="inlineStr">
        <is>
          <t>Not EPGC P&amp;L.</t>
        </is>
      </c>
    </row>
    <row r="47">
      <c r="A47" s="44" t="inlineStr">
        <is>
          <t>2025-10-09</t>
        </is>
      </c>
      <c r="B47" s="44" t="inlineStr">
        <is>
          <t>ERDAL DERE</t>
        </is>
      </c>
      <c r="C47" s="74" t="n">
        <v>25000</v>
      </c>
      <c r="D47" s="44" t="inlineStr">
        <is>
          <t>IN</t>
        </is>
      </c>
      <c r="E47" s="73" t="inlineStr">
        <is>
          <t>ART_SALE</t>
        </is>
      </c>
      <c r="F47" s="40" t="inlineStr">
        <is>
          <t>ASK</t>
        </is>
      </c>
      <c r="G47" s="44" t="inlineStr">
        <is>
          <t>Erdal Dere $25,000 IN — sale vs other</t>
        </is>
      </c>
      <c r="H47" s="44" t="inlineStr">
        <is>
          <t>no</t>
        </is>
      </c>
      <c r="I47" s="44" t="inlineStr">
        <is>
          <t>no</t>
        </is>
      </c>
      <c r="J47" s="44" t="inlineStr">
        <is>
          <t>Business Income</t>
        </is>
      </c>
      <c r="K47" s="44" t="inlineStr">
        <is>
          <t>Incoming Wire; Merchant name: ERDAL DERE</t>
        </is>
      </c>
      <c r="L47" s="14" t="inlineStr">
        <is>
          <t>Incoming wire ERDAL DERE. Sale of inventory to Erdal or something else?</t>
        </is>
      </c>
    </row>
    <row r="48">
      <c r="A48" s="44" t="inlineStr">
        <is>
          <t>2025-10-14</t>
        </is>
      </c>
      <c r="B48" s="44" t="inlineStr">
        <is>
          <t>Newstar Jewelers</t>
        </is>
      </c>
      <c r="C48" s="42" t="n">
        <v>-8000</v>
      </c>
      <c r="D48" s="44" t="inlineStr">
        <is>
          <t>OUT</t>
        </is>
      </c>
      <c r="E48" s="72" t="inlineStr">
        <is>
          <t>COGS_JEWELRY</t>
        </is>
      </c>
      <c r="F48" s="39" t="inlineStr">
        <is>
          <t>LOCKED</t>
        </is>
      </c>
      <c r="G48" s="44" t="inlineStr">
        <is>
          <t>Newstar Jewelers — jewelry fabrication</t>
        </is>
      </c>
      <c r="H48" s="44" t="inlineStr">
        <is>
          <t>no</t>
        </is>
      </c>
      <c r="I48" s="44" t="inlineStr">
        <is>
          <t>no</t>
        </is>
      </c>
      <c r="J48" s="44" t="inlineStr">
        <is>
          <t xml:space="preserve">Business Expense </t>
        </is>
      </c>
      <c r="K48" s="44" t="inlineStr">
        <is>
          <t>Merchant name: Newstar Jewelers</t>
        </is>
      </c>
      <c r="L48" s="14" t="inlineStr">
        <is>
          <t>Fees for making jewelry out of intaglios, engraved gems, and scarabs. COGS, not EPGC operating. Not added to sold-lot Cost (Berk lots already sold in February).</t>
        </is>
      </c>
    </row>
    <row r="49">
      <c r="A49" s="44" t="inlineStr">
        <is>
          <t>2025-10-15</t>
        </is>
      </c>
      <c r="B49" s="44" t="inlineStr">
        <is>
          <t>EOEB LLC</t>
        </is>
      </c>
      <c r="C49" s="74" t="n">
        <v>16000</v>
      </c>
      <c r="D49" s="44" t="inlineStr">
        <is>
          <t>IN</t>
        </is>
      </c>
      <c r="E49" s="40" t="inlineStr">
        <is>
          <t>ADVISORY</t>
        </is>
      </c>
      <c r="F49" s="40" t="inlineStr">
        <is>
          <t>ASK</t>
        </is>
      </c>
      <c r="G49" s="44" t="inlineStr">
        <is>
          <t>EOEB — mixed unallocated (sale vs advisory)</t>
        </is>
      </c>
      <c r="H49" s="44" t="inlineStr">
        <is>
          <t>no</t>
        </is>
      </c>
      <c r="I49" s="44" t="inlineStr">
        <is>
          <t>no — ASK first</t>
        </is>
      </c>
      <c r="J49" s="44" t="inlineStr">
        <is>
          <t>Business Income</t>
        </is>
      </c>
      <c r="K49" s="44" t="inlineStr">
        <is>
          <t>Auto-Routing transfer; Merchant name: EOEB LLC</t>
        </is>
      </c>
      <c r="L49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0">
      <c r="A50" s="44" t="inlineStr">
        <is>
          <t>2025-10-20</t>
        </is>
      </c>
      <c r="B50" s="44" t="inlineStr">
        <is>
          <t>JACK EDWARD KOZIOL &amp; TRACY HOFFMAN</t>
        </is>
      </c>
      <c r="C50" s="10" t="n">
        <v>150000</v>
      </c>
      <c r="D50" s="44" t="inlineStr">
        <is>
          <t>IN</t>
        </is>
      </c>
      <c r="E50" s="76" t="inlineStr">
        <is>
          <t>PASS_THROUGH</t>
        </is>
      </c>
      <c r="F50" s="39" t="inlineStr">
        <is>
          <t>LOCKED</t>
        </is>
      </c>
      <c r="G50" s="44" t="inlineStr">
        <is>
          <t>Jack Koziol &amp; Tracy Hoffman $150,000 IN</t>
        </is>
      </c>
      <c r="H50" s="44" t="inlineStr">
        <is>
          <t>no</t>
        </is>
      </c>
      <c r="I50" s="44" t="inlineStr">
        <is>
          <t>no</t>
        </is>
      </c>
      <c r="J50" s="44" t="inlineStr">
        <is>
          <t>Transfer</t>
        </is>
      </c>
      <c r="K50" s="44" t="inlineStr">
        <is>
          <t>Incoming Wire; /BNF/Per your request; Merchant name: JACK EDWARD KOZIOL &amp; TRACY HOFFMAN</t>
        </is>
      </c>
      <c r="L50" s="14" t="inlineStr">
        <is>
          <t>User 2026-09-20: pass-through, not a sale. Incoming wire /BNF/Per your request. Next-day $150,000 OUT to Ariadne Demirjian LLC. Not P&amp;L.</t>
        </is>
      </c>
    </row>
    <row r="51">
      <c r="A51" s="44" t="inlineStr">
        <is>
          <t>2025-10-21</t>
        </is>
      </c>
      <c r="B51" s="44" t="inlineStr">
        <is>
          <t>Ariadne Demirjian LLC</t>
        </is>
      </c>
      <c r="C51" s="10" t="n">
        <v>-150000</v>
      </c>
      <c r="D51" s="44" t="inlineStr">
        <is>
          <t>OUT</t>
        </is>
      </c>
      <c r="E51" s="76" t="inlineStr">
        <is>
          <t>PASS_THROUGH</t>
        </is>
      </c>
      <c r="F51" s="39" t="inlineStr">
        <is>
          <t>LOCKED</t>
        </is>
      </c>
      <c r="G51" s="44" t="inlineStr">
        <is>
          <t>Ariadne Demirjian LLC $150,000 OUT</t>
        </is>
      </c>
      <c r="H51" s="44" t="inlineStr">
        <is>
          <t>no</t>
        </is>
      </c>
      <c r="I51" s="44" t="inlineStr">
        <is>
          <t>no</t>
        </is>
      </c>
      <c r="J51" s="44" t="inlineStr">
        <is>
          <t>Transfer</t>
        </is>
      </c>
      <c r="K51" s="44" t="inlineStr">
        <is>
          <t>Merchant name: Ariadne Demirjian LLC</t>
        </is>
      </c>
      <c r="L51" s="14" t="inlineStr">
        <is>
          <t>User 2026-09-20: pass-through, not a purchase. Same window as Koziol $150,000 IN. Not P&amp;L.</t>
        </is>
      </c>
    </row>
    <row r="52">
      <c r="A52" s="44" t="inlineStr">
        <is>
          <t>2025-10-21</t>
        </is>
      </c>
      <c r="B52" s="44" t="inlineStr">
        <is>
          <t>L5</t>
        </is>
      </c>
      <c r="C52" s="74" t="n">
        <v>7500</v>
      </c>
      <c r="D52" s="44" t="inlineStr">
        <is>
          <t>IN</t>
        </is>
      </c>
      <c r="E52" s="40" t="inlineStr">
        <is>
          <t>ADVISORY</t>
        </is>
      </c>
      <c r="F52" s="40" t="inlineStr">
        <is>
          <t>ASK</t>
        </is>
      </c>
      <c r="G52" s="44" t="inlineStr">
        <is>
          <t>L5 — mixed unallocated (sale vs advisory)</t>
        </is>
      </c>
      <c r="H52" s="44" t="inlineStr">
        <is>
          <t>no</t>
        </is>
      </c>
      <c r="I52" s="44" t="inlineStr">
        <is>
          <t>no — ASK first</t>
        </is>
      </c>
      <c r="J52" s="44" t="inlineStr">
        <is>
          <t>Business Income</t>
        </is>
      </c>
      <c r="K52" s="44" t="inlineStr">
        <is>
          <t>Auto-Routing transfer; Merchant name: L5</t>
        </is>
      </c>
      <c r="L52" s="14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53">
      <c r="A53" s="44" t="inlineStr">
        <is>
          <t>2025-10-24</t>
        </is>
      </c>
      <c r="B53" s="44" t="inlineStr">
        <is>
          <t>EOEB LLC</t>
        </is>
      </c>
      <c r="C53" s="74" t="n">
        <v>1500</v>
      </c>
      <c r="D53" s="44" t="inlineStr">
        <is>
          <t>IN</t>
        </is>
      </c>
      <c r="E53" s="40" t="inlineStr">
        <is>
          <t>ADVISORY</t>
        </is>
      </c>
      <c r="F53" s="40" t="inlineStr">
        <is>
          <t>ASK</t>
        </is>
      </c>
      <c r="G53" s="44" t="inlineStr">
        <is>
          <t>EOEB — mixed unallocated (sale vs advisory)</t>
        </is>
      </c>
      <c r="H53" s="44" t="inlineStr">
        <is>
          <t>no</t>
        </is>
      </c>
      <c r="I53" s="44" t="inlineStr">
        <is>
          <t>no — ASK first</t>
        </is>
      </c>
      <c r="J53" s="44" t="inlineStr">
        <is>
          <t>Transfer</t>
        </is>
      </c>
      <c r="K53" s="44" t="inlineStr">
        <is>
          <t>Auto-Routing transfer; Merchant name: EOEB LLC</t>
        </is>
      </c>
      <c r="L53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4">
      <c r="A54" s="44" t="inlineStr">
        <is>
          <t>2025-10-30</t>
        </is>
      </c>
      <c r="B54" s="44" t="inlineStr">
        <is>
          <t>Wise Inc</t>
        </is>
      </c>
      <c r="C54" s="42" t="n">
        <v>-658.63</v>
      </c>
      <c r="D54" s="44" t="inlineStr">
        <is>
          <t>OUT</t>
        </is>
      </c>
      <c r="E54" s="73" t="inlineStr">
        <is>
          <t>EPGC_EXPENSE</t>
        </is>
      </c>
      <c r="F54" s="39" t="inlineStr">
        <is>
          <t>LOCKED</t>
        </is>
      </c>
      <c r="G54" s="44" t="inlineStr">
        <is>
          <t>Wise — expertise write-ups (Consultant Fees)</t>
        </is>
      </c>
      <c r="H54" s="44" t="inlineStr">
        <is>
          <t>no</t>
        </is>
      </c>
      <c r="I54" s="44" t="inlineStr">
        <is>
          <t>no</t>
        </is>
      </c>
      <c r="J54" s="44" t="inlineStr">
        <is>
          <t xml:space="preserve">Business Expense </t>
        </is>
      </c>
      <c r="K54" s="44" t="inlineStr">
        <is>
          <t>Wise Inc; WISE; EPGC LLC; Merchant name: Wise Inc</t>
        </is>
      </c>
      <c r="L54" s="14" t="inlineStr">
        <is>
          <t>User 2026-09-20: business expense (expertise write-ups). Hits EPGC Consultant Fees October $658.63. Not COGS, not reimbursed. Distinct from Dec Wise $565.75 (EOEB reimburse).</t>
        </is>
      </c>
    </row>
    <row r="55">
      <c r="A55" s="44" t="inlineStr">
        <is>
          <t>2025-10-31</t>
        </is>
      </c>
      <c r="B55" s="44" t="inlineStr">
        <is>
          <t>EOEB LLC</t>
        </is>
      </c>
      <c r="C55" s="74" t="n">
        <v>2170</v>
      </c>
      <c r="D55" s="44" t="inlineStr">
        <is>
          <t>IN</t>
        </is>
      </c>
      <c r="E55" s="40" t="inlineStr">
        <is>
          <t>ADVISORY</t>
        </is>
      </c>
      <c r="F55" s="40" t="inlineStr">
        <is>
          <t>ASK</t>
        </is>
      </c>
      <c r="G55" s="44" t="inlineStr">
        <is>
          <t>EOEB — mixed unallocated (sale vs advisory)</t>
        </is>
      </c>
      <c r="H55" s="44" t="inlineStr">
        <is>
          <t>no</t>
        </is>
      </c>
      <c r="I55" s="44" t="inlineStr">
        <is>
          <t>no — ASK first</t>
        </is>
      </c>
      <c r="J55" s="44" t="inlineStr">
        <is>
          <t>Business Income</t>
        </is>
      </c>
      <c r="K55" s="44" t="inlineStr">
        <is>
          <t>Auto-Routing transfer; Merchant name: EOEB LLC</t>
        </is>
      </c>
      <c r="L55" s="14" t="inlineStr">
        <is>
          <t>User 2026-09-20: EOEB LLC mixed art sales AND advisory/consultant fees. Pattern confirmed; this invoice still unallocated. Do NOT dump EOEB remainder $130,270 onto Consultant or Art Sales. Invoice-level split still ASK.</t>
        </is>
      </c>
    </row>
    <row r="56">
      <c r="A56" s="44" t="inlineStr">
        <is>
          <t>2025-11-06</t>
        </is>
      </c>
      <c r="B56" s="44" t="inlineStr">
        <is>
          <t>COINBASE INC.</t>
        </is>
      </c>
      <c r="C56" s="42" t="n">
        <v>-10000</v>
      </c>
      <c r="D56" s="44" t="inlineStr">
        <is>
          <t>OUT</t>
        </is>
      </c>
      <c r="E56" s="76" t="inlineStr">
        <is>
          <t>INVESTMENT</t>
        </is>
      </c>
      <c r="F56" s="39" t="inlineStr">
        <is>
          <t>LOCKED</t>
        </is>
      </c>
      <c r="G56" s="44" t="inlineStr">
        <is>
          <t>Coinbase ACH funding</t>
        </is>
      </c>
      <c r="H56" s="44" t="inlineStr">
        <is>
          <t>no</t>
        </is>
      </c>
      <c r="I56" s="44" t="inlineStr">
        <is>
          <t>no</t>
        </is>
      </c>
      <c r="J56" s="44" t="inlineStr">
        <is>
          <t>Transfer</t>
        </is>
      </c>
      <c r="K56" s="44" t="inlineStr">
        <is>
          <t>COINBASE INC.; 450310C7; JACOB COLEY; Merchant name: COINBASE INC.</t>
        </is>
      </c>
      <c r="L56" s="14" t="inlineStr">
        <is>
          <t>Investment transfer. Not EPGC operating.</t>
        </is>
      </c>
    </row>
    <row r="57">
      <c r="A57" s="44" t="inlineStr">
        <is>
          <t>2025-11-07</t>
        </is>
      </c>
      <c r="B57" s="44" t="inlineStr">
        <is>
          <t>ERDAL DERE</t>
        </is>
      </c>
      <c r="C57" s="74" t="n">
        <v>6000</v>
      </c>
      <c r="D57" s="44" t="inlineStr">
        <is>
          <t>IN</t>
        </is>
      </c>
      <c r="E57" s="73" t="inlineStr">
        <is>
          <t>ART_SALE</t>
        </is>
      </c>
      <c r="F57" s="40" t="inlineStr">
        <is>
          <t>ASK</t>
        </is>
      </c>
      <c r="G57" s="44" t="inlineStr">
        <is>
          <t>Erdal Dere Fortuna PAYMENT $6,000 IN</t>
        </is>
      </c>
      <c r="H57" s="44" t="inlineStr">
        <is>
          <t>no</t>
        </is>
      </c>
      <c r="I57" s="44" t="inlineStr">
        <is>
          <t>no</t>
        </is>
      </c>
      <c r="J57" s="44" t="inlineStr">
        <is>
          <t>Business Income</t>
        </is>
      </c>
      <c r="K57" s="44" t="inlineStr">
        <is>
          <t>Incoming Wire; ERDAL DERE FORTUNA PAYMENT; Merchant name: ERDAL DERE</t>
        </is>
      </c>
      <c r="L57" s="14" t="inlineStr">
        <is>
          <t>Wire memo ERDAL DERE FORTUNA PAYMENT. Sale, refund of a Fortuna purchase, or other?</t>
        </is>
      </c>
    </row>
    <row r="58">
      <c r="A58" s="44" t="inlineStr">
        <is>
          <t>2025-11-12</t>
        </is>
      </c>
      <c r="B58" s="44" t="inlineStr">
        <is>
          <t>Newstar Jewelers</t>
        </is>
      </c>
      <c r="C58" s="42" t="n">
        <v>-8000</v>
      </c>
      <c r="D58" s="44" t="inlineStr">
        <is>
          <t>OUT</t>
        </is>
      </c>
      <c r="E58" s="72" t="inlineStr">
        <is>
          <t>COGS_JEWELRY</t>
        </is>
      </c>
      <c r="F58" s="39" t="inlineStr">
        <is>
          <t>LOCKED</t>
        </is>
      </c>
      <c r="G58" s="44" t="inlineStr">
        <is>
          <t>Newstar Jewelers — jewelry fabrication</t>
        </is>
      </c>
      <c r="H58" s="44" t="inlineStr">
        <is>
          <t>no</t>
        </is>
      </c>
      <c r="I58" s="44" t="inlineStr">
        <is>
          <t>no</t>
        </is>
      </c>
      <c r="J58" s="44" t="inlineStr">
        <is>
          <t xml:space="preserve">Business Expense </t>
        </is>
      </c>
      <c r="K58" s="44" t="inlineStr">
        <is>
          <t>Merchant name: Newstar Jewelers</t>
        </is>
      </c>
      <c r="L58" s="14" t="inlineStr">
        <is>
          <t>Intaglios / engraved gems / scarabs. COGS, not EPGC operating.</t>
        </is>
      </c>
    </row>
    <row r="59">
      <c r="A59" s="44" t="inlineStr">
        <is>
          <t>2025-11-14</t>
        </is>
      </c>
      <c r="B59" s="44" t="inlineStr">
        <is>
          <t>COINBASE INC.</t>
        </is>
      </c>
      <c r="C59" s="42" t="n">
        <v>-10000</v>
      </c>
      <c r="D59" s="44" t="inlineStr">
        <is>
          <t>OUT</t>
        </is>
      </c>
      <c r="E59" s="76" t="inlineStr">
        <is>
          <t>INVESTMENT</t>
        </is>
      </c>
      <c r="F59" s="39" t="inlineStr">
        <is>
          <t>LOCKED</t>
        </is>
      </c>
      <c r="G59" s="44" t="inlineStr">
        <is>
          <t>Coinbase ACH funding</t>
        </is>
      </c>
      <c r="H59" s="44" t="inlineStr">
        <is>
          <t>no</t>
        </is>
      </c>
      <c r="I59" s="44" t="inlineStr">
        <is>
          <t>no</t>
        </is>
      </c>
      <c r="J59" s="44" t="inlineStr">
        <is>
          <t>Transfer</t>
        </is>
      </c>
      <c r="K59" s="44" t="inlineStr">
        <is>
          <t>COINBASE INC.; 8DF808EA; JACOB COLEY; Merchant name: COINBASE INC.</t>
        </is>
      </c>
      <c r="L59" s="14" t="inlineStr">
        <is>
          <t>Investment transfer. Not EPGC operating.</t>
        </is>
      </c>
    </row>
    <row r="60">
      <c r="A60" s="44" t="inlineStr">
        <is>
          <t>2025-11-17</t>
        </is>
      </c>
      <c r="B60" s="44" t="inlineStr">
        <is>
          <t>COINBASE INC.</t>
        </is>
      </c>
      <c r="C60" s="42" t="n">
        <v>-10000</v>
      </c>
      <c r="D60" s="44" t="inlineStr">
        <is>
          <t>OUT</t>
        </is>
      </c>
      <c r="E60" s="76" t="inlineStr">
        <is>
          <t>INVESTMENT</t>
        </is>
      </c>
      <c r="F60" s="39" t="inlineStr">
        <is>
          <t>LOCKED</t>
        </is>
      </c>
      <c r="G60" s="44" t="inlineStr">
        <is>
          <t>Coinbase ACH funding</t>
        </is>
      </c>
      <c r="H60" s="44" t="inlineStr">
        <is>
          <t>no</t>
        </is>
      </c>
      <c r="I60" s="44" t="inlineStr">
        <is>
          <t>no</t>
        </is>
      </c>
      <c r="J60" s="44" t="inlineStr">
        <is>
          <t>Transfer</t>
        </is>
      </c>
      <c r="K60" s="44" t="inlineStr">
        <is>
          <t>COINBASE INC.; 6651A007; JACOB COLEY; Merchant name: COINBASE INC.</t>
        </is>
      </c>
      <c r="L60" s="14" t="inlineStr">
        <is>
          <t>Investment transfer. Not EPGC operating.</t>
        </is>
      </c>
    </row>
    <row r="61">
      <c r="A61" s="44" t="inlineStr">
        <is>
          <t>2025-11-24</t>
        </is>
      </c>
      <c r="B61" s="44" t="inlineStr">
        <is>
          <t>COINBASE INC.</t>
        </is>
      </c>
      <c r="C61" s="42" t="n">
        <v>-5000</v>
      </c>
      <c r="D61" s="44" t="inlineStr">
        <is>
          <t>OUT</t>
        </is>
      </c>
      <c r="E61" s="76" t="inlineStr">
        <is>
          <t>INVESTMENT</t>
        </is>
      </c>
      <c r="F61" s="39" t="inlineStr">
        <is>
          <t>LOCKED</t>
        </is>
      </c>
      <c r="G61" s="44" t="inlineStr">
        <is>
          <t>Coinbase ACH funding</t>
        </is>
      </c>
      <c r="H61" s="44" t="inlineStr">
        <is>
          <t>no</t>
        </is>
      </c>
      <c r="I61" s="44" t="inlineStr">
        <is>
          <t>no</t>
        </is>
      </c>
      <c r="J61" s="44" t="inlineStr">
        <is>
          <t>Transfer</t>
        </is>
      </c>
      <c r="K61" s="44" t="inlineStr">
        <is>
          <t>COINBASE INC.; D5957FFE; JACOB COLEY; Merchant name: COINBASE INC.</t>
        </is>
      </c>
      <c r="L61" s="14" t="inlineStr">
        <is>
          <t>Investment transfer. Not EPGC operating.</t>
        </is>
      </c>
    </row>
    <row r="62">
      <c r="A62" s="44" t="inlineStr">
        <is>
          <t>2025-12-02</t>
        </is>
      </c>
      <c r="B62" s="44" t="inlineStr">
        <is>
          <t>Wise Inc</t>
        </is>
      </c>
      <c r="C62" s="10" t="n">
        <v>-565.75</v>
      </c>
      <c r="D62" s="44" t="inlineStr">
        <is>
          <t>OUT</t>
        </is>
      </c>
      <c r="E62" s="75" t="inlineStr">
        <is>
          <t>REIMBURSE</t>
        </is>
      </c>
      <c r="F62" s="39" t="inlineStr">
        <is>
          <t>LOCKED</t>
        </is>
      </c>
      <c r="G62" s="44" t="inlineStr">
        <is>
          <t>Wise $565.75 reimbursed by EOEB</t>
        </is>
      </c>
      <c r="H62" s="44" t="inlineStr">
        <is>
          <t>no</t>
        </is>
      </c>
      <c r="I62" s="44" t="inlineStr">
        <is>
          <t>no</t>
        </is>
      </c>
      <c r="J62" s="44" t="inlineStr">
        <is>
          <t xml:space="preserve">Business Expense </t>
        </is>
      </c>
      <c r="K62" s="44" t="inlineStr">
        <is>
          <t>Wise Inc; WISE; EPGC LLC; Merchant name: Wise Inc</t>
        </is>
      </c>
      <c r="L62" s="14" t="inlineStr">
        <is>
          <t>Same-day EOEB IN $565.75. Net $0. Not EPGC expense.</t>
        </is>
      </c>
    </row>
    <row r="63">
      <c r="A63" s="44" t="inlineStr">
        <is>
          <t>2025-12-02</t>
        </is>
      </c>
      <c r="B63" s="44" t="inlineStr">
        <is>
          <t>EOEB LLC</t>
        </is>
      </c>
      <c r="C63" s="10" t="n">
        <v>565.75</v>
      </c>
      <c r="D63" s="44" t="inlineStr">
        <is>
          <t>IN</t>
        </is>
      </c>
      <c r="E63" s="75" t="inlineStr">
        <is>
          <t>REIMBURSE</t>
        </is>
      </c>
      <c r="F63" s="39" t="inlineStr">
        <is>
          <t>LOCKED</t>
        </is>
      </c>
      <c r="G63" s="44" t="inlineStr">
        <is>
          <t>EOEB reimburses Wise $565.75</t>
        </is>
      </c>
      <c r="H63" s="44" t="inlineStr">
        <is>
          <t>no</t>
        </is>
      </c>
      <c r="I63" s="44" t="inlineStr">
        <is>
          <t>no</t>
        </is>
      </c>
      <c r="J63" s="44" t="inlineStr">
        <is>
          <t>Transfer</t>
        </is>
      </c>
      <c r="K63" s="44" t="inlineStr">
        <is>
          <t>Auto-Routing transfer; Merchant name: EOEB LLC</t>
        </is>
      </c>
      <c r="L63" s="14" t="inlineStr">
        <is>
          <t>Monarch tag Reimburse. Nets with same-day Wise OUT. Not income.</t>
        </is>
      </c>
    </row>
    <row r="64">
      <c r="A64" s="44" t="inlineStr">
        <is>
          <t>2025-12-04</t>
        </is>
      </c>
      <c r="B64" s="44" t="inlineStr">
        <is>
          <t>L5</t>
        </is>
      </c>
      <c r="C64" s="74" t="n">
        <v>4700.26</v>
      </c>
      <c r="D64" s="44" t="inlineStr">
        <is>
          <t>IN</t>
        </is>
      </c>
      <c r="E64" s="40" t="inlineStr">
        <is>
          <t>ADVISORY</t>
        </is>
      </c>
      <c r="F64" s="40" t="inlineStr">
        <is>
          <t>ASK</t>
        </is>
      </c>
      <c r="G64" s="44" t="inlineStr">
        <is>
          <t>L5 — mixed unallocated (sale vs advisory)</t>
        </is>
      </c>
      <c r="H64" s="44" t="inlineStr">
        <is>
          <t>no</t>
        </is>
      </c>
      <c r="I64" s="44" t="inlineStr">
        <is>
          <t>no — ASK first</t>
        </is>
      </c>
      <c r="J64" s="44" t="inlineStr">
        <is>
          <t>Transfer</t>
        </is>
      </c>
      <c r="K64" s="44" t="inlineStr">
        <is>
          <t>Auto-Routing transfer; Merchant name: L5</t>
        </is>
      </c>
      <c r="L64" s="14" t="inlineStr">
        <is>
          <t>User 2026-09-20: L5 LLC mixed art sales AND advisory/consultant fees. Pattern confirmed; this invoice still unallocated. Do NOT dump L5 remainder $87,396.32 onto Consultant or Art Sales. Invoice-level split still ASK.</t>
        </is>
      </c>
    </row>
    <row r="65">
      <c r="A65" s="44" t="inlineStr">
        <is>
          <t>2025-12-11</t>
        </is>
      </c>
      <c r="B65" s="44" t="inlineStr">
        <is>
          <t>COINBASE INC.</t>
        </is>
      </c>
      <c r="C65" s="42" t="n">
        <v>-5000</v>
      </c>
      <c r="D65" s="44" t="inlineStr">
        <is>
          <t>OUT</t>
        </is>
      </c>
      <c r="E65" s="76" t="inlineStr">
        <is>
          <t>INVESTMENT</t>
        </is>
      </c>
      <c r="F65" s="39" t="inlineStr">
        <is>
          <t>LOCKED</t>
        </is>
      </c>
      <c r="G65" s="44" t="inlineStr">
        <is>
          <t>Coinbase ACH funding</t>
        </is>
      </c>
      <c r="H65" s="44" t="inlineStr">
        <is>
          <t>no</t>
        </is>
      </c>
      <c r="I65" s="44" t="inlineStr">
        <is>
          <t>no</t>
        </is>
      </c>
      <c r="J65" s="44" t="inlineStr">
        <is>
          <t>Transfer</t>
        </is>
      </c>
      <c r="K65" s="44" t="inlineStr">
        <is>
          <t>COINBASE INC.; DFF8E6A8; JACOB COLEY; Merchant name: COINBASE INC.</t>
        </is>
      </c>
      <c r="L65" s="14" t="inlineStr">
        <is>
          <t>Investment transfer. Not EPGC operating.</t>
        </is>
      </c>
    </row>
    <row r="66">
      <c r="A66" s="44" t="inlineStr">
        <is>
          <t>2025-12-22</t>
        </is>
      </c>
      <c r="B66" s="44" t="inlineStr">
        <is>
          <t>COINBASE INC.</t>
        </is>
      </c>
      <c r="C66" s="42" t="n">
        <v>8000</v>
      </c>
      <c r="D66" s="44" t="inlineStr">
        <is>
          <t>IN</t>
        </is>
      </c>
      <c r="E66" s="76" t="inlineStr">
        <is>
          <t>INVESTMENT</t>
        </is>
      </c>
      <c r="F66" s="39" t="inlineStr">
        <is>
          <t>LOCKED</t>
        </is>
      </c>
      <c r="G66" s="44" t="inlineStr">
        <is>
          <t>Coinbase ACH back to Mercury</t>
        </is>
      </c>
      <c r="H66" s="44" t="inlineStr">
        <is>
          <t>no</t>
        </is>
      </c>
      <c r="I66" s="44" t="inlineStr">
        <is>
          <t>no</t>
        </is>
      </c>
      <c r="J66" s="44" t="inlineStr">
        <is>
          <t>Transfer</t>
        </is>
      </c>
      <c r="K66" s="44" t="inlineStr">
        <is>
          <t>COINBASE INC.; 6B2DA6B2; JACOB COLEY; Merchant name: COINBASE INC.</t>
        </is>
      </c>
      <c r="L66" s="14" t="inlineStr">
        <is>
          <t>Investment withdrawal onto 8291. Not Art Sales / not advisory income.</t>
        </is>
      </c>
    </row>
    <row r="67">
      <c r="A67" s="44" t="inlineStr">
        <is>
          <t>2025-12-24</t>
        </is>
      </c>
      <c r="B67" s="44" t="inlineStr">
        <is>
          <t>Newstar Jewelers</t>
        </is>
      </c>
      <c r="C67" s="42" t="n">
        <v>-7581</v>
      </c>
      <c r="D67" s="44" t="inlineStr">
        <is>
          <t>OUT</t>
        </is>
      </c>
      <c r="E67" s="72" t="inlineStr">
        <is>
          <t>COGS_JEWELRY</t>
        </is>
      </c>
      <c r="F67" s="39" t="inlineStr">
        <is>
          <t>LOCKED</t>
        </is>
      </c>
      <c r="G67" s="44" t="inlineStr">
        <is>
          <t>Newstar Jewelers — jewelry fabrication (3 of 3)</t>
        </is>
      </c>
      <c r="H67" s="44" t="inlineStr">
        <is>
          <t>no</t>
        </is>
      </c>
      <c r="I67" s="44" t="inlineStr">
        <is>
          <t>no</t>
        </is>
      </c>
      <c r="J67" s="44" t="inlineStr">
        <is>
          <t xml:space="preserve">Business Expense </t>
        </is>
      </c>
      <c r="K67" s="44" t="inlineStr">
        <is>
          <t>From EPGC LLC via mercury.com 3 of 3; Merchant name: Newstar Jewelers</t>
        </is>
      </c>
      <c r="L67" s="14" t="inlineStr">
        <is>
          <t>Mercury.com ‘3 of 3’. Intaglios / engraved gems / scarabs. COGS, not EPGC operating.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2026-09-20T13:37:53Z</dcterms:created>
  <dcterms:modified xsi:type="dcterms:W3CDTF">2026-09-20T13:37:54Z</dcterms:modified>
</cp:coreProperties>
</file>