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SOURCE_2025" sheetId="1" state="visible" r:id="rId1"/>
    <sheet name="CC_LEDGER" sheetId="2" state="visible" r:id="rId2"/>
    <sheet name="ASK" sheetId="3" state="visible" r:id="rId3"/>
    <sheet name="INFLOW_LEDGER" sheetId="4" state="visible" r:id="rId4"/>
    <sheet name="SF_SPLIT" sheetId="5" state="visible" r:id="rId5"/>
    <sheet name="HOME_SPLIT" sheetId="6" state="visible" r:id="rId6"/>
    <sheet name="Income" sheetId="7" state="visible" r:id="rId7"/>
    <sheet name="524 Ferdinand Ave, Unit 2" sheetId="8" state="visible" r:id="rId8"/>
    <sheet name="524 Ferdinand Ave, Unit 1" sheetId="9" state="visible" r:id="rId9"/>
    <sheet name="216 N. Oak Park Ave" sheetId="10" state="visible" r:id="rId10"/>
    <sheet name="EPGC LLC" sheetId="11" state="visible" r:id="rId11"/>
    <sheet name="Art Sales and Purchases" sheetId="12" state="visible" r:id="rId12"/>
    <sheet name="GCM" sheetId="13" state="visible" r:id="rId13"/>
    <sheet name="Hindman W2" sheetId="14" state="visible" r:id="rId14"/>
    <sheet name="Megan T4" sheetId="15" state="visible" r:id="rId15"/>
    <sheet name="Investments" sheetId="16" state="visible" r:id="rId16"/>
    <sheet name="524 Home Sale" sheetId="17" state="visible" r:id="rId17"/>
    <sheet name="827 Grove CapEx" sheetId="18" state="visible" r:id="rId18"/>
    <sheet name="Childcare 2441" sheetId="19" state="visible" r:id="rId19"/>
  </sheets>
  <definedNames>
    <definedName name="_xlnm._FilterDatabase" localSheetId="1" hidden="1">'CC_LEDGER'!$A$3:$H$104</definedName>
    <definedName name="_xlnm._FilterDatabase" localSheetId="3" hidden="1">'INFLOW_LEDGER'!$A$4:$H$40</definedName>
  </definedNames>
  <calcPr calcId="124519" fullCalcOnLoad="1"/>
</workbook>
</file>

<file path=xl/styles.xml><?xml version="1.0" encoding="utf-8"?>
<styleSheet xmlns="http://schemas.openxmlformats.org/spreadsheetml/2006/main">
  <numFmts count="2">
    <numFmt numFmtId="164" formatCode="yyyy-mm-dd h:mm:ss"/>
    <numFmt numFmtId="165" formatCode="&quot;$&quot;#,##0.00"/>
  </numFmts>
  <fonts count="9">
    <font>
      <name val="Calibri"/>
      <family val="2"/>
      <color theme="1"/>
      <sz val="11"/>
      <scheme val="minor"/>
    </font>
    <font>
      <b val="1"/>
      <color rgb="001F4E79"/>
      <sz val="14"/>
    </font>
    <font>
      <b val="1"/>
      <color rgb="00FFFFFF"/>
    </font>
    <font>
      <b val="1"/>
      <color rgb="001F4E79"/>
      <sz val="12"/>
    </font>
    <font>
      <b val="1"/>
      <color rgb="001F4E79"/>
    </font>
    <font/>
    <font>
      <b val="1"/>
      <sz val="14"/>
    </font>
    <font>
      <b val="1"/>
    </font>
    <font>
      <b val="1"/>
      <color rgb="009C5700"/>
      <sz val="14"/>
    </font>
  </fonts>
  <fills count="11">
    <fill>
      <patternFill/>
    </fill>
    <fill>
      <patternFill patternType="gray125"/>
    </fill>
    <fill>
      <patternFill patternType="solid">
        <fgColor rgb="00D6EAF8"/>
      </patternFill>
    </fill>
    <fill>
      <patternFill patternType="solid">
        <fgColor rgb="00D5F5E3"/>
      </patternFill>
    </fill>
    <fill>
      <patternFill patternType="solid">
        <fgColor rgb="00FFF2CC"/>
      </patternFill>
    </fill>
    <fill>
      <patternFill patternType="solid">
        <fgColor rgb="001F4E79"/>
      </patternFill>
    </fill>
    <fill>
      <patternFill patternType="solid">
        <fgColor rgb="00C6EFCE"/>
      </patternFill>
    </fill>
    <fill>
      <patternFill patternType="solid">
        <fgColor rgb="00F2F2F2"/>
      </patternFill>
    </fill>
    <fill>
      <patternFill patternType="solid">
        <fgColor rgb="00DDEBF7"/>
      </patternFill>
    </fill>
    <fill>
      <patternFill patternType="solid">
        <fgColor rgb="00E2EFDA"/>
      </patternFill>
    </fill>
    <fill>
      <patternFill patternType="solid">
        <fgColor rgb="00FCE4D6"/>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56">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2" fillId="5" borderId="0" pivotButton="0" quotePrefix="0" xfId="0"/>
    <xf numFmtId="0" fontId="3" fillId="0" borderId="0" pivotButton="0" quotePrefix="0" xfId="0"/>
    <xf numFmtId="0" fontId="4" fillId="0" borderId="0" pivotButton="0" quotePrefix="0" xfId="0"/>
    <xf numFmtId="164" fontId="0" fillId="0" borderId="0" pivotButton="0" quotePrefix="0" xfId="0"/>
    <xf numFmtId="0" fontId="6" fillId="0" borderId="0" pivotButton="0" quotePrefix="0" xfId="0"/>
    <xf numFmtId="0" fontId="2" fillId="5" borderId="1" pivotButton="0" quotePrefix="0" xfId="0"/>
    <xf numFmtId="0" fontId="0" fillId="6" borderId="1" pivotButton="0" quotePrefix="0" xfId="0"/>
    <xf numFmtId="2" fontId="0" fillId="6" borderId="1" pivotButton="0" quotePrefix="0" xfId="0"/>
    <xf numFmtId="0" fontId="0" fillId="7" borderId="1" pivotButton="0" quotePrefix="0" xfId="0"/>
    <xf numFmtId="0" fontId="0" fillId="4" borderId="1" pivotButton="0" quotePrefix="0" xfId="0"/>
    <xf numFmtId="2" fontId="0" fillId="4" borderId="1" pivotButton="0" quotePrefix="0" xfId="0"/>
    <xf numFmtId="2" fontId="0" fillId="7" borderId="1" pivotButton="0" quotePrefix="0" xfId="0"/>
    <xf numFmtId="0" fontId="0" fillId="4" borderId="1" applyAlignment="1" pivotButton="0" quotePrefix="0" xfId="0">
      <alignment vertical="top" wrapText="1"/>
    </xf>
    <xf numFmtId="0" fontId="0" fillId="5" borderId="0" pivotButton="0" quotePrefix="0" xfId="0"/>
    <xf numFmtId="0" fontId="0" fillId="6" borderId="0" pivotButton="0" quotePrefix="0" xfId="0"/>
    <xf numFmtId="165" fontId="0" fillId="6" borderId="0" pivotButton="0" quotePrefix="0" xfId="0"/>
    <xf numFmtId="2" fontId="0" fillId="4" borderId="0" pivotButton="0" quotePrefix="0" xfId="0"/>
    <xf numFmtId="2" fontId="0" fillId="6" borderId="0" pivotButton="0" quotePrefix="0" xfId="0"/>
    <xf numFmtId="0" fontId="0" fillId="4" borderId="0" applyAlignment="1" pivotButton="0" quotePrefix="0" xfId="0">
      <alignment wrapText="1"/>
    </xf>
    <xf numFmtId="0" fontId="5" fillId="0" borderId="0" pivotButton="0" quotePrefix="0" xfId="0"/>
    <xf numFmtId="2" fontId="0" fillId="0" borderId="0" pivotButton="0" quotePrefix="0" xfId="0"/>
    <xf numFmtId="0" fontId="0" fillId="0" borderId="0" applyAlignment="1" pivotButton="0" quotePrefix="0" xfId="0">
      <alignment wrapText="1"/>
    </xf>
    <xf numFmtId="0" fontId="0" fillId="6" borderId="1" applyAlignment="1" pivotButton="0" quotePrefix="0" xfId="0">
      <alignment vertical="center" wrapText="1"/>
    </xf>
    <xf numFmtId="165" fontId="0" fillId="6" borderId="1" applyAlignment="1" pivotButton="0" quotePrefix="0" xfId="0">
      <alignment vertical="center" wrapText="1"/>
    </xf>
    <xf numFmtId="0" fontId="7" fillId="0" borderId="0" pivotButton="0" quotePrefix="0" xfId="0"/>
    <xf numFmtId="165" fontId="0" fillId="6" borderId="1" pivotButton="0" quotePrefix="0" xfId="0"/>
    <xf numFmtId="0" fontId="0" fillId="9" borderId="1" pivotButton="0" quotePrefix="0" xfId="0"/>
    <xf numFmtId="2" fontId="0" fillId="9" borderId="1" pivotButton="0" quotePrefix="0" xfId="0"/>
    <xf numFmtId="0" fontId="0" fillId="10" borderId="1" pivotButton="0" quotePrefix="0" xfId="0"/>
    <xf numFmtId="2" fontId="0" fillId="10" borderId="1" pivotButton="0" quotePrefix="0" xfId="0"/>
    <xf numFmtId="0" fontId="0" fillId="8" borderId="1" pivotButton="0" quotePrefix="0" xfId="0"/>
    <xf numFmtId="2" fontId="0" fillId="8" borderId="1" pivotButton="0" quotePrefix="0" xfId="0"/>
    <xf numFmtId="0" fontId="8" fillId="10" borderId="0" pivotButton="0" quotePrefix="0" xfId="0"/>
    <xf numFmtId="0" fontId="0" fillId="10" borderId="0" applyAlignment="1" pivotButton="0" quotePrefix="0" xfId="0">
      <alignment wrapText="1"/>
    </xf>
    <xf numFmtId="0" fontId="0" fillId="6" borderId="1" applyAlignment="1" pivotButton="0" quotePrefix="0" xfId="0">
      <alignment vertical="top" wrapText="1"/>
    </xf>
    <xf numFmtId="0" fontId="0" fillId="10" borderId="1" applyAlignment="1" pivotButton="0" quotePrefix="0" xfId="0">
      <alignment vertical="top" wrapText="1"/>
    </xf>
    <xf numFmtId="0" fontId="0" fillId="7" borderId="0" pivotButton="0" quotePrefix="0" xfId="0"/>
    <xf numFmtId="165" fontId="0" fillId="7" borderId="0" pivotButton="0" quotePrefix="0" xfId="0"/>
    <xf numFmtId="0" fontId="0" fillId="8" borderId="0" pivotButton="0" quotePrefix="0" xfId="0"/>
    <xf numFmtId="165" fontId="0" fillId="8" borderId="0" pivotButton="0" quotePrefix="0" xfId="0"/>
    <xf numFmtId="0" fontId="0" fillId="10" borderId="0" pivotButton="0" quotePrefix="0" xfId="0"/>
    <xf numFmtId="165" fontId="0" fillId="10" borderId="0" pivotButton="0" quotePrefix="0" xfId="0"/>
    <xf numFmtId="165" fontId="0" fillId="4" borderId="0" pivotButton="0" quotePrefix="0" xfId="0"/>
    <xf numFmtId="0" fontId="0" fillId="0" borderId="1" pivotButton="0" quotePrefix="0" xfId="0"/>
    <xf numFmtId="2" fontId="0" fillId="0" borderId="1" pivotButton="0" quotePrefix="0" xfId="0"/>
    <xf numFmtId="165" fontId="2" fillId="5" borderId="0" pivotButton="0" quotePrefix="0" xfId="0"/>
    <xf numFmtId="0" fontId="7" fillId="8" borderId="0" pivotButton="0" quotePrefix="0" xfId="0"/>
    <xf numFmtId="165" fontId="7" fillId="8" borderId="0" pivotButton="0" quotePrefix="0" xfId="0"/>
    <xf numFmtId="165" fontId="2" fillId="5" borderId="1" pivotButton="0" quotePrefix="0" xfId="0"/>
    <xf numFmtId="165" fontId="7" fillId="4" borderId="1" pivotButton="0" quotePrefix="0" xfId="0"/>
    <xf numFmtId="165" fontId="7"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70" customWidth="1" min="2" max="2"/>
  </cols>
  <sheetData>
    <row r="1">
      <c r="A1" s="1" t="inlineStr">
        <is>
          <t>PERSONAL INCOME 2025 — TAX TURBO (CPA workbook)</t>
        </is>
      </c>
    </row>
    <row r="2">
      <c r="A2" t="inlineStr">
        <is>
          <t>Same tab model as prior Personal Income.xlsx: Income, property P&amp;Ls with monthly EXPENSES, EPGC, Art Sales (COGS=Cost).</t>
        </is>
      </c>
    </row>
    <row r="3">
      <c r="A3" t="inlineStr">
        <is>
          <t>Green = filled from Monarch/platform/docs. Yellow = TBD for you/CPA. Not tax advice.</t>
        </is>
      </c>
    </row>
    <row r="4">
      <c r="A4" t="inlineStr">
        <is>
          <t>Status checklist on Drive is NOT this workbook — open these tabs for expenses &amp; COGS.</t>
        </is>
      </c>
    </row>
    <row r="6">
      <c r="A6" t="inlineStr">
        <is>
          <t>Tab</t>
        </is>
      </c>
      <c r="B6" t="inlineStr">
        <is>
          <t>Contents</t>
        </is>
      </c>
    </row>
    <row r="7">
      <c r="A7" t="inlineStr">
        <is>
          <t>Income</t>
        </is>
      </c>
      <c r="B7" t="inlineStr">
        <is>
          <t>Year summary Projected/Actual including 2025</t>
        </is>
      </c>
    </row>
    <row r="8">
      <c r="A8" t="inlineStr">
        <is>
          <t>524 Ferdinand Ave, Unit 2</t>
        </is>
      </c>
      <c r="B8" t="inlineStr">
        <is>
          <t>STR monthly income + expense lines (fees/utilities/etc.)</t>
        </is>
      </c>
    </row>
    <row r="9">
      <c r="A9" t="inlineStr">
        <is>
          <t>524 Ferdinand Ave, Unit 1</t>
        </is>
      </c>
      <c r="B9" t="inlineStr">
        <is>
          <t>Residence portion through sale 12/18 — mostly TBD</t>
        </is>
      </c>
    </row>
    <row r="10">
      <c r="A10" t="inlineStr">
        <is>
          <t>216 N. Oak Park Ave</t>
        </is>
      </c>
      <c r="B10" t="inlineStr">
        <is>
          <t>LTR P&amp;L — HOA + mortgage cash prefilled</t>
        </is>
      </c>
    </row>
    <row r="11">
      <c r="A11" t="inlineStr">
        <is>
          <t>EPGC LLC</t>
        </is>
      </c>
      <c r="B11" t="inlineStr">
        <is>
          <t>Business income/expenses monthly + COGS note</t>
        </is>
      </c>
    </row>
    <row r="12">
      <c r="A12" t="inlineStr">
        <is>
          <t>Art Sales and Purchases</t>
        </is>
      </c>
      <c r="B12" t="inlineStr">
        <is>
          <t>Object-level Cost (COGS) / Sale Price / Net</t>
        </is>
      </c>
    </row>
    <row r="13">
      <c r="A13" t="inlineStr">
        <is>
          <t>GCM / Hindman W2 / Megan T4</t>
        </is>
      </c>
      <c r="B13" t="inlineStr">
        <is>
          <t>Board 1099 + W-2 deposit stubs</t>
        </is>
      </c>
    </row>
    <row r="14">
      <c r="A14" t="inlineStr">
        <is>
          <t>524 Home Sale / 827 Grove CapEx / Childcare 2441</t>
        </is>
      </c>
      <c r="B14" t="inlineStr">
        <is>
          <t>Event helpers</t>
        </is>
      </c>
    </row>
    <row r="16">
      <c r="A16" t="inlineStr">
        <is>
          <t>CC answers 2026-09-18</t>
        </is>
      </c>
      <c r="B16" t="inlineStr">
        <is>
          <t>Q1–4 CONFIRMED. Grove Collaborative (not 827 N Grove) → 524 Unit 2 SUPPLIES $791.21. March HD → 524 repairs 50/50. Remaining HD/Lowe’s/IKEA 1/3 524 / 1/3 personal / 1/3 827 N Grove the house. ComEd yellow — REMIND JACOB: double-check with Megan (checking ACH or extra check). Canva + Park Chicago + Field Museum $53 EPGC. Frame Up framing + LAMA/Hindman inventory. Soldier Field parking $57 and Extra Space $360 still HOLD. Not tax advice.</t>
        </is>
      </c>
    </row>
    <row r="18">
      <c r="A18" t="inlineStr">
        <is>
          <t>Childcare Form 2441 Part I</t>
        </is>
      </c>
      <c r="B18" s="19" t="inlineStr">
        <is>
          <t>La Casa Montessori School; EIN 45-5289483; 608 Harrison St, Oak Park, IL 60304 — LOCKED 2026-09-18</t>
        </is>
      </c>
    </row>
    <row r="19">
      <c r="A19" s="4" t="inlineStr">
        <is>
          <t>REMIND JACOB</t>
        </is>
      </c>
      <c r="B19" s="4" t="inlineStr">
        <is>
          <t>Double-check ComEd with Megan — paid from checking ACH (and/or a check); confirm meters and whether any extra direct/check payments exist.</t>
        </is>
      </c>
    </row>
    <row r="20">
      <c r="A20" s="4" t="inlineStr">
        <is>
          <t>State Farm 2026-09-18</t>
        </is>
      </c>
      <c r="B20" s="4" t="inlineStr">
        <is>
          <t>Bundled home+auto (was Travelers home / Geico auto). HOME share $1105.46 on 524 INSURANCE 50/50 U1/U2 (yellow proxy from Feb $157.53/$145.25). AUTO share $1019.33 + Geico credit $540.89 EXCLUDED personal. No 2025 Travelers found. No Sep–Dec SF on Prime. Not tax advice.</t>
        </is>
      </c>
    </row>
    <row r="21">
      <c r="A21" s="19" t="inlineStr">
        <is>
          <t>Grove Collaborative 2026-09-18</t>
        </is>
      </c>
      <c r="B21" s="19" t="inlineStr">
        <is>
          <t>User: “grove orders” = Grove Collaborative, not 827 N Grove the house. Prime $791.21 already on 524 Unit 2 SUPPLIES (8 charges). HD/Lowe’s/IKEA 1/3 $604.12 stays on 827 N Grove the house (Q5), not mixed into Grove Collaborative. Betty’s Pizza / KS Grove is personal dining. Not tax advice.</t>
        </is>
      </c>
    </row>
    <row r="22">
      <c r="A22" s="19" t="inlineStr">
        <is>
          <t>Checking inflows 2026-09-18</t>
        </is>
      </c>
      <c r="B22" s="23" t="inlineStr">
        <is>
          <t>JSC 9922 + joint 0203 full-year eStmts. GCM BOM $21500.00 → EPGC Consultant. Reimburse $5214.69 excluded. 216 Oak Park rent cash $19500.00 (Delach / Ava yellow / Joan yellow). Bear Creek $38000.00 + UTMA Thomas $10000.00 not income. Freeman’s CIBC $11,000 HOLD. Not tax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6"/>
  <sheetViews>
    <sheetView workbookViewId="0">
      <pane ySplit="3" topLeftCell="A4" activePane="bottomLeft" state="frozen"/>
      <selection pane="bottomLeft" activeCell="A1" sqref="A1"/>
    </sheetView>
  </sheetViews>
  <sheetFormatPr baseColWidth="8" defaultRowHeight="15"/>
  <cols>
    <col width="18" customWidth="1" min="1" max="1"/>
    <col width="16" customWidth="1" min="2" max="2"/>
    <col width="48" customWidth="1" min="3" max="3"/>
    <col width="12" customWidth="1" min="4" max="4"/>
    <col width="32" customWidth="1" min="5" max="5"/>
    <col width="18" customWidth="1" min="6" max="6"/>
    <col width="14" customWidth="1" min="7" max="7"/>
    <col width="78" customWidth="1" min="8" max="8"/>
  </cols>
  <sheetData>
    <row r="1">
      <c r="A1" s="9" t="inlineStr">
        <is>
          <t>2025 credit-card ledger after 2026-09-18 answers — not tax advice</t>
        </is>
      </c>
    </row>
    <row r="3">
      <c r="A3" s="10" t="inlineStr">
        <is>
          <t>Card</t>
        </is>
      </c>
      <c r="B3" s="10" t="inlineStr">
        <is>
          <t>Date</t>
        </is>
      </c>
      <c r="C3" s="10" t="inlineStr">
        <is>
          <t>Merchant / item</t>
        </is>
      </c>
      <c r="D3" s="10" t="inlineStr">
        <is>
          <t>Amount</t>
        </is>
      </c>
      <c r="E3" s="10" t="inlineStr">
        <is>
          <t>Prior-Excel category</t>
        </is>
      </c>
      <c r="F3" s="10" t="inlineStr">
        <is>
          <t>Tab</t>
        </is>
      </c>
      <c r="G3" s="10" t="inlineStr">
        <is>
          <t>Status</t>
        </is>
      </c>
      <c r="H3" s="10" t="inlineStr">
        <is>
          <t>Note</t>
        </is>
      </c>
    </row>
    <row r="4">
      <c r="A4" s="11" t="inlineStr">
        <is>
          <t>BoA 4469</t>
        </is>
      </c>
      <c r="B4" s="11" t="inlineStr">
        <is>
          <t>2025-01-31</t>
        </is>
      </c>
      <c r="C4" s="11" t="inlineStr">
        <is>
          <t>OPENAI CHATGPT</t>
        </is>
      </c>
      <c r="D4" s="12" t="n">
        <v>20</v>
      </c>
      <c r="E4" s="11" t="inlineStr">
        <is>
          <t>Software Fees</t>
        </is>
      </c>
      <c r="F4" s="11" t="inlineStr">
        <is>
          <t>EPGC LLC</t>
        </is>
      </c>
      <c r="G4" s="11" t="inlineStr">
        <is>
          <t>APPLIED</t>
        </is>
      </c>
      <c r="H4" s="11" t="inlineStr">
        <is>
          <t>Matches 2024 Software Fees pattern</t>
        </is>
      </c>
    </row>
    <row r="5">
      <c r="A5" s="11" t="inlineStr">
        <is>
          <t>BoA 4469</t>
        </is>
      </c>
      <c r="B5" s="11" t="inlineStr">
        <is>
          <t>2025-02-28</t>
        </is>
      </c>
      <c r="C5" s="11" t="inlineStr">
        <is>
          <t>OPENAI CHATGPT</t>
        </is>
      </c>
      <c r="D5" s="12" t="n">
        <v>20</v>
      </c>
      <c r="E5" s="11" t="inlineStr">
        <is>
          <t>Software Fees</t>
        </is>
      </c>
      <c r="F5" s="11" t="inlineStr">
        <is>
          <t>EPGC LLC</t>
        </is>
      </c>
      <c r="G5" s="11" t="inlineStr">
        <is>
          <t>APPLIED</t>
        </is>
      </c>
      <c r="H5" s="11" t="inlineStr"/>
    </row>
    <row r="6">
      <c r="A6" s="11" t="inlineStr">
        <is>
          <t>BoA 4469</t>
        </is>
      </c>
      <c r="B6" s="11" t="inlineStr">
        <is>
          <t>2025-03-31</t>
        </is>
      </c>
      <c r="C6" s="11" t="inlineStr">
        <is>
          <t>OPENAI CHATGPT</t>
        </is>
      </c>
      <c r="D6" s="12" t="n">
        <v>20</v>
      </c>
      <c r="E6" s="11" t="inlineStr">
        <is>
          <t>Software Fees</t>
        </is>
      </c>
      <c r="F6" s="11" t="inlineStr">
        <is>
          <t>EPGC LLC</t>
        </is>
      </c>
      <c r="G6" s="11" t="inlineStr">
        <is>
          <t>APPLIED</t>
        </is>
      </c>
      <c r="H6" s="11" t="inlineStr"/>
    </row>
    <row r="7">
      <c r="A7" s="11" t="inlineStr">
        <is>
          <t>BoA 4469</t>
        </is>
      </c>
      <c r="B7" s="11" t="inlineStr">
        <is>
          <t>2025-04-30</t>
        </is>
      </c>
      <c r="C7" s="11" t="inlineStr">
        <is>
          <t>OPENAI CHATGPT</t>
        </is>
      </c>
      <c r="D7" s="12" t="n">
        <v>20</v>
      </c>
      <c r="E7" s="11" t="inlineStr">
        <is>
          <t>Software Fees</t>
        </is>
      </c>
      <c r="F7" s="11" t="inlineStr">
        <is>
          <t>EPGC LLC</t>
        </is>
      </c>
      <c r="G7" s="11" t="inlineStr">
        <is>
          <t>APPLIED</t>
        </is>
      </c>
      <c r="H7" s="11" t="inlineStr"/>
    </row>
    <row r="8">
      <c r="A8" s="11" t="inlineStr">
        <is>
          <t>BoA 4469</t>
        </is>
      </c>
      <c r="B8" s="11" t="inlineStr">
        <is>
          <t>2025-05-31</t>
        </is>
      </c>
      <c r="C8" s="11" t="inlineStr">
        <is>
          <t>OPENAI CHATGPT</t>
        </is>
      </c>
      <c r="D8" s="12" t="n">
        <v>20</v>
      </c>
      <c r="E8" s="11" t="inlineStr">
        <is>
          <t>Software Fees</t>
        </is>
      </c>
      <c r="F8" s="11" t="inlineStr">
        <is>
          <t>EPGC LLC</t>
        </is>
      </c>
      <c r="G8" s="11" t="inlineStr">
        <is>
          <t>APPLIED</t>
        </is>
      </c>
      <c r="H8" s="11" t="inlineStr"/>
    </row>
    <row r="9">
      <c r="A9" s="11" t="inlineStr">
        <is>
          <t>BoA 4469</t>
        </is>
      </c>
      <c r="B9" s="11" t="inlineStr">
        <is>
          <t>2025-06-30</t>
        </is>
      </c>
      <c r="C9" s="11" t="inlineStr">
        <is>
          <t>OPENAI CHATGPT</t>
        </is>
      </c>
      <c r="D9" s="12" t="n">
        <v>20</v>
      </c>
      <c r="E9" s="11" t="inlineStr">
        <is>
          <t>Software Fees</t>
        </is>
      </c>
      <c r="F9" s="11" t="inlineStr">
        <is>
          <t>EPGC LLC</t>
        </is>
      </c>
      <c r="G9" s="11" t="inlineStr">
        <is>
          <t>APPLIED</t>
        </is>
      </c>
      <c r="H9" s="11" t="inlineStr"/>
    </row>
    <row r="10">
      <c r="A10" s="11" t="inlineStr">
        <is>
          <t>BoA 4469</t>
        </is>
      </c>
      <c r="B10" s="11" t="inlineStr">
        <is>
          <t>2025-07-31</t>
        </is>
      </c>
      <c r="C10" s="11" t="inlineStr">
        <is>
          <t>OPENAI CHATGPT</t>
        </is>
      </c>
      <c r="D10" s="12" t="n">
        <v>20</v>
      </c>
      <c r="E10" s="11" t="inlineStr">
        <is>
          <t>Software Fees</t>
        </is>
      </c>
      <c r="F10" s="11" t="inlineStr">
        <is>
          <t>EPGC LLC</t>
        </is>
      </c>
      <c r="G10" s="11" t="inlineStr">
        <is>
          <t>APPLIED</t>
        </is>
      </c>
      <c r="H10" s="11" t="inlineStr"/>
    </row>
    <row r="11">
      <c r="A11" s="11" t="inlineStr">
        <is>
          <t>BoA 4469</t>
        </is>
      </c>
      <c r="B11" s="11" t="inlineStr">
        <is>
          <t>2025-09-01</t>
        </is>
      </c>
      <c r="C11" s="11" t="inlineStr">
        <is>
          <t>OPENAI CHATGPT</t>
        </is>
      </c>
      <c r="D11" s="12" t="n">
        <v>20</v>
      </c>
      <c r="E11" s="11" t="inlineStr">
        <is>
          <t>Software Fees</t>
        </is>
      </c>
      <c r="F11" s="11" t="inlineStr">
        <is>
          <t>EPGC LLC</t>
        </is>
      </c>
      <c r="G11" s="11" t="inlineStr">
        <is>
          <t>APPLIED</t>
        </is>
      </c>
      <c r="H11" s="11" t="inlineStr">
        <is>
          <t>Cash Sep (Aug period)</t>
        </is>
      </c>
    </row>
    <row r="12">
      <c r="A12" s="11" t="inlineStr">
        <is>
          <t>BoA 4469</t>
        </is>
      </c>
      <c r="B12" s="11" t="inlineStr">
        <is>
          <t>2025-09-30</t>
        </is>
      </c>
      <c r="C12" s="11" t="inlineStr">
        <is>
          <t>OPENAI CHATGPT</t>
        </is>
      </c>
      <c r="D12" s="12" t="n">
        <v>20</v>
      </c>
      <c r="E12" s="11" t="inlineStr">
        <is>
          <t>Software Fees</t>
        </is>
      </c>
      <c r="F12" s="11" t="inlineStr">
        <is>
          <t>EPGC LLC</t>
        </is>
      </c>
      <c r="G12" s="11" t="inlineStr">
        <is>
          <t>APPLIED</t>
        </is>
      </c>
      <c r="H12" s="11" t="inlineStr"/>
    </row>
    <row r="13">
      <c r="A13" s="11" t="inlineStr">
        <is>
          <t>BoA 4469</t>
        </is>
      </c>
      <c r="B13" s="11" t="inlineStr">
        <is>
          <t>2025-10-31</t>
        </is>
      </c>
      <c r="C13" s="11" t="inlineStr">
        <is>
          <t>OPENAI CHATGPT</t>
        </is>
      </c>
      <c r="D13" s="12" t="n">
        <v>20</v>
      </c>
      <c r="E13" s="11" t="inlineStr">
        <is>
          <t>Software Fees</t>
        </is>
      </c>
      <c r="F13" s="11" t="inlineStr">
        <is>
          <t>EPGC LLC</t>
        </is>
      </c>
      <c r="G13" s="11" t="inlineStr">
        <is>
          <t>APPLIED</t>
        </is>
      </c>
      <c r="H13" s="11" t="inlineStr"/>
    </row>
    <row r="14">
      <c r="A14" s="11" t="inlineStr">
        <is>
          <t>BoA 4469</t>
        </is>
      </c>
      <c r="B14" s="11" t="inlineStr">
        <is>
          <t>2025-12-01</t>
        </is>
      </c>
      <c r="C14" s="11" t="inlineStr">
        <is>
          <t>OPENAI CHATGPT</t>
        </is>
      </c>
      <c r="D14" s="12" t="n">
        <v>20</v>
      </c>
      <c r="E14" s="11" t="inlineStr">
        <is>
          <t>Software Fees</t>
        </is>
      </c>
      <c r="F14" s="11" t="inlineStr">
        <is>
          <t>EPGC LLC</t>
        </is>
      </c>
      <c r="G14" s="11" t="inlineStr">
        <is>
          <t>APPLIED</t>
        </is>
      </c>
      <c r="H14" s="11" t="inlineStr">
        <is>
          <t>Cash Dec (Nov period)</t>
        </is>
      </c>
    </row>
    <row r="15">
      <c r="A15" s="11" t="inlineStr">
        <is>
          <t>BoA 4469</t>
        </is>
      </c>
      <c r="B15" s="11" t="inlineStr">
        <is>
          <t>2025-12-31</t>
        </is>
      </c>
      <c r="C15" s="11" t="inlineStr">
        <is>
          <t>OPENAI CHATGPT</t>
        </is>
      </c>
      <c r="D15" s="12" t="n">
        <v>20</v>
      </c>
      <c r="E15" s="11" t="inlineStr">
        <is>
          <t>Software Fees</t>
        </is>
      </c>
      <c r="F15" s="11" t="inlineStr">
        <is>
          <t>EPGC LLC</t>
        </is>
      </c>
      <c r="G15" s="11" t="inlineStr">
        <is>
          <t>APPLIED</t>
        </is>
      </c>
      <c r="H15" s="11" t="inlineStr"/>
    </row>
    <row r="16">
      <c r="A16" s="11" t="inlineStr">
        <is>
          <t>BoA 4469</t>
        </is>
      </c>
      <c r="B16" s="11" t="inlineStr">
        <is>
          <t>2025-01-13</t>
        </is>
      </c>
      <c r="C16" s="11" t="inlineStr">
        <is>
          <t>GOOGLE One</t>
        </is>
      </c>
      <c r="D16" s="12" t="n">
        <v>2.17</v>
      </c>
      <c r="E16" s="11" t="inlineStr">
        <is>
          <t>Software Fees</t>
        </is>
      </c>
      <c r="F16" s="11" t="inlineStr">
        <is>
          <t>EPGC LLC</t>
        </is>
      </c>
      <c r="G16" s="11" t="inlineStr">
        <is>
          <t>APPLIED</t>
        </is>
      </c>
      <c r="H16" s="11" t="inlineStr">
        <is>
          <t>x12 months</t>
        </is>
      </c>
    </row>
    <row r="17">
      <c r="A17" s="11" t="inlineStr">
        <is>
          <t>BoA 4469</t>
        </is>
      </c>
      <c r="B17" s="11" t="inlineStr">
        <is>
          <t>2025-03-18</t>
        </is>
      </c>
      <c r="C17" s="11" t="inlineStr">
        <is>
          <t>Tailor Brands</t>
        </is>
      </c>
      <c r="D17" s="12" t="n">
        <v>300</v>
      </c>
      <c r="E17" s="11" t="inlineStr">
        <is>
          <t>Advertising</t>
        </is>
      </c>
      <c r="F17" s="11" t="inlineStr">
        <is>
          <t>EPGC LLC</t>
        </is>
      </c>
      <c r="G17" s="11" t="inlineStr">
        <is>
          <t>APPLIED</t>
        </is>
      </c>
      <c r="H17" s="11" t="inlineStr">
        <is>
          <t>Brand/logo — prior Advertising</t>
        </is>
      </c>
    </row>
    <row r="18">
      <c r="A18" s="11" t="inlineStr">
        <is>
          <t>BoA 4469</t>
        </is>
      </c>
      <c r="B18" s="11" t="inlineStr">
        <is>
          <t>2025-03-28</t>
        </is>
      </c>
      <c r="C18" s="11" t="inlineStr">
        <is>
          <t>Tailor Brands</t>
        </is>
      </c>
      <c r="D18" s="12" t="n">
        <v>227.99</v>
      </c>
      <c r="E18" s="11" t="inlineStr">
        <is>
          <t>Advertising</t>
        </is>
      </c>
      <c r="F18" s="11" t="inlineStr">
        <is>
          <t>EPGC LLC</t>
        </is>
      </c>
      <c r="G18" s="11" t="inlineStr">
        <is>
          <t>APPLIED</t>
        </is>
      </c>
      <c r="H18" s="11" t="inlineStr"/>
    </row>
    <row r="19">
      <c r="A19" s="11" t="inlineStr">
        <is>
          <t>BoA 4469</t>
        </is>
      </c>
      <c r="B19" s="11" t="inlineStr">
        <is>
          <t>2025-03-28</t>
        </is>
      </c>
      <c r="C19" s="11" t="inlineStr">
        <is>
          <t>Tailor Brands</t>
        </is>
      </c>
      <c r="D19" s="12" t="n">
        <v>227.99</v>
      </c>
      <c r="E19" s="11" t="inlineStr">
        <is>
          <t>Advertising</t>
        </is>
      </c>
      <c r="F19" s="11" t="inlineStr">
        <is>
          <t>EPGC LLC</t>
        </is>
      </c>
      <c r="G19" s="11" t="inlineStr">
        <is>
          <t>APPLIED</t>
        </is>
      </c>
      <c r="H19" s="11" t="inlineStr"/>
    </row>
    <row r="20">
      <c r="A20" s="11" t="inlineStr">
        <is>
          <t>BoA 4469</t>
        </is>
      </c>
      <c r="B20" s="11" t="inlineStr">
        <is>
          <t>2025-05-08</t>
        </is>
      </c>
      <c r="C20" s="11" t="inlineStr">
        <is>
          <t>Tailor Brands</t>
        </is>
      </c>
      <c r="D20" s="12" t="n">
        <v>199</v>
      </c>
      <c r="E20" s="11" t="inlineStr">
        <is>
          <t>Advertising</t>
        </is>
      </c>
      <c r="F20" s="11" t="inlineStr">
        <is>
          <t>EPGC LLC</t>
        </is>
      </c>
      <c r="G20" s="11" t="inlineStr">
        <is>
          <t>APPLIED</t>
        </is>
      </c>
      <c r="H20" s="11" t="inlineStr"/>
    </row>
    <row r="21">
      <c r="A21" s="11" t="inlineStr">
        <is>
          <t>BoA 4469</t>
        </is>
      </c>
      <c r="B21" s="11" t="inlineStr">
        <is>
          <t>2025-02-07</t>
        </is>
      </c>
      <c r="C21" s="11" t="inlineStr">
        <is>
          <t>Blurb</t>
        </is>
      </c>
      <c r="D21" s="12" t="n">
        <v>47.13</v>
      </c>
      <c r="E21" s="11" t="inlineStr">
        <is>
          <t>Art Library</t>
        </is>
      </c>
      <c r="F21" s="11" t="inlineStr">
        <is>
          <t>EPGC LLC</t>
        </is>
      </c>
      <c r="G21" s="11" t="inlineStr">
        <is>
          <t>APPLIED</t>
        </is>
      </c>
      <c r="H21" s="11" t="inlineStr">
        <is>
          <t>Prior Art Library / Abebooks pattern</t>
        </is>
      </c>
    </row>
    <row r="22">
      <c r="A22" s="11" t="inlineStr">
        <is>
          <t>BoA 4469</t>
        </is>
      </c>
      <c r="B22" s="11" t="inlineStr">
        <is>
          <t>2025-02-25</t>
        </is>
      </c>
      <c r="C22" s="11" t="inlineStr">
        <is>
          <t>Abebooks</t>
        </is>
      </c>
      <c r="D22" s="12" t="n">
        <v>31.34</v>
      </c>
      <c r="E22" s="11" t="inlineStr">
        <is>
          <t>Art Library</t>
        </is>
      </c>
      <c r="F22" s="11" t="inlineStr">
        <is>
          <t>EPGC LLC</t>
        </is>
      </c>
      <c r="G22" s="11" t="inlineStr">
        <is>
          <t>APPLIED</t>
        </is>
      </c>
      <c r="H22" s="11" t="inlineStr"/>
    </row>
    <row r="23">
      <c r="A23" s="11" t="inlineStr">
        <is>
          <t>BoA 4469</t>
        </is>
      </c>
      <c r="B23" s="11" t="inlineStr">
        <is>
          <t>2025-04-02</t>
        </is>
      </c>
      <c r="C23" s="11" t="inlineStr">
        <is>
          <t>Abebooks</t>
        </is>
      </c>
      <c r="D23" s="12" t="n">
        <v>13.7</v>
      </c>
      <c r="E23" s="11" t="inlineStr">
        <is>
          <t>Art Library</t>
        </is>
      </c>
      <c r="F23" s="11" t="inlineStr">
        <is>
          <t>EPGC LLC</t>
        </is>
      </c>
      <c r="G23" s="11" t="inlineStr">
        <is>
          <t>APPLIED</t>
        </is>
      </c>
      <c r="H23" s="11" t="inlineStr"/>
    </row>
    <row r="24">
      <c r="A24" s="11" t="inlineStr">
        <is>
          <t>BoA 4469</t>
        </is>
      </c>
      <c r="B24" s="11" t="inlineStr">
        <is>
          <t>2025-03-27</t>
        </is>
      </c>
      <c r="C24" s="11" t="inlineStr">
        <is>
          <t>TruGreen</t>
        </is>
      </c>
      <c r="D24" s="12" t="n">
        <v>60.95</v>
      </c>
      <c r="E24" s="11" t="inlineStr">
        <is>
          <t>EXTERIOR REPAIRS / yard</t>
        </is>
      </c>
      <c r="F24" s="11" t="inlineStr">
        <is>
          <t>524 Unit 2</t>
        </is>
      </c>
      <c r="G24" s="11" t="inlineStr">
        <is>
          <t>APPLIED</t>
        </is>
      </c>
      <c r="H24" s="11" t="inlineStr">
        <is>
          <t>NOT EPGC — 2024 Unit 2 YARD SERVICE</t>
        </is>
      </c>
    </row>
    <row r="25">
      <c r="A25" s="11" t="inlineStr">
        <is>
          <t>BoA 4469</t>
        </is>
      </c>
      <c r="B25" s="11" t="inlineStr">
        <is>
          <t>2025-04-25</t>
        </is>
      </c>
      <c r="C25" s="11" t="inlineStr">
        <is>
          <t>TruGreen</t>
        </is>
      </c>
      <c r="D25" s="12" t="n">
        <v>60.95</v>
      </c>
      <c r="E25" s="11" t="inlineStr">
        <is>
          <t>EXTERIOR REPAIRS / yard</t>
        </is>
      </c>
      <c r="F25" s="11" t="inlineStr">
        <is>
          <t>524 Unit 2</t>
        </is>
      </c>
      <c r="G25" s="11" t="inlineStr">
        <is>
          <t>APPLIED</t>
        </is>
      </c>
      <c r="H25" s="11" t="inlineStr"/>
    </row>
    <row r="26">
      <c r="A26" s="11" t="inlineStr">
        <is>
          <t>BoA 4469</t>
        </is>
      </c>
      <c r="B26" s="11" t="inlineStr">
        <is>
          <t>2025-05-30</t>
        </is>
      </c>
      <c r="C26" s="11" t="inlineStr">
        <is>
          <t>TruGreen</t>
        </is>
      </c>
      <c r="D26" s="12" t="n">
        <v>60.95</v>
      </c>
      <c r="E26" s="11" t="inlineStr">
        <is>
          <t>EXTERIOR REPAIRS / yard</t>
        </is>
      </c>
      <c r="F26" s="11" t="inlineStr">
        <is>
          <t>524 Unit 2</t>
        </is>
      </c>
      <c r="G26" s="11" t="inlineStr">
        <is>
          <t>APPLIED</t>
        </is>
      </c>
      <c r="H26" s="11" t="inlineStr"/>
    </row>
    <row r="27">
      <c r="A27" s="11" t="inlineStr">
        <is>
          <t>BoA 4469</t>
        </is>
      </c>
      <c r="B27" s="11" t="inlineStr">
        <is>
          <t>2025-06-27</t>
        </is>
      </c>
      <c r="C27" s="11" t="inlineStr">
        <is>
          <t>TruGreen</t>
        </is>
      </c>
      <c r="D27" s="12" t="n">
        <v>60.95</v>
      </c>
      <c r="E27" s="11" t="inlineStr">
        <is>
          <t>EXTERIOR REPAIRS / yard</t>
        </is>
      </c>
      <c r="F27" s="11" t="inlineStr">
        <is>
          <t>524 Unit 2</t>
        </is>
      </c>
      <c r="G27" s="11" t="inlineStr">
        <is>
          <t>APPLIED</t>
        </is>
      </c>
      <c r="H27" s="11" t="inlineStr"/>
    </row>
    <row r="28">
      <c r="A28" s="11" t="inlineStr">
        <is>
          <t>BoA 4469</t>
        </is>
      </c>
      <c r="B28" s="11" t="inlineStr">
        <is>
          <t>2025-07-21</t>
        </is>
      </c>
      <c r="C28" s="11" t="inlineStr">
        <is>
          <t>TruGreen</t>
        </is>
      </c>
      <c r="D28" s="12" t="n">
        <v>60.95</v>
      </c>
      <c r="E28" s="11" t="inlineStr">
        <is>
          <t>EXTERIOR REPAIRS / yard</t>
        </is>
      </c>
      <c r="F28" s="11" t="inlineStr">
        <is>
          <t>524 Unit 2</t>
        </is>
      </c>
      <c r="G28" s="11" t="inlineStr">
        <is>
          <t>APPLIED</t>
        </is>
      </c>
      <c r="H28" s="11" t="inlineStr"/>
    </row>
    <row r="29">
      <c r="A29" s="11" t="inlineStr">
        <is>
          <t>BoA 4469</t>
        </is>
      </c>
      <c r="B29" s="11" t="inlineStr">
        <is>
          <t>2025-08-14</t>
        </is>
      </c>
      <c r="C29" s="11" t="inlineStr">
        <is>
          <t>TruGreen</t>
        </is>
      </c>
      <c r="D29" s="12" t="n">
        <v>60.95</v>
      </c>
      <c r="E29" s="11" t="inlineStr">
        <is>
          <t>EXTERIOR REPAIRS / yard</t>
        </is>
      </c>
      <c r="F29" s="11" t="inlineStr">
        <is>
          <t>524 Unit 2</t>
        </is>
      </c>
      <c r="G29" s="11" t="inlineStr">
        <is>
          <t>APPLIED</t>
        </is>
      </c>
      <c r="H29" s="11" t="inlineStr"/>
    </row>
    <row r="30">
      <c r="A30" s="11" t="inlineStr">
        <is>
          <t>BoA 4469</t>
        </is>
      </c>
      <c r="B30" s="11" t="inlineStr">
        <is>
          <t>2025-09-27</t>
        </is>
      </c>
      <c r="C30" s="11" t="inlineStr">
        <is>
          <t>TruGreen</t>
        </is>
      </c>
      <c r="D30" s="12" t="n">
        <v>249</v>
      </c>
      <c r="E30" s="11" t="inlineStr">
        <is>
          <t>EXTERIOR REPAIRS / yard</t>
        </is>
      </c>
      <c r="F30" s="11" t="inlineStr">
        <is>
          <t>524 Unit 2</t>
        </is>
      </c>
      <c r="G30" s="11" t="inlineStr">
        <is>
          <t>APPLIED</t>
        </is>
      </c>
      <c r="H30" s="11" t="inlineStr">
        <is>
          <t>Larger fall treatment</t>
        </is>
      </c>
    </row>
    <row r="31">
      <c r="A31" s="11" t="inlineStr">
        <is>
          <t>BoA 4469</t>
        </is>
      </c>
      <c r="B31" s="11" t="inlineStr">
        <is>
          <t>2025-10-10</t>
        </is>
      </c>
      <c r="C31" s="11" t="inlineStr">
        <is>
          <t>TruGreen</t>
        </is>
      </c>
      <c r="D31" s="12" t="n">
        <v>60.95</v>
      </c>
      <c r="E31" s="11" t="inlineStr">
        <is>
          <t>EXTERIOR REPAIRS / yard</t>
        </is>
      </c>
      <c r="F31" s="11" t="inlineStr">
        <is>
          <t>524 Unit 2</t>
        </is>
      </c>
      <c r="G31" s="11" t="inlineStr">
        <is>
          <t>APPLIED</t>
        </is>
      </c>
      <c r="H31" s="11" t="inlineStr"/>
    </row>
    <row r="32">
      <c r="A32" s="13" t="inlineStr">
        <is>
          <t>BoA 4469</t>
        </is>
      </c>
      <c r="B32" s="13" t="inlineStr">
        <is>
          <t>various</t>
        </is>
      </c>
      <c r="C32" s="13" t="inlineStr">
        <is>
          <t>DoorDash / dining / RH restaurant / Salt Shed / barber / Pete's / Monarch Money</t>
        </is>
      </c>
      <c r="D32" s="13" t="n">
        <v>0</v>
      </c>
      <c r="E32" s="13" t="inlineStr">
        <is>
          <t>personal</t>
        </is>
      </c>
      <c r="F32" s="13" t="inlineStr">
        <is>
          <t>—</t>
        </is>
      </c>
      <c r="G32" s="13" t="inlineStr">
        <is>
          <t>EXCLUDED</t>
        </is>
      </c>
      <c r="H32" s="13" t="inlineStr">
        <is>
          <t>BoA dining $3,780.82 + personal services not EPGC</t>
        </is>
      </c>
    </row>
    <row r="33">
      <c r="A33" s="11" t="inlineStr">
        <is>
          <t>BoA 4469</t>
        </is>
      </c>
      <c r="B33" s="11" t="inlineStr">
        <is>
          <t>2025-02/05/07/08/10</t>
        </is>
      </c>
      <c r="C33" s="11" t="inlineStr">
        <is>
          <t>PARK CHICAGO MOBILE x5 $20</t>
        </is>
      </c>
      <c r="D33" s="12" t="n">
        <v>100</v>
      </c>
      <c r="E33" s="11" t="inlineStr">
        <is>
          <t>Travel, Meals, and Entertainment</t>
        </is>
      </c>
      <c r="F33" s="11" t="inlineStr">
        <is>
          <t>EPGC LLC</t>
        </is>
      </c>
      <c r="G33" s="11" t="inlineStr">
        <is>
          <t>APPLIED</t>
        </is>
      </c>
      <c r="H33" s="11" t="inlineStr">
        <is>
          <t>User 2026-09-18: yes EPGC. Cash months Feb 7, May 2, Jul 31, Aug 29, Oct 2.</t>
        </is>
      </c>
    </row>
    <row r="34">
      <c r="A34" s="13" t="inlineStr">
        <is>
          <t>Coinbase 6108</t>
        </is>
      </c>
      <c r="B34" s="13" t="inlineStr">
        <is>
          <t>2025-11-29</t>
        </is>
      </c>
      <c r="C34" s="13" t="inlineStr">
        <is>
          <t>Parennial Golf</t>
        </is>
      </c>
      <c r="D34" s="16" t="n">
        <v>1856.24</v>
      </c>
      <c r="E34" s="13" t="inlineStr">
        <is>
          <t>personal</t>
        </is>
      </c>
      <c r="F34" s="13" t="inlineStr">
        <is>
          <t>—</t>
        </is>
      </c>
      <c r="G34" s="13" t="inlineStr">
        <is>
          <t>EXCLUDED</t>
        </is>
      </c>
      <c r="H34" s="13" t="inlineStr">
        <is>
          <t>CSV has almost no EPGC spend</t>
        </is>
      </c>
    </row>
    <row r="35">
      <c r="A35" s="11" t="inlineStr">
        <is>
          <t>Coinbase 6108</t>
        </is>
      </c>
      <c r="B35" s="11" t="inlineStr">
        <is>
          <t>2025-11-01</t>
        </is>
      </c>
      <c r="C35" s="11" t="inlineStr">
        <is>
          <t>Field Museum</t>
        </is>
      </c>
      <c r="D35" s="12" t="n">
        <v>53</v>
      </c>
      <c r="E35" s="11" t="inlineStr">
        <is>
          <t>Travel, Meals, and Entertainment</t>
        </is>
      </c>
      <c r="F35" s="11" t="inlineStr">
        <is>
          <t>EPGC LLC</t>
        </is>
      </c>
      <c r="G35" s="11" t="inlineStr">
        <is>
          <t>APPLIED</t>
        </is>
      </c>
      <c r="H35" s="11" t="inlineStr">
        <is>
          <t>User 2026-09-18: Field Museum is EPGC LLC expense.</t>
        </is>
      </c>
    </row>
    <row r="36">
      <c r="A36" s="14" t="inlineStr">
        <is>
          <t>Coinbase 6108</t>
        </is>
      </c>
      <c r="B36" s="14" t="inlineStr">
        <is>
          <t>2025-11-01</t>
        </is>
      </c>
      <c r="C36" s="14" t="inlineStr">
        <is>
          <t>Soldier Field East Parking</t>
        </is>
      </c>
      <c r="D36" s="15" t="n">
        <v>57</v>
      </c>
      <c r="E36" s="14" t="inlineStr">
        <is>
          <t>Travel?</t>
        </is>
      </c>
      <c r="F36" s="14" t="inlineStr">
        <is>
          <t>EPGC / personal</t>
        </is>
      </c>
      <c r="G36" s="14" t="inlineStr">
        <is>
          <t>HOLD</t>
        </is>
      </c>
      <c r="H36" s="14" t="inlineStr">
        <is>
          <t>Same day as Field Museum. Not confirmed — left HOLD.</t>
        </is>
      </c>
    </row>
    <row r="37">
      <c r="A37" s="13" t="inlineStr">
        <is>
          <t>Coinbase 6108</t>
        </is>
      </c>
      <c r="B37" s="13" t="inlineStr">
        <is>
          <t>2025-09-30</t>
        </is>
      </c>
      <c r="C37" s="13" t="inlineStr">
        <is>
          <t>Coinbase</t>
        </is>
      </c>
      <c r="D37" s="16" t="n">
        <v>49.99</v>
      </c>
      <c r="E37" s="13" t="inlineStr">
        <is>
          <t>personal</t>
        </is>
      </c>
      <c r="F37" s="13" t="inlineStr">
        <is>
          <t>—</t>
        </is>
      </c>
      <c r="G37" s="13" t="inlineStr">
        <is>
          <t>EXCLUDED</t>
        </is>
      </c>
      <c r="H37" s="13" t="inlineStr"/>
    </row>
    <row r="38">
      <c r="A38" s="13" t="inlineStr">
        <is>
          <t>Coinbase 6108</t>
        </is>
      </c>
      <c r="B38" s="13" t="inlineStr">
        <is>
          <t>2025-12-15</t>
        </is>
      </c>
      <c r="C38" s="13" t="inlineStr">
        <is>
          <t>Freeman's $1 voided x3</t>
        </is>
      </c>
      <c r="D38" s="13" t="n">
        <v>0</v>
      </c>
      <c r="E38" s="13" t="inlineStr">
        <is>
          <t>void</t>
        </is>
      </c>
      <c r="F38" s="13" t="inlineStr">
        <is>
          <t>—</t>
        </is>
      </c>
      <c r="G38" s="13" t="inlineStr">
        <is>
          <t>EXCLUDED</t>
        </is>
      </c>
      <c r="H38" s="13" t="inlineStr">
        <is>
          <t>Voids / payments not expenses</t>
        </is>
      </c>
    </row>
    <row r="39">
      <c r="A39" s="11" t="inlineStr">
        <is>
          <t>Sapphire 5423</t>
        </is>
      </c>
      <c r="B39" s="11" t="inlineStr">
        <is>
          <t>2025-01..12</t>
        </is>
      </c>
      <c r="C39" s="11" t="inlineStr">
        <is>
          <t>ATT* BILL PAYMENT (cellphone)</t>
        </is>
      </c>
      <c r="D39" s="12" t="n">
        <v>1127.02</v>
      </c>
      <c r="E39" s="11" t="inlineStr">
        <is>
          <t>Cellphone and Internet</t>
        </is>
      </c>
      <c r="F39" s="11" t="inlineStr">
        <is>
          <t>EPGC LLC</t>
        </is>
      </c>
      <c r="G39" s="11" t="inlineStr">
        <is>
          <t>APPLIED</t>
        </is>
      </c>
      <c r="H39" s="11" t="inlineStr">
        <is>
          <t>User: AT&amp;T cellphone can be charged to EPGC</t>
        </is>
      </c>
    </row>
    <row r="40">
      <c r="A40" s="11" t="inlineStr">
        <is>
          <t>Sapphire 5423</t>
        </is>
      </c>
      <c r="B40" s="11" t="inlineStr">
        <is>
          <t>2025-04-27</t>
        </is>
      </c>
      <c r="C40" s="11" t="inlineStr">
        <is>
          <t>Squarespace INV179625580</t>
        </is>
      </c>
      <c r="D40" s="12" t="n">
        <v>20</v>
      </c>
      <c r="E40" s="11" t="inlineStr">
        <is>
          <t>Tech</t>
        </is>
      </c>
      <c r="F40" s="11" t="inlineStr">
        <is>
          <t>EPGC LLC</t>
        </is>
      </c>
      <c r="G40" s="11" t="inlineStr">
        <is>
          <t>APPLIED</t>
        </is>
      </c>
      <c r="H40" s="11" t="inlineStr">
        <is>
          <t>Matches 2024 Tech $20</t>
        </is>
      </c>
    </row>
    <row r="41">
      <c r="A41" s="11" t="inlineStr">
        <is>
          <t>Sapphire 5423</t>
        </is>
      </c>
      <c r="B41" s="11" t="inlineStr">
        <is>
          <t>2025-05-08</t>
        </is>
      </c>
      <c r="C41" s="11" t="inlineStr">
        <is>
          <t>Squarespace INV181162020</t>
        </is>
      </c>
      <c r="D41" s="12" t="n">
        <v>192</v>
      </c>
      <c r="E41" s="11" t="inlineStr">
        <is>
          <t>Tech</t>
        </is>
      </c>
      <c r="F41" s="11" t="inlineStr">
        <is>
          <t>EPGC LLC</t>
        </is>
      </c>
      <c r="G41" s="11" t="inlineStr">
        <is>
          <t>APPLIED</t>
        </is>
      </c>
      <c r="H41" s="11" t="inlineStr">
        <is>
          <t>Matches 2024 Tech $192</t>
        </is>
      </c>
    </row>
    <row r="42">
      <c r="A42" s="11" t="inlineStr">
        <is>
          <t>Sapphire 5423</t>
        </is>
      </c>
      <c r="B42" s="11" t="inlineStr">
        <is>
          <t>2025-04-14</t>
        </is>
      </c>
      <c r="C42" s="11" t="inlineStr">
        <is>
          <t>WW Norton</t>
        </is>
      </c>
      <c r="D42" s="12" t="n">
        <v>49.99</v>
      </c>
      <c r="E42" s="11" t="inlineStr">
        <is>
          <t>Art Library</t>
        </is>
      </c>
      <c r="F42" s="11" t="inlineStr">
        <is>
          <t>EPGC LLC</t>
        </is>
      </c>
      <c r="G42" s="11" t="inlineStr">
        <is>
          <t>APPLIED</t>
        </is>
      </c>
      <c r="H42" s="11" t="inlineStr">
        <is>
          <t>Art/reference book</t>
        </is>
      </c>
    </row>
    <row r="43">
      <c r="A43" s="11" t="inlineStr">
        <is>
          <t>Sapphire 5423</t>
        </is>
      </c>
      <c r="B43" s="11" t="inlineStr">
        <is>
          <t>2025-03-22</t>
        </is>
      </c>
      <c r="C43" s="11" t="inlineStr">
        <is>
          <t>Schauer Hardware</t>
        </is>
      </c>
      <c r="D43" s="12" t="n">
        <v>52.78</v>
      </c>
      <c r="E43" s="11" t="inlineStr">
        <is>
          <t>INTERIOR MAINTENANCE</t>
        </is>
      </c>
      <c r="F43" s="11" t="inlineStr">
        <is>
          <t>524 Unit 2</t>
        </is>
      </c>
      <c r="G43" s="11" t="inlineStr">
        <is>
          <t>APPLIED</t>
        </is>
      </c>
      <c r="H43" s="11" t="inlineStr">
        <is>
          <t>Forest Park hardware — 524</t>
        </is>
      </c>
    </row>
    <row r="44">
      <c r="A44" s="11" t="inlineStr">
        <is>
          <t>Sapphire 5423</t>
        </is>
      </c>
      <c r="B44" s="11" t="inlineStr">
        <is>
          <t>2025-04-10</t>
        </is>
      </c>
      <c r="C44" s="11" t="inlineStr">
        <is>
          <t>Rubio Monocoat</t>
        </is>
      </c>
      <c r="D44" s="12" t="n">
        <v>85.78</v>
      </c>
      <c r="E44" s="11" t="inlineStr">
        <is>
          <t>INTERIOR MAINTENANCE</t>
        </is>
      </c>
      <c r="F44" s="11" t="inlineStr">
        <is>
          <t>524 Unit 2</t>
        </is>
      </c>
      <c r="G44" s="11" t="inlineStr">
        <is>
          <t>APPLIED</t>
        </is>
      </c>
      <c r="H44" s="11" t="inlineStr">
        <is>
          <t>Wood finish</t>
        </is>
      </c>
    </row>
    <row r="45">
      <c r="A45" s="11" t="inlineStr">
        <is>
          <t>Sapphire 5423</t>
        </is>
      </c>
      <c r="B45" s="11" t="inlineStr">
        <is>
          <t>2025-04-26</t>
        </is>
      </c>
      <c r="C45" s="11" t="inlineStr">
        <is>
          <t>Schauer Hardware</t>
        </is>
      </c>
      <c r="D45" s="12" t="n">
        <v>45.62</v>
      </c>
      <c r="E45" s="11" t="inlineStr">
        <is>
          <t>INTERIOR MAINTENANCE</t>
        </is>
      </c>
      <c r="F45" s="11" t="inlineStr">
        <is>
          <t>524 Unit 2</t>
        </is>
      </c>
      <c r="G45" s="11" t="inlineStr">
        <is>
          <t>APPLIED</t>
        </is>
      </c>
      <c r="H45" s="11" t="inlineStr"/>
    </row>
    <row r="46">
      <c r="A46" s="11" t="inlineStr">
        <is>
          <t>Sapphire 5423</t>
        </is>
      </c>
      <c r="B46" s="11" t="inlineStr">
        <is>
          <t>2025-05-04</t>
        </is>
      </c>
      <c r="C46" s="11" t="inlineStr">
        <is>
          <t>Alsip Nursery</t>
        </is>
      </c>
      <c r="D46" s="12" t="n">
        <v>384.25</v>
      </c>
      <c r="E46" s="11" t="inlineStr">
        <is>
          <t>EXTERIOR REPAIRS / yard</t>
        </is>
      </c>
      <c r="F46" s="11" t="inlineStr">
        <is>
          <t>524 Unit 2</t>
        </is>
      </c>
      <c r="G46" s="11" t="inlineStr">
        <is>
          <t>APPLIED</t>
        </is>
      </c>
      <c r="H46" s="11" t="inlineStr">
        <is>
          <t>Yard — 2024 Unit 2 YARD SERVICE</t>
        </is>
      </c>
    </row>
    <row r="47">
      <c r="A47" s="31" t="inlineStr">
        <is>
          <t>Sapphire 5423</t>
        </is>
      </c>
      <c r="B47" s="31" t="inlineStr">
        <is>
          <t>2025-07-24</t>
        </is>
      </c>
      <c r="C47" s="31" t="inlineStr">
        <is>
          <t>Los Angeles Modern Auctions</t>
        </is>
      </c>
      <c r="D47" s="32" t="n">
        <v>6821.06</v>
      </c>
      <c r="E47" s="31" t="inlineStr">
        <is>
          <t>Inventory purchases</t>
        </is>
      </c>
      <c r="F47" s="31" t="inlineStr">
        <is>
          <t>Art Sales</t>
        </is>
      </c>
      <c r="G47" s="31" t="inlineStr">
        <is>
          <t>INVENTORY</t>
        </is>
      </c>
      <c r="H47" s="31" t="inlineStr">
        <is>
          <t>User 2026-09-18: inventory purchase. Identify object before Cost (COGS) total — avoid Mercury double count.</t>
        </is>
      </c>
    </row>
    <row r="48">
      <c r="A48" s="31" t="inlineStr">
        <is>
          <t>Sapphire 5423</t>
        </is>
      </c>
      <c r="B48" s="31" t="inlineStr">
        <is>
          <t>2025-04-03</t>
        </is>
      </c>
      <c r="C48" s="31" t="inlineStr">
        <is>
          <t>Hindman LLC</t>
        </is>
      </c>
      <c r="D48" s="32" t="n">
        <v>282.24</v>
      </c>
      <c r="E48" s="31" t="inlineStr">
        <is>
          <t>Inventory purchases</t>
        </is>
      </c>
      <c r="F48" s="31" t="inlineStr">
        <is>
          <t>Art Sales</t>
        </is>
      </c>
      <c r="G48" s="31" t="inlineStr">
        <is>
          <t>INVENTORY</t>
        </is>
      </c>
      <c r="H48" s="31" t="inlineStr">
        <is>
          <t>User 2026-09-18: inventory purchase. Identify object before Cost total.</t>
        </is>
      </c>
    </row>
    <row r="49">
      <c r="A49" s="31" t="inlineStr">
        <is>
          <t>Sapphire 5423</t>
        </is>
      </c>
      <c r="B49" s="31" t="inlineStr">
        <is>
          <t>2025-07-29</t>
        </is>
      </c>
      <c r="C49" s="31" t="inlineStr">
        <is>
          <t>Hindman LLC</t>
        </is>
      </c>
      <c r="D49" s="32" t="n">
        <v>403.51</v>
      </c>
      <c r="E49" s="31" t="inlineStr">
        <is>
          <t>Inventory purchases</t>
        </is>
      </c>
      <c r="F49" s="31" t="inlineStr">
        <is>
          <t>Art Sales</t>
        </is>
      </c>
      <c r="G49" s="31" t="inlineStr">
        <is>
          <t>INVENTORY</t>
        </is>
      </c>
      <c r="H49" s="31" t="inlineStr">
        <is>
          <t>User 2026-09-18: inventory purchase. Identify object before Cost total.</t>
        </is>
      </c>
    </row>
    <row r="50">
      <c r="A50" s="31" t="inlineStr">
        <is>
          <t>Sapphire 5423</t>
        </is>
      </c>
      <c r="B50" s="31" t="inlineStr">
        <is>
          <t>2025-02-16</t>
        </is>
      </c>
      <c r="C50" s="31" t="inlineStr">
        <is>
          <t>The Great Frame Up</t>
        </is>
      </c>
      <c r="D50" s="32" t="n">
        <v>536.41</v>
      </c>
      <c r="E50" s="31" t="inlineStr">
        <is>
          <t>Inventory framing</t>
        </is>
      </c>
      <c r="F50" s="31" t="inlineStr">
        <is>
          <t>Art Sales</t>
        </is>
      </c>
      <c r="G50" s="31" t="inlineStr">
        <is>
          <t>INVENTORY</t>
        </is>
      </c>
      <c r="H50" s="31" t="inlineStr">
        <is>
          <t>User 2026-09-18: inventory framing. Parked on Art Sales; not EPGC P&amp;L; not in Cost total until tied to an object.</t>
        </is>
      </c>
    </row>
    <row r="51">
      <c r="A51" s="11" t="inlineStr">
        <is>
          <t>Prime 2351</t>
        </is>
      </c>
      <c r="B51" s="11" t="inlineStr">
        <is>
          <t>2025-01..11</t>
        </is>
      </c>
      <c r="C51" s="11" t="inlineStr">
        <is>
          <t>ATT*BILL PAYMENT $45 then $50</t>
        </is>
      </c>
      <c r="D51" s="12" t="n">
        <v>530</v>
      </c>
      <c r="E51" s="11" t="inlineStr">
        <is>
          <t>INTERNET</t>
        </is>
      </c>
      <c r="F51" s="11" t="inlineStr">
        <is>
          <t>524 Unit 2</t>
        </is>
      </c>
      <c r="G51" s="11" t="inlineStr">
        <is>
          <t>APPLIED</t>
        </is>
      </c>
      <c r="H51" s="11" t="inlineStr">
        <is>
          <t>2024 Unit 2 internet was $50/mo; one house bill</t>
        </is>
      </c>
    </row>
    <row r="52">
      <c r="A52" s="11" t="inlineStr">
        <is>
          <t>Prime 2351</t>
        </is>
      </c>
      <c r="B52" s="11" t="inlineStr">
        <is>
          <t>2025 Nicor smaller</t>
        </is>
      </c>
      <c r="C52" s="11" t="inlineStr">
        <is>
          <t>NICOR GAS BILL (smaller of pair)</t>
        </is>
      </c>
      <c r="D52" s="12" t="n">
        <v>324.42</v>
      </c>
      <c r="E52" s="11" t="inlineStr">
        <is>
          <t>GAS</t>
        </is>
      </c>
      <c r="F52" s="11" t="inlineStr">
        <is>
          <t>524 Unit 2</t>
        </is>
      </c>
      <c r="G52" s="11" t="inlineStr">
        <is>
          <t>APPLIED</t>
        </is>
      </c>
      <c r="H52" s="11" t="inlineStr">
        <is>
          <t>Matches 2024 Unit 2 gas $21–62</t>
        </is>
      </c>
    </row>
    <row r="53">
      <c r="A53" s="11" t="inlineStr">
        <is>
          <t>Prime 2351</t>
        </is>
      </c>
      <c r="B53" s="11" t="inlineStr">
        <is>
          <t>2025 Nicor larger</t>
        </is>
      </c>
      <c r="C53" s="11" t="inlineStr">
        <is>
          <t>NICOR GAS BILL (larger of pair)</t>
        </is>
      </c>
      <c r="D53" s="12" t="n">
        <v>846.7</v>
      </c>
      <c r="E53" s="11" t="inlineStr">
        <is>
          <t>GAS</t>
        </is>
      </c>
      <c r="F53" s="11" t="inlineStr">
        <is>
          <t>524 Unit 1</t>
        </is>
      </c>
      <c r="G53" s="11" t="inlineStr">
        <is>
          <t>APPLIED</t>
        </is>
      </c>
      <c r="H53" s="11" t="inlineStr">
        <is>
          <t>Seasonal heating — residence meter</t>
        </is>
      </c>
    </row>
    <row r="54">
      <c r="A54" s="11" t="inlineStr">
        <is>
          <t>Prime 2351</t>
        </is>
      </c>
      <c r="B54" s="11" t="inlineStr">
        <is>
          <t>bi-monthly</t>
        </is>
      </c>
      <c r="C54" s="11" t="inlineStr">
        <is>
          <t>VILLAGE OF FOREST PARK</t>
        </is>
      </c>
      <c r="D54" s="12" t="n">
        <v>1148.93</v>
      </c>
      <c r="E54" s="11" t="inlineStr">
        <is>
          <t>VILLAGE WATER AND REFUSE</t>
        </is>
      </c>
      <c r="F54" s="11" t="inlineStr">
        <is>
          <t>U1 50% / U2 50%</t>
        </is>
      </c>
      <c r="G54" s="11" t="inlineStr">
        <is>
          <t>APPLIED</t>
        </is>
      </c>
      <c r="H54" s="11" t="inlineStr">
        <is>
          <t>One building bill; 2023 sat on Unit 1, 2024 year-total on Unit 2</t>
        </is>
      </c>
    </row>
    <row r="55">
      <c r="A55" s="11" t="inlineStr">
        <is>
          <t>Prime 2351</t>
        </is>
      </c>
      <c r="B55" s="11" t="inlineStr">
        <is>
          <t>Jan/Mar/Apr/Jun/Jul/Aug/Sep</t>
        </is>
      </c>
      <c r="C55" s="11" t="inlineStr">
        <is>
          <t>GROVE COLLABORATIVE</t>
        </is>
      </c>
      <c r="D55" s="12" t="n">
        <v>791.21</v>
      </c>
      <c r="E55" s="11" t="inlineStr">
        <is>
          <t>SUPPLIES</t>
        </is>
      </c>
      <c r="F55" s="11" t="inlineStr">
        <is>
          <t>524 Unit 2</t>
        </is>
      </c>
      <c r="G55" s="11" t="inlineStr">
        <is>
          <t>APPLIED</t>
        </is>
      </c>
      <c r="H55" s="11" t="inlineStr">
        <is>
          <t>User 2026-09-18: “grove orders” = Grove Collaborative, not 827 N Grove the house. 8 Prime charges → 524 Unit 2 SUPPLIES.</t>
        </is>
      </c>
    </row>
    <row r="56">
      <c r="A56" s="11" t="inlineStr">
        <is>
          <t>Prime 2351</t>
        </is>
      </c>
      <c r="B56" s="11" t="inlineStr">
        <is>
          <t>2025-01-03</t>
        </is>
      </c>
      <c r="C56" s="11" t="inlineStr">
        <is>
          <t>Schauer Hardware</t>
        </is>
      </c>
      <c r="D56" s="12" t="n">
        <v>7.46</v>
      </c>
      <c r="E56" s="11" t="inlineStr">
        <is>
          <t>INTERIOR MAINTENANCE</t>
        </is>
      </c>
      <c r="F56" s="11" t="inlineStr">
        <is>
          <t>524 Unit 2</t>
        </is>
      </c>
      <c r="G56" s="11" t="inlineStr">
        <is>
          <t>APPLIED</t>
        </is>
      </c>
      <c r="H56" s="11" t="inlineStr"/>
    </row>
    <row r="57">
      <c r="A57" s="11" t="inlineStr">
        <is>
          <t>Prime 2351</t>
        </is>
      </c>
      <c r="B57" s="11" t="inlineStr">
        <is>
          <t>2025-10-18</t>
        </is>
      </c>
      <c r="C57" s="11" t="inlineStr">
        <is>
          <t>Schauer Hardware</t>
        </is>
      </c>
      <c r="D57" s="12" t="n">
        <v>45.6</v>
      </c>
      <c r="E57" s="11" t="inlineStr">
        <is>
          <t>INTERIOR MAINTENANCE</t>
        </is>
      </c>
      <c r="F57" s="11" t="inlineStr">
        <is>
          <t>524 Unit 2</t>
        </is>
      </c>
      <c r="G57" s="11" t="inlineStr">
        <is>
          <t>APPLIED</t>
        </is>
      </c>
      <c r="H57" s="11" t="inlineStr"/>
    </row>
    <row r="58">
      <c r="A58" s="11" t="inlineStr">
        <is>
          <t>Prime 2351</t>
        </is>
      </c>
      <c r="B58" s="11" t="inlineStr">
        <is>
          <t>2025-11-08</t>
        </is>
      </c>
      <c r="C58" s="11" t="inlineStr">
        <is>
          <t>Schauer Hardware</t>
        </is>
      </c>
      <c r="D58" s="12" t="n">
        <v>2.75</v>
      </c>
      <c r="E58" s="11" t="inlineStr">
        <is>
          <t>INTERIOR MAINTENANCE</t>
        </is>
      </c>
      <c r="F58" s="11" t="inlineStr">
        <is>
          <t>524 Unit 2</t>
        </is>
      </c>
      <c r="G58" s="11" t="inlineStr">
        <is>
          <t>APPLIED</t>
        </is>
      </c>
      <c r="H58" s="11" t="inlineStr"/>
    </row>
    <row r="59">
      <c r="A59" s="11" t="inlineStr">
        <is>
          <t>Prime 2351</t>
        </is>
      </c>
      <c r="B59" s="11" t="inlineStr">
        <is>
          <t>2025-11-13</t>
        </is>
      </c>
      <c r="C59" s="11" t="inlineStr">
        <is>
          <t>Schauer Hardware</t>
        </is>
      </c>
      <c r="D59" s="12" t="n">
        <v>9.880000000000001</v>
      </c>
      <c r="E59" s="11" t="inlineStr">
        <is>
          <t>INTERIOR MAINTENANCE</t>
        </is>
      </c>
      <c r="F59" s="11" t="inlineStr">
        <is>
          <t>524 Unit 2</t>
        </is>
      </c>
      <c r="G59" s="11" t="inlineStr">
        <is>
          <t>APPLIED</t>
        </is>
      </c>
      <c r="H59" s="11" t="inlineStr"/>
    </row>
    <row r="60">
      <c r="A60" s="11" t="inlineStr">
        <is>
          <t>Prime 2351</t>
        </is>
      </c>
      <c r="B60" s="11" t="inlineStr">
        <is>
          <t>2025-03-15</t>
        </is>
      </c>
      <c r="C60" s="11" t="inlineStr">
        <is>
          <t>Aquasana Water Filters</t>
        </is>
      </c>
      <c r="D60" s="12" t="n">
        <v>73.23999999999999</v>
      </c>
      <c r="E60" s="11" t="inlineStr">
        <is>
          <t>EQUIPMENT</t>
        </is>
      </c>
      <c r="F60" s="11" t="inlineStr">
        <is>
          <t>524 Unit 2</t>
        </is>
      </c>
      <c r="G60" s="11" t="inlineStr">
        <is>
          <t>APPLIED</t>
        </is>
      </c>
      <c r="H60" s="11" t="inlineStr">
        <is>
          <t>STR water filter</t>
        </is>
      </c>
    </row>
    <row r="61">
      <c r="A61" s="11" t="inlineStr">
        <is>
          <t>Prime 2351</t>
        </is>
      </c>
      <c r="B61" s="11" t="inlineStr">
        <is>
          <t>2025-09-19</t>
        </is>
      </c>
      <c r="C61" s="11" t="inlineStr">
        <is>
          <t>Aquasana Water Filters</t>
        </is>
      </c>
      <c r="D61" s="12" t="n">
        <v>82.27</v>
      </c>
      <c r="E61" s="11" t="inlineStr">
        <is>
          <t>EQUIPMENT</t>
        </is>
      </c>
      <c r="F61" s="11" t="inlineStr">
        <is>
          <t>524 Unit 2</t>
        </is>
      </c>
      <c r="G61" s="11" t="inlineStr">
        <is>
          <t>APPLIED</t>
        </is>
      </c>
      <c r="H61" s="11" t="inlineStr"/>
    </row>
    <row r="62">
      <c r="A62" s="11" t="inlineStr">
        <is>
          <t>Prime 2351</t>
        </is>
      </c>
      <c r="B62" s="11" t="inlineStr">
        <is>
          <t>2025-01-31</t>
        </is>
      </c>
      <c r="C62" s="11" t="inlineStr">
        <is>
          <t>Abebooks x2</t>
        </is>
      </c>
      <c r="D62" s="12" t="n">
        <v>153.44</v>
      </c>
      <c r="E62" s="11" t="inlineStr">
        <is>
          <t>Art Library</t>
        </is>
      </c>
      <c r="F62" s="11" t="inlineStr">
        <is>
          <t>EPGC LLC</t>
        </is>
      </c>
      <c r="G62" s="11" t="inlineStr">
        <is>
          <t>APPLIED</t>
        </is>
      </c>
      <c r="H62" s="11" t="inlineStr">
        <is>
          <t>On Prime not BoA — still EPGC library</t>
        </is>
      </c>
    </row>
    <row r="63">
      <c r="A63" s="11" t="inlineStr">
        <is>
          <t>Prime 2351</t>
        </is>
      </c>
      <c r="B63" s="11" t="inlineStr">
        <is>
          <t>2025-09..12</t>
        </is>
      </c>
      <c r="C63" s="11" t="inlineStr">
        <is>
          <t>Canva $15 x4</t>
        </is>
      </c>
      <c r="D63" s="12" t="n">
        <v>60</v>
      </c>
      <c r="E63" s="11" t="inlineStr">
        <is>
          <t>Software Fees</t>
        </is>
      </c>
      <c r="F63" s="11" t="inlineStr">
        <is>
          <t>EPGC LLC</t>
        </is>
      </c>
      <c r="G63" s="11" t="inlineStr">
        <is>
          <t>APPLIED</t>
        </is>
      </c>
      <c r="H63" s="11" t="inlineStr">
        <is>
          <t>User 2026-09-18: yes EPGC.</t>
        </is>
      </c>
    </row>
    <row r="64">
      <c r="A64" s="11" t="inlineStr">
        <is>
          <t>Prime 2351</t>
        </is>
      </c>
      <c r="B64" s="11" t="inlineStr">
        <is>
          <t>Feb-Aug</t>
        </is>
      </c>
      <c r="C64" s="11" t="inlineStr">
        <is>
          <t>STATE FARM INSURANCE (home share)</t>
        </is>
      </c>
      <c r="D64" s="12" t="n">
        <v>1105.46</v>
      </c>
      <c r="E64" s="11" t="inlineStr">
        <is>
          <t>INSURANCE</t>
        </is>
      </c>
      <c r="F64" s="11" t="inlineStr">
        <is>
          <t>U1 50% / U2 50%</t>
        </is>
      </c>
      <c r="G64" s="11" t="inlineStr">
        <is>
          <t>APPLIED</t>
        </is>
      </c>
      <c r="H64" s="11" t="inlineStr">
        <is>
          <t>User 2026-09-18: bundled home+auto. Only home share on 524. Feb unbundled $157.53 home / $145.25 auto used as the ratio. Yellow until declarations. None Sep–Dec on Prime.</t>
        </is>
      </c>
    </row>
    <row r="65">
      <c r="A65" s="13" t="inlineStr">
        <is>
          <t>Prime 2351</t>
        </is>
      </c>
      <c r="B65" s="13" t="inlineStr">
        <is>
          <t>Feb-Aug</t>
        </is>
      </c>
      <c r="C65" s="13" t="inlineStr">
        <is>
          <t>STATE FARM INSURANCE (auto share)</t>
        </is>
      </c>
      <c r="D65" s="16" t="n">
        <v>1019.33</v>
      </c>
      <c r="E65" s="13" t="inlineStr">
        <is>
          <t>personal auto</t>
        </is>
      </c>
      <c r="F65" s="13" t="inlineStr">
        <is>
          <t>—</t>
        </is>
      </c>
      <c r="G65" s="13" t="inlineStr">
        <is>
          <t>EXCLUDED</t>
        </is>
      </c>
      <c r="H65" s="13" t="inlineStr">
        <is>
          <t>Bundled car. Previously Geico. Not 524 Sch E.</t>
        </is>
      </c>
    </row>
    <row r="66">
      <c r="A66" s="13" t="inlineStr">
        <is>
          <t>Prime 2351</t>
        </is>
      </c>
      <c r="B66" s="13" t="inlineStr">
        <is>
          <t>2025-02-11</t>
        </is>
      </c>
      <c r="C66" s="13" t="inlineStr">
        <is>
          <t>GEICO *AUTO credit</t>
        </is>
      </c>
      <c r="D66" s="16" t="n">
        <v>-540.89</v>
      </c>
      <c r="E66" s="13" t="inlineStr">
        <is>
          <t>personal auto</t>
        </is>
      </c>
      <c r="F66" s="13" t="inlineStr">
        <is>
          <t>—</t>
        </is>
      </c>
      <c r="G66" s="13" t="inlineStr">
        <is>
          <t>EXCLUDED</t>
        </is>
      </c>
      <c r="H66" s="13" t="inlineStr">
        <is>
          <t>Unused Geico auto premium when switching to State Farm auto. Not 524 income.</t>
        </is>
      </c>
    </row>
    <row r="67">
      <c r="A67" s="13" t="inlineStr">
        <is>
          <t>—</t>
        </is>
      </c>
      <c r="B67" s="13" t="inlineStr">
        <is>
          <t>2025</t>
        </is>
      </c>
      <c r="C67" s="13" t="inlineStr">
        <is>
          <t>Travelers (prior home carrier)</t>
        </is>
      </c>
      <c r="D67" s="13" t="n">
        <v>0</v>
      </c>
      <c r="E67" s="13" t="inlineStr">
        <is>
          <t>INSURANCE</t>
        </is>
      </c>
      <c r="F67" s="13" t="inlineStr">
        <is>
          <t>—</t>
        </is>
      </c>
      <c r="G67" s="13" t="inlineStr">
        <is>
          <t>EXCLUDED</t>
        </is>
      </c>
      <c r="H67" s="13" t="inlineStr">
        <is>
          <t>No 2025 Travelers on Prime/Sapphire/BoA/Monarch. Home moved to State Farm in February.</t>
        </is>
      </c>
    </row>
    <row r="68">
      <c r="A68" s="33" t="inlineStr">
        <is>
          <t>Checking 0203</t>
        </is>
      </c>
      <c r="B68" s="33" t="inlineStr">
        <is>
          <t>monthly</t>
        </is>
      </c>
      <c r="C68" s="33" t="inlineStr">
        <is>
          <t>ComEd Jacob Coley</t>
        </is>
      </c>
      <c r="D68" s="34" t="n">
        <v>829.15</v>
      </c>
      <c r="E68" s="33" t="inlineStr">
        <is>
          <t>ELECTRIC</t>
        </is>
      </c>
      <c r="F68" s="33" t="inlineStr">
        <is>
          <t>524 Unit 2</t>
        </is>
      </c>
      <c r="G68" s="33" t="inlineStr">
        <is>
          <t>TBD-MEGAN</t>
        </is>
      </c>
      <c r="H68" s="33" t="inlineStr">
        <is>
          <t>REMIND JACOB: double-check ComEd with Megan. Monarch Adv Plus ACH (not CC). Keep amounts until she confirms meters / any extra check.</t>
        </is>
      </c>
    </row>
    <row r="69">
      <c r="A69" s="33" t="inlineStr">
        <is>
          <t>Checking 0203</t>
        </is>
      </c>
      <c r="B69" s="33" t="inlineStr">
        <is>
          <t>monthly</t>
        </is>
      </c>
      <c r="C69" s="33" t="inlineStr">
        <is>
          <t>ComEd Megan Gerrard</t>
        </is>
      </c>
      <c r="D69" s="34" t="n">
        <v>1565.26</v>
      </c>
      <c r="E69" s="33" t="inlineStr">
        <is>
          <t>ELECTRIC</t>
        </is>
      </c>
      <c r="F69" s="33" t="inlineStr">
        <is>
          <t>524 Unit 1</t>
        </is>
      </c>
      <c r="G69" s="33" t="inlineStr">
        <is>
          <t>TBD-MEGAN</t>
        </is>
      </c>
      <c r="H69" s="33" t="inlineStr">
        <is>
          <t>REMIND JACOB: double-check ComEd with Megan. INDN Megan Gerrard on Jake checking. Keep amounts until confirmed.</t>
        </is>
      </c>
    </row>
    <row r="70">
      <c r="A70" s="11" t="inlineStr">
        <is>
          <t>Prime 2351</t>
        </is>
      </c>
      <c r="B70" s="11" t="inlineStr">
        <is>
          <t>2025-03-15</t>
        </is>
      </c>
      <c r="C70" s="11" t="inlineStr">
        <is>
          <t>THE HOME DEPOT #1901</t>
        </is>
      </c>
      <c r="D70" s="12" t="n">
        <v>28.14</v>
      </c>
      <c r="E70" s="11" t="inlineStr">
        <is>
          <t>EXTERIOR REPAIRS</t>
        </is>
      </c>
      <c r="F70" s="11" t="inlineStr">
        <is>
          <t>U1 50% / U2 50%</t>
        </is>
      </c>
      <c r="G70" s="11" t="inlineStr">
        <is>
          <t>APPLIED</t>
        </is>
      </c>
      <c r="H70" s="11" t="inlineStr">
        <is>
          <t>March HD 100% 524 repairs, then 50/50 U1/U2 → U2 $14.07 / U1 $14.07</t>
        </is>
      </c>
    </row>
    <row r="71">
      <c r="A71" s="11" t="inlineStr">
        <is>
          <t>Prime 2351</t>
        </is>
      </c>
      <c r="B71" s="11" t="inlineStr">
        <is>
          <t>2025-03-15</t>
        </is>
      </c>
      <c r="C71" s="11" t="inlineStr">
        <is>
          <t>THE HOME DEPOT #1901</t>
        </is>
      </c>
      <c r="D71" s="12" t="n">
        <v>50.75</v>
      </c>
      <c r="E71" s="11" t="inlineStr">
        <is>
          <t>EXTERIOR REPAIRS</t>
        </is>
      </c>
      <c r="F71" s="11" t="inlineStr">
        <is>
          <t>U1 50% / U2 50%</t>
        </is>
      </c>
      <c r="G71" s="11" t="inlineStr">
        <is>
          <t>APPLIED</t>
        </is>
      </c>
      <c r="H71" s="11" t="inlineStr">
        <is>
          <t>March HD 100% 524 repairs, then 50/50 U1/U2 → U2 $25.38 / U1 $25.37</t>
        </is>
      </c>
    </row>
    <row r="72">
      <c r="A72" s="11" t="inlineStr">
        <is>
          <t>Prime 2351</t>
        </is>
      </c>
      <c r="B72" s="11" t="inlineStr">
        <is>
          <t>2025-03-22</t>
        </is>
      </c>
      <c r="C72" s="11" t="inlineStr">
        <is>
          <t>THE HOME DEPOT #1901</t>
        </is>
      </c>
      <c r="D72" s="12" t="n">
        <v>93.95999999999999</v>
      </c>
      <c r="E72" s="11" t="inlineStr">
        <is>
          <t>EXTERIOR REPAIRS</t>
        </is>
      </c>
      <c r="F72" s="11" t="inlineStr">
        <is>
          <t>U1 50% / U2 50%</t>
        </is>
      </c>
      <c r="G72" s="11" t="inlineStr">
        <is>
          <t>APPLIED</t>
        </is>
      </c>
      <c r="H72" s="11" t="inlineStr">
        <is>
          <t>March HD 100% 524 repairs, then 50/50 U1/U2 → U2 $46.98 / U1 $46.98</t>
        </is>
      </c>
    </row>
    <row r="73">
      <c r="A73" s="11" t="inlineStr">
        <is>
          <t>Prime 2351</t>
        </is>
      </c>
      <c r="B73" s="11" t="inlineStr">
        <is>
          <t>2025-03-26</t>
        </is>
      </c>
      <c r="C73" s="11" t="inlineStr">
        <is>
          <t>HOMEDEPOT.COM</t>
        </is>
      </c>
      <c r="D73" s="12" t="n">
        <v>1185.8</v>
      </c>
      <c r="E73" s="11" t="inlineStr">
        <is>
          <t>EXTERIOR REPAIRS</t>
        </is>
      </c>
      <c r="F73" s="11" t="inlineStr">
        <is>
          <t>U1 50% / U2 50%</t>
        </is>
      </c>
      <c r="G73" s="11" t="inlineStr">
        <is>
          <t>APPLIED</t>
        </is>
      </c>
      <c r="H73" s="11" t="inlineStr">
        <is>
          <t>March HD 100% 524 repairs, then 50/50 U1/U2 → U2 $592.90 / U1 $592.90</t>
        </is>
      </c>
    </row>
    <row r="74">
      <c r="A74" s="11" t="inlineStr">
        <is>
          <t>Prime 2351</t>
        </is>
      </c>
      <c r="B74" s="11" t="inlineStr">
        <is>
          <t>2025-02-16</t>
        </is>
      </c>
      <c r="C74" s="11" t="inlineStr">
        <is>
          <t>THE HOME DEPOT #1901</t>
        </is>
      </c>
      <c r="D74" s="12" t="n">
        <v>11.34</v>
      </c>
      <c r="E74" s="11" t="inlineStr">
        <is>
          <t>EXTERIOR REPAIRS</t>
        </is>
      </c>
      <c r="F74" s="11" t="inlineStr">
        <is>
          <t>U1 50% / U2 50%</t>
        </is>
      </c>
      <c r="G74" s="11" t="inlineStr">
        <is>
          <t>APPLIED</t>
        </is>
      </c>
      <c r="H74" s="11" t="inlineStr">
        <is>
          <t>1/3 524 repairs / 1/3 personal / 1/3 827 N Grove the house (by transaction) → U2 $5.67 / U1 $5.67</t>
        </is>
      </c>
    </row>
    <row r="75">
      <c r="A75" s="13" t="inlineStr">
        <is>
          <t>Prime 2351</t>
        </is>
      </c>
      <c r="B75" s="13" t="inlineStr">
        <is>
          <t>2025-02-16</t>
        </is>
      </c>
      <c r="C75" s="13" t="inlineStr">
        <is>
          <t>THE HOME DEPOT #1901</t>
        </is>
      </c>
      <c r="D75" s="16" t="n">
        <v>11.34</v>
      </c>
      <c r="E75" s="13" t="inlineStr">
        <is>
          <t>personal</t>
        </is>
      </c>
      <c r="F75" s="13" t="inlineStr">
        <is>
          <t>—</t>
        </is>
      </c>
      <c r="G75" s="13" t="inlineStr">
        <is>
          <t>EXCLUDED</t>
        </is>
      </c>
      <c r="H75" s="13" t="inlineStr">
        <is>
          <t>User 2026-09-18: remaining HD/Lowe's/IKEA 1/3 personal (by transaction).</t>
        </is>
      </c>
    </row>
    <row r="76">
      <c r="A76" s="35" t="inlineStr">
        <is>
          <t>Prime 2351</t>
        </is>
      </c>
      <c r="B76" s="35" t="inlineStr">
        <is>
          <t>2025-02-16</t>
        </is>
      </c>
      <c r="C76" s="35" t="inlineStr">
        <is>
          <t>THE HOME DEPOT #1901</t>
        </is>
      </c>
      <c r="D76" s="36" t="n">
        <v>11.33</v>
      </c>
      <c r="E76" s="35" t="inlineStr">
        <is>
          <t>827 N Grove the house (not Grove Collaborative)</t>
        </is>
      </c>
      <c r="F76" s="35" t="inlineStr">
        <is>
          <t>827 Grove CapEx</t>
        </is>
      </c>
      <c r="G76" s="35" t="inlineStr">
        <is>
          <t>GROVE-SPLIT</t>
        </is>
      </c>
      <c r="H76" s="35" t="inlineStr">
        <is>
          <t>1/3 of txn for 827 N Grove the house. Pre-close materials — NOT Grove Collaborative supplies. NOT folded into locked TY2025 CapEx $53,660.</t>
        </is>
      </c>
    </row>
    <row r="77">
      <c r="A77" s="11" t="inlineStr">
        <is>
          <t>Prime 2351</t>
        </is>
      </c>
      <c r="B77" s="11" t="inlineStr">
        <is>
          <t>2025-02-17</t>
        </is>
      </c>
      <c r="C77" s="11" t="inlineStr">
        <is>
          <t>IKEA BOLINGBROOK</t>
        </is>
      </c>
      <c r="D77" s="12" t="n">
        <v>99.79000000000001</v>
      </c>
      <c r="E77" s="11" t="inlineStr">
        <is>
          <t>EXTERIOR REPAIRS</t>
        </is>
      </c>
      <c r="F77" s="11" t="inlineStr">
        <is>
          <t>U1 50% / U2 50%</t>
        </is>
      </c>
      <c r="G77" s="11" t="inlineStr">
        <is>
          <t>APPLIED</t>
        </is>
      </c>
      <c r="H77" s="11" t="inlineStr">
        <is>
          <t>1/3 524 repairs / 1/3 personal / 1/3 827 N Grove the house (by transaction) → U2 $49.90 / U1 $49.89</t>
        </is>
      </c>
    </row>
    <row r="78">
      <c r="A78" s="13" t="inlineStr">
        <is>
          <t>Prime 2351</t>
        </is>
      </c>
      <c r="B78" s="13" t="inlineStr">
        <is>
          <t>2025-02-17</t>
        </is>
      </c>
      <c r="C78" s="13" t="inlineStr">
        <is>
          <t>IKEA BOLINGBROOK</t>
        </is>
      </c>
      <c r="D78" s="16" t="n">
        <v>99.79000000000001</v>
      </c>
      <c r="E78" s="13" t="inlineStr">
        <is>
          <t>personal</t>
        </is>
      </c>
      <c r="F78" s="13" t="inlineStr">
        <is>
          <t>—</t>
        </is>
      </c>
      <c r="G78" s="13" t="inlineStr">
        <is>
          <t>EXCLUDED</t>
        </is>
      </c>
      <c r="H78" s="13" t="inlineStr">
        <is>
          <t>User 2026-09-18: remaining HD/Lowe's/IKEA 1/3 personal (by transaction).</t>
        </is>
      </c>
    </row>
    <row r="79">
      <c r="A79" s="35" t="inlineStr">
        <is>
          <t>Prime 2351</t>
        </is>
      </c>
      <c r="B79" s="35" t="inlineStr">
        <is>
          <t>2025-02-17</t>
        </is>
      </c>
      <c r="C79" s="35" t="inlineStr">
        <is>
          <t>IKEA BOLINGBROOK</t>
        </is>
      </c>
      <c r="D79" s="36" t="n">
        <v>99.79000000000001</v>
      </c>
      <c r="E79" s="35" t="inlineStr">
        <is>
          <t>827 N Grove the house (not Grove Collaborative)</t>
        </is>
      </c>
      <c r="F79" s="35" t="inlineStr">
        <is>
          <t>827 Grove CapEx</t>
        </is>
      </c>
      <c r="G79" s="35" t="inlineStr">
        <is>
          <t>GROVE-SPLIT</t>
        </is>
      </c>
      <c r="H79" s="35" t="inlineStr">
        <is>
          <t>1/3 of txn for 827 N Grove the house. Pre-close materials — NOT Grove Collaborative supplies. NOT folded into locked TY2025 CapEx $53,660.</t>
        </is>
      </c>
    </row>
    <row r="80">
      <c r="A80" s="11" t="inlineStr">
        <is>
          <t>Prime 2351</t>
        </is>
      </c>
      <c r="B80" s="11" t="inlineStr">
        <is>
          <t>2025-02-18</t>
        </is>
      </c>
      <c r="C80" s="11" t="inlineStr">
        <is>
          <t>IKEA 471245314</t>
        </is>
      </c>
      <c r="D80" s="12" t="n">
        <v>22</v>
      </c>
      <c r="E80" s="11" t="inlineStr">
        <is>
          <t>EXTERIOR REPAIRS</t>
        </is>
      </c>
      <c r="F80" s="11" t="inlineStr">
        <is>
          <t>U1 50% / U2 50%</t>
        </is>
      </c>
      <c r="G80" s="11" t="inlineStr">
        <is>
          <t>APPLIED</t>
        </is>
      </c>
      <c r="H80" s="11" t="inlineStr">
        <is>
          <t>1/3 524 repairs / 1/3 personal / 1/3 827 N Grove the house (by transaction) → U2 $11.00 / U1 $11.00</t>
        </is>
      </c>
    </row>
    <row r="81">
      <c r="A81" s="13" t="inlineStr">
        <is>
          <t>Prime 2351</t>
        </is>
      </c>
      <c r="B81" s="13" t="inlineStr">
        <is>
          <t>2025-02-18</t>
        </is>
      </c>
      <c r="C81" s="13" t="inlineStr">
        <is>
          <t>IKEA 471245314</t>
        </is>
      </c>
      <c r="D81" s="16" t="n">
        <v>21.99</v>
      </c>
      <c r="E81" s="13" t="inlineStr">
        <is>
          <t>personal</t>
        </is>
      </c>
      <c r="F81" s="13" t="inlineStr">
        <is>
          <t>—</t>
        </is>
      </c>
      <c r="G81" s="13" t="inlineStr">
        <is>
          <t>EXCLUDED</t>
        </is>
      </c>
      <c r="H81" s="13" t="inlineStr">
        <is>
          <t>User 2026-09-18: remaining HD/Lowe's/IKEA 1/3 personal (by transaction).</t>
        </is>
      </c>
    </row>
    <row r="82">
      <c r="A82" s="35" t="inlineStr">
        <is>
          <t>Prime 2351</t>
        </is>
      </c>
      <c r="B82" s="35" t="inlineStr">
        <is>
          <t>2025-02-18</t>
        </is>
      </c>
      <c r="C82" s="35" t="inlineStr">
        <is>
          <t>IKEA 471245314</t>
        </is>
      </c>
      <c r="D82" s="36" t="n">
        <v>21.99</v>
      </c>
      <c r="E82" s="35" t="inlineStr">
        <is>
          <t>827 N Grove the house (not Grove Collaborative)</t>
        </is>
      </c>
      <c r="F82" s="35" t="inlineStr">
        <is>
          <t>827 Grove CapEx</t>
        </is>
      </c>
      <c r="G82" s="35" t="inlineStr">
        <is>
          <t>GROVE-SPLIT</t>
        </is>
      </c>
      <c r="H82" s="35" t="inlineStr">
        <is>
          <t>1/3 of txn for 827 N Grove the house. Pre-close materials — NOT Grove Collaborative supplies. NOT folded into locked TY2025 CapEx $53,660.</t>
        </is>
      </c>
    </row>
    <row r="83">
      <c r="A83" s="11" t="inlineStr">
        <is>
          <t>Prime 2351</t>
        </is>
      </c>
      <c r="B83" s="11" t="inlineStr">
        <is>
          <t>2025-03-23</t>
        </is>
      </c>
      <c r="C83" s="11" t="inlineStr">
        <is>
          <t>LOWES #01845</t>
        </is>
      </c>
      <c r="D83" s="12" t="n">
        <v>18.57</v>
      </c>
      <c r="E83" s="11" t="inlineStr">
        <is>
          <t>EXTERIOR REPAIRS</t>
        </is>
      </c>
      <c r="F83" s="11" t="inlineStr">
        <is>
          <t>U1 50% / U2 50%</t>
        </is>
      </c>
      <c r="G83" s="11" t="inlineStr">
        <is>
          <t>APPLIED</t>
        </is>
      </c>
      <c r="H83" s="11" t="inlineStr">
        <is>
          <t>1/3 524 repairs / 1/3 personal / 1/3 827 N Grove the house (by transaction) → U2 $9.29 / U1 $9.28</t>
        </is>
      </c>
    </row>
    <row r="84">
      <c r="A84" s="13" t="inlineStr">
        <is>
          <t>Prime 2351</t>
        </is>
      </c>
      <c r="B84" s="13" t="inlineStr">
        <is>
          <t>2025-03-23</t>
        </is>
      </c>
      <c r="C84" s="13" t="inlineStr">
        <is>
          <t>LOWES #01845</t>
        </is>
      </c>
      <c r="D84" s="16" t="n">
        <v>18.56</v>
      </c>
      <c r="E84" s="13" t="inlineStr">
        <is>
          <t>personal</t>
        </is>
      </c>
      <c r="F84" s="13" t="inlineStr">
        <is>
          <t>—</t>
        </is>
      </c>
      <c r="G84" s="13" t="inlineStr">
        <is>
          <t>EXCLUDED</t>
        </is>
      </c>
      <c r="H84" s="13" t="inlineStr">
        <is>
          <t>User 2026-09-18: remaining HD/Lowe's/IKEA 1/3 personal (by transaction).</t>
        </is>
      </c>
    </row>
    <row r="85">
      <c r="A85" s="35" t="inlineStr">
        <is>
          <t>Prime 2351</t>
        </is>
      </c>
      <c r="B85" s="35" t="inlineStr">
        <is>
          <t>2025-03-23</t>
        </is>
      </c>
      <c r="C85" s="35" t="inlineStr">
        <is>
          <t>LOWES #01845</t>
        </is>
      </c>
      <c r="D85" s="36" t="n">
        <v>18.56</v>
      </c>
      <c r="E85" s="35" t="inlineStr">
        <is>
          <t>827 N Grove the house (not Grove Collaborative)</t>
        </is>
      </c>
      <c r="F85" s="35" t="inlineStr">
        <is>
          <t>827 Grove CapEx</t>
        </is>
      </c>
      <c r="G85" s="35" t="inlineStr">
        <is>
          <t>GROVE-SPLIT</t>
        </is>
      </c>
      <c r="H85" s="35" t="inlineStr">
        <is>
          <t>1/3 of txn for 827 N Grove the house. Pre-close materials — NOT Grove Collaborative supplies. NOT folded into locked TY2025 CapEx $53,660.</t>
        </is>
      </c>
    </row>
    <row r="86">
      <c r="A86" s="11" t="inlineStr">
        <is>
          <t>Prime 2351</t>
        </is>
      </c>
      <c r="B86" s="11" t="inlineStr">
        <is>
          <t>2025-04-20</t>
        </is>
      </c>
      <c r="C86" s="11" t="inlineStr">
        <is>
          <t>THE HOME DEPOT #1901</t>
        </is>
      </c>
      <c r="D86" s="12" t="n">
        <v>78.79000000000001</v>
      </c>
      <c r="E86" s="11" t="inlineStr">
        <is>
          <t>EXTERIOR REPAIRS</t>
        </is>
      </c>
      <c r="F86" s="11" t="inlineStr">
        <is>
          <t>U1 50% / U2 50%</t>
        </is>
      </c>
      <c r="G86" s="11" t="inlineStr">
        <is>
          <t>APPLIED</t>
        </is>
      </c>
      <c r="H86" s="11" t="inlineStr">
        <is>
          <t>1/3 524 repairs / 1/3 personal / 1/3 827 N Grove the house (by transaction) → U2 $39.40 / U1 $39.39</t>
        </is>
      </c>
    </row>
    <row r="87">
      <c r="A87" s="13" t="inlineStr">
        <is>
          <t>Prime 2351</t>
        </is>
      </c>
      <c r="B87" s="13" t="inlineStr">
        <is>
          <t>2025-04-20</t>
        </is>
      </c>
      <c r="C87" s="13" t="inlineStr">
        <is>
          <t>THE HOME DEPOT #1901</t>
        </is>
      </c>
      <c r="D87" s="16" t="n">
        <v>78.79000000000001</v>
      </c>
      <c r="E87" s="13" t="inlineStr">
        <is>
          <t>personal</t>
        </is>
      </c>
      <c r="F87" s="13" t="inlineStr">
        <is>
          <t>—</t>
        </is>
      </c>
      <c r="G87" s="13" t="inlineStr">
        <is>
          <t>EXCLUDED</t>
        </is>
      </c>
      <c r="H87" s="13" t="inlineStr">
        <is>
          <t>User 2026-09-18: remaining HD/Lowe's/IKEA 1/3 personal (by transaction).</t>
        </is>
      </c>
    </row>
    <row r="88">
      <c r="A88" s="35" t="inlineStr">
        <is>
          <t>Prime 2351</t>
        </is>
      </c>
      <c r="B88" s="35" t="inlineStr">
        <is>
          <t>2025-04-20</t>
        </is>
      </c>
      <c r="C88" s="35" t="inlineStr">
        <is>
          <t>THE HOME DEPOT #1901</t>
        </is>
      </c>
      <c r="D88" s="36" t="n">
        <v>78.78</v>
      </c>
      <c r="E88" s="35" t="inlineStr">
        <is>
          <t>827 N Grove the house (not Grove Collaborative)</t>
        </is>
      </c>
      <c r="F88" s="35" t="inlineStr">
        <is>
          <t>827 Grove CapEx</t>
        </is>
      </c>
      <c r="G88" s="35" t="inlineStr">
        <is>
          <t>GROVE-SPLIT</t>
        </is>
      </c>
      <c r="H88" s="35" t="inlineStr">
        <is>
          <t>1/3 of txn for 827 N Grove the house. Pre-close materials — NOT Grove Collaborative supplies. NOT folded into locked TY2025 CapEx $53,660.</t>
        </is>
      </c>
    </row>
    <row r="89">
      <c r="A89" s="11" t="inlineStr">
        <is>
          <t>Prime 2351</t>
        </is>
      </c>
      <c r="B89" s="11" t="inlineStr">
        <is>
          <t>2025-04-20</t>
        </is>
      </c>
      <c r="C89" s="11" t="inlineStr">
        <is>
          <t>THE HOME DEPOT #1901</t>
        </is>
      </c>
      <c r="D89" s="12" t="n">
        <v>0.36</v>
      </c>
      <c r="E89" s="11" t="inlineStr">
        <is>
          <t>EXTERIOR REPAIRS</t>
        </is>
      </c>
      <c r="F89" s="11" t="inlineStr">
        <is>
          <t>U1 50% / U2 50%</t>
        </is>
      </c>
      <c r="G89" s="11" t="inlineStr">
        <is>
          <t>APPLIED</t>
        </is>
      </c>
      <c r="H89" s="11" t="inlineStr">
        <is>
          <t>1/3 524 repairs / 1/3 personal / 1/3 827 N Grove the house (by transaction) → U2 $0.18 / U1 $0.18</t>
        </is>
      </c>
    </row>
    <row r="90">
      <c r="A90" s="13" t="inlineStr">
        <is>
          <t>Prime 2351</t>
        </is>
      </c>
      <c r="B90" s="13" t="inlineStr">
        <is>
          <t>2025-04-20</t>
        </is>
      </c>
      <c r="C90" s="13" t="inlineStr">
        <is>
          <t>THE HOME DEPOT #1901</t>
        </is>
      </c>
      <c r="D90" s="16" t="n">
        <v>0.36</v>
      </c>
      <c r="E90" s="13" t="inlineStr">
        <is>
          <t>personal</t>
        </is>
      </c>
      <c r="F90" s="13" t="inlineStr">
        <is>
          <t>—</t>
        </is>
      </c>
      <c r="G90" s="13" t="inlineStr">
        <is>
          <t>EXCLUDED</t>
        </is>
      </c>
      <c r="H90" s="13" t="inlineStr">
        <is>
          <t>User 2026-09-18: remaining HD/Lowe's/IKEA 1/3 personal (by transaction).</t>
        </is>
      </c>
    </row>
    <row r="91">
      <c r="A91" s="35" t="inlineStr">
        <is>
          <t>Prime 2351</t>
        </is>
      </c>
      <c r="B91" s="35" t="inlineStr">
        <is>
          <t>2025-04-20</t>
        </is>
      </c>
      <c r="C91" s="35" t="inlineStr">
        <is>
          <t>THE HOME DEPOT #1901</t>
        </is>
      </c>
      <c r="D91" s="36" t="n">
        <v>0.35</v>
      </c>
      <c r="E91" s="35" t="inlineStr">
        <is>
          <t>827 N Grove the house (not Grove Collaborative)</t>
        </is>
      </c>
      <c r="F91" s="35" t="inlineStr">
        <is>
          <t>827 Grove CapEx</t>
        </is>
      </c>
      <c r="G91" s="35" t="inlineStr">
        <is>
          <t>GROVE-SPLIT</t>
        </is>
      </c>
      <c r="H91" s="35" t="inlineStr">
        <is>
          <t>1/3 of txn for 827 N Grove the house. Pre-close materials — NOT Grove Collaborative supplies. NOT folded into locked TY2025 CapEx $53,660.</t>
        </is>
      </c>
    </row>
    <row r="92">
      <c r="A92" s="11" t="inlineStr">
        <is>
          <t>Prime 2351</t>
        </is>
      </c>
      <c r="B92" s="11" t="inlineStr">
        <is>
          <t>2025-07-06</t>
        </is>
      </c>
      <c r="C92" s="11" t="inlineStr">
        <is>
          <t>THE HOME DEPOT #1901</t>
        </is>
      </c>
      <c r="D92" s="12" t="n">
        <v>101.98</v>
      </c>
      <c r="E92" s="11" t="inlineStr">
        <is>
          <t>EXTERIOR REPAIRS</t>
        </is>
      </c>
      <c r="F92" s="11" t="inlineStr">
        <is>
          <t>U1 50% / U2 50%</t>
        </is>
      </c>
      <c r="G92" s="11" t="inlineStr">
        <is>
          <t>APPLIED</t>
        </is>
      </c>
      <c r="H92" s="11" t="inlineStr">
        <is>
          <t>1/3 524 repairs / 1/3 personal / 1/3 827 N Grove the house (by transaction) → U2 $50.99 / U1 $50.99</t>
        </is>
      </c>
    </row>
    <row r="93">
      <c r="A93" s="13" t="inlineStr">
        <is>
          <t>Prime 2351</t>
        </is>
      </c>
      <c r="B93" s="13" t="inlineStr">
        <is>
          <t>2025-07-06</t>
        </is>
      </c>
      <c r="C93" s="13" t="inlineStr">
        <is>
          <t>THE HOME DEPOT #1901</t>
        </is>
      </c>
      <c r="D93" s="16" t="n">
        <v>101.98</v>
      </c>
      <c r="E93" s="13" t="inlineStr">
        <is>
          <t>personal</t>
        </is>
      </c>
      <c r="F93" s="13" t="inlineStr">
        <is>
          <t>—</t>
        </is>
      </c>
      <c r="G93" s="13" t="inlineStr">
        <is>
          <t>EXCLUDED</t>
        </is>
      </c>
      <c r="H93" s="13" t="inlineStr">
        <is>
          <t>User 2026-09-18: remaining HD/Lowe's/IKEA 1/3 personal (by transaction).</t>
        </is>
      </c>
    </row>
    <row r="94">
      <c r="A94" s="35" t="inlineStr">
        <is>
          <t>Prime 2351</t>
        </is>
      </c>
      <c r="B94" s="35" t="inlineStr">
        <is>
          <t>2025-07-06</t>
        </is>
      </c>
      <c r="C94" s="35" t="inlineStr">
        <is>
          <t>THE HOME DEPOT #1901</t>
        </is>
      </c>
      <c r="D94" s="36" t="n">
        <v>101.98</v>
      </c>
      <c r="E94" s="35" t="inlineStr">
        <is>
          <t>827 N Grove the house (not Grove Collaborative)</t>
        </is>
      </c>
      <c r="F94" s="35" t="inlineStr">
        <is>
          <t>827 Grove CapEx</t>
        </is>
      </c>
      <c r="G94" s="35" t="inlineStr">
        <is>
          <t>GROVE-SPLIT</t>
        </is>
      </c>
      <c r="H94" s="35" t="inlineStr">
        <is>
          <t>1/3 of txn for 827 N Grove the house. Pre-close materials — NOT Grove Collaborative supplies. NOT folded into locked TY2025 CapEx $53,660.</t>
        </is>
      </c>
    </row>
    <row r="95">
      <c r="A95" s="11" t="inlineStr">
        <is>
          <t>Prime 2351</t>
        </is>
      </c>
      <c r="B95" s="11" t="inlineStr">
        <is>
          <t>2025-09-01</t>
        </is>
      </c>
      <c r="C95" s="11" t="inlineStr">
        <is>
          <t>LOWES #01845</t>
        </is>
      </c>
      <c r="D95" s="12" t="n">
        <v>69.73</v>
      </c>
      <c r="E95" s="11" t="inlineStr">
        <is>
          <t>EXTERIOR REPAIRS</t>
        </is>
      </c>
      <c r="F95" s="11" t="inlineStr">
        <is>
          <t>U1 50% / U2 50%</t>
        </is>
      </c>
      <c r="G95" s="11" t="inlineStr">
        <is>
          <t>APPLIED</t>
        </is>
      </c>
      <c r="H95" s="11" t="inlineStr">
        <is>
          <t>1/3 524 repairs / 1/3 personal / 1/3 827 N Grove the house (by transaction) → U2 $34.87 / U1 $34.86</t>
        </is>
      </c>
    </row>
    <row r="96">
      <c r="A96" s="13" t="inlineStr">
        <is>
          <t>Prime 2351</t>
        </is>
      </c>
      <c r="B96" s="13" t="inlineStr">
        <is>
          <t>2025-09-01</t>
        </is>
      </c>
      <c r="C96" s="13" t="inlineStr">
        <is>
          <t>LOWES #01845</t>
        </is>
      </c>
      <c r="D96" s="16" t="n">
        <v>69.73</v>
      </c>
      <c r="E96" s="13" t="inlineStr">
        <is>
          <t>personal</t>
        </is>
      </c>
      <c r="F96" s="13" t="inlineStr">
        <is>
          <t>—</t>
        </is>
      </c>
      <c r="G96" s="13" t="inlineStr">
        <is>
          <t>EXCLUDED</t>
        </is>
      </c>
      <c r="H96" s="13" t="inlineStr">
        <is>
          <t>User 2026-09-18: remaining HD/Lowe's/IKEA 1/3 personal (by transaction).</t>
        </is>
      </c>
    </row>
    <row r="97">
      <c r="A97" s="35" t="inlineStr">
        <is>
          <t>Prime 2351</t>
        </is>
      </c>
      <c r="B97" s="35" t="inlineStr">
        <is>
          <t>2025-09-01</t>
        </is>
      </c>
      <c r="C97" s="35" t="inlineStr">
        <is>
          <t>LOWES #01845</t>
        </is>
      </c>
      <c r="D97" s="36" t="n">
        <v>69.73</v>
      </c>
      <c r="E97" s="35" t="inlineStr">
        <is>
          <t>827 N Grove the house (not Grove Collaborative)</t>
        </is>
      </c>
      <c r="F97" s="35" t="inlineStr">
        <is>
          <t>827 Grove CapEx</t>
        </is>
      </c>
      <c r="G97" s="35" t="inlineStr">
        <is>
          <t>GROVE-SPLIT</t>
        </is>
      </c>
      <c r="H97" s="35" t="inlineStr">
        <is>
          <t>1/3 of txn for 827 N Grove the house. Pre-close materials — NOT Grove Collaborative supplies. NOT folded into locked TY2025 CapEx $53,660.</t>
        </is>
      </c>
    </row>
    <row r="98">
      <c r="A98" s="11" t="inlineStr">
        <is>
          <t>Prime 2351</t>
        </is>
      </c>
      <c r="B98" s="11" t="inlineStr">
        <is>
          <t>2025-10-11</t>
        </is>
      </c>
      <c r="C98" s="11" t="inlineStr">
        <is>
          <t>THE HOME DEPOT #1901</t>
        </is>
      </c>
      <c r="D98" s="12" t="n">
        <v>136.96</v>
      </c>
      <c r="E98" s="11" t="inlineStr">
        <is>
          <t>EXTERIOR REPAIRS</t>
        </is>
      </c>
      <c r="F98" s="11" t="inlineStr">
        <is>
          <t>U1 50% / U2 50%</t>
        </is>
      </c>
      <c r="G98" s="11" t="inlineStr">
        <is>
          <t>APPLIED</t>
        </is>
      </c>
      <c r="H98" s="11" t="inlineStr">
        <is>
          <t>1/3 524 repairs / 1/3 personal / 1/3 827 N Grove the house (by transaction) → U2 $68.48 / U1 $68.48</t>
        </is>
      </c>
    </row>
    <row r="99">
      <c r="A99" s="13" t="inlineStr">
        <is>
          <t>Prime 2351</t>
        </is>
      </c>
      <c r="B99" s="13" t="inlineStr">
        <is>
          <t>2025-10-11</t>
        </is>
      </c>
      <c r="C99" s="13" t="inlineStr">
        <is>
          <t>THE HOME DEPOT #1901</t>
        </is>
      </c>
      <c r="D99" s="16" t="n">
        <v>136.96</v>
      </c>
      <c r="E99" s="13" t="inlineStr">
        <is>
          <t>personal</t>
        </is>
      </c>
      <c r="F99" s="13" t="inlineStr">
        <is>
          <t>—</t>
        </is>
      </c>
      <c r="G99" s="13" t="inlineStr">
        <is>
          <t>EXCLUDED</t>
        </is>
      </c>
      <c r="H99" s="13" t="inlineStr">
        <is>
          <t>User 2026-09-18: remaining HD/Lowe's/IKEA 1/3 personal (by transaction).</t>
        </is>
      </c>
    </row>
    <row r="100">
      <c r="A100" s="35" t="inlineStr">
        <is>
          <t>Prime 2351</t>
        </is>
      </c>
      <c r="B100" s="35" t="inlineStr">
        <is>
          <t>2025-10-11</t>
        </is>
      </c>
      <c r="C100" s="35" t="inlineStr">
        <is>
          <t>THE HOME DEPOT #1901</t>
        </is>
      </c>
      <c r="D100" s="36" t="n">
        <v>136.96</v>
      </c>
      <c r="E100" s="35" t="inlineStr">
        <is>
          <t>827 N Grove the house (not Grove Collaborative)</t>
        </is>
      </c>
      <c r="F100" s="35" t="inlineStr">
        <is>
          <t>827 Grove CapEx</t>
        </is>
      </c>
      <c r="G100" s="35" t="inlineStr">
        <is>
          <t>GROVE-SPLIT</t>
        </is>
      </c>
      <c r="H100" s="35" t="inlineStr">
        <is>
          <t>1/3 of txn for 827 N Grove the house. Pre-close materials — NOT Grove Collaborative supplies. NOT folded into locked TY2025 CapEx $53,660.</t>
        </is>
      </c>
    </row>
    <row r="101">
      <c r="A101" s="11" t="inlineStr">
        <is>
          <t>Prime 2351</t>
        </is>
      </c>
      <c r="B101" s="11" t="inlineStr">
        <is>
          <t>2025-11-02</t>
        </is>
      </c>
      <c r="C101" s="11" t="inlineStr">
        <is>
          <t>THE HOME DEPOT #1901</t>
        </is>
      </c>
      <c r="D101" s="12" t="n">
        <v>64.66</v>
      </c>
      <c r="E101" s="11" t="inlineStr">
        <is>
          <t>EXTERIOR REPAIRS</t>
        </is>
      </c>
      <c r="F101" s="11" t="inlineStr">
        <is>
          <t>U1 50% / U2 50%</t>
        </is>
      </c>
      <c r="G101" s="11" t="inlineStr">
        <is>
          <t>APPLIED</t>
        </is>
      </c>
      <c r="H101" s="11" t="inlineStr">
        <is>
          <t>1/3 524 repairs / 1/3 personal / 1/3 827 N Grove the house (by transaction) → U2 $32.33 / U1 $32.33</t>
        </is>
      </c>
    </row>
    <row r="102">
      <c r="A102" s="13" t="inlineStr">
        <is>
          <t>Prime 2351</t>
        </is>
      </c>
      <c r="B102" s="13" t="inlineStr">
        <is>
          <t>2025-11-02</t>
        </is>
      </c>
      <c r="C102" s="13" t="inlineStr">
        <is>
          <t>THE HOME DEPOT #1901</t>
        </is>
      </c>
      <c r="D102" s="16" t="n">
        <v>64.66</v>
      </c>
      <c r="E102" s="13" t="inlineStr">
        <is>
          <t>personal</t>
        </is>
      </c>
      <c r="F102" s="13" t="inlineStr">
        <is>
          <t>—</t>
        </is>
      </c>
      <c r="G102" s="13" t="inlineStr">
        <is>
          <t>EXCLUDED</t>
        </is>
      </c>
      <c r="H102" s="13" t="inlineStr">
        <is>
          <t>User 2026-09-18: remaining HD/Lowe's/IKEA 1/3 personal (by transaction).</t>
        </is>
      </c>
    </row>
    <row r="103">
      <c r="A103" s="35" t="inlineStr">
        <is>
          <t>Prime 2351</t>
        </is>
      </c>
      <c r="B103" s="35" t="inlineStr">
        <is>
          <t>2025-11-02</t>
        </is>
      </c>
      <c r="C103" s="35" t="inlineStr">
        <is>
          <t>THE HOME DEPOT #1901</t>
        </is>
      </c>
      <c r="D103" s="36" t="n">
        <v>64.65000000000001</v>
      </c>
      <c r="E103" s="35" t="inlineStr">
        <is>
          <t>827 N Grove the house (not Grove Collaborative)</t>
        </is>
      </c>
      <c r="F103" s="35" t="inlineStr">
        <is>
          <t>827 Grove CapEx</t>
        </is>
      </c>
      <c r="G103" s="35" t="inlineStr">
        <is>
          <t>GROVE-SPLIT</t>
        </is>
      </c>
      <c r="H103" s="35" t="inlineStr">
        <is>
          <t>1/3 of txn for 827 N Grove the house. Pre-close materials — NOT Grove Collaborative supplies. NOT folded into locked TY2025 CapEx $53,660.</t>
        </is>
      </c>
    </row>
    <row r="104">
      <c r="A104" s="14" t="inlineStr">
        <is>
          <t>Prime 2351</t>
        </is>
      </c>
      <c r="B104" s="14" t="inlineStr">
        <is>
          <t>2025-12-10</t>
        </is>
      </c>
      <c r="C104" s="14" t="inlineStr">
        <is>
          <t>EXTRA SPACE 6720</t>
        </is>
      </c>
      <c r="D104" s="15" t="n">
        <v>360</v>
      </c>
      <c r="E104" s="14" t="inlineStr">
        <is>
          <t>storage?</t>
        </is>
      </c>
      <c r="F104" s="14" t="inlineStr">
        <is>
          <t>HOLD</t>
        </is>
      </c>
      <c r="G104" s="14" t="inlineStr">
        <is>
          <t>HOLD</t>
        </is>
      </c>
      <c r="H104" s="14" t="inlineStr">
        <is>
          <t>Was in Prime HOME total. Not HD/Lowe's/IKEA — still HOLD.</t>
        </is>
      </c>
    </row>
    <row r="106">
      <c r="A106" t="inlineStr">
        <is>
          <t>STATUS: APPLIED = monthly P&amp;L. EXCLUDED = personal. HOLD = still confirm. INVENTORY = Art Sales (not P&amp;L, not Cost total yet). TBD-MEGAN = ComEd — remind Jacob to ask Megan. GROVE-SPLIT = 827 N Grove the house materials (not Grove Collaborative), not locked $53,660.</t>
        </is>
      </c>
    </row>
  </sheetData>
  <autoFilter ref="A3:H104"/>
  <mergeCells count="2">
    <mergeCell ref="A106:H106"/>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78" customWidth="1" min="1" max="1"/>
    <col width="110" customWidth="1" min="2" max="2"/>
  </cols>
  <sheetData>
    <row r="1" ht="28" customHeight="1">
      <c r="A1" s="37" t="inlineStr">
        <is>
          <t>REMIND JACOB: Double-check ComEd with Megan (checking ACH and/or a check; confirm meters).</t>
        </is>
      </c>
    </row>
    <row r="2" ht="48" customHeight="1">
      <c r="A2" s="38" t="inlineStr">
        <is>
          <t>Monarch Adv Plus already has ComEd ACH: Jacob Coley $829.15 (Unit 2, yellow) and Megan Gerrard $1,565.26 (Unit 1, yellow). User said it must have been paid directly or with a check — confirm with Megan whether that ACH is complete or if extra check/direct payments exist. Not tax advice.</t>
        </is>
      </c>
    </row>
    <row r="4">
      <c r="A4" s="5" t="inlineStr">
        <is>
          <t>CONFIRMED 2026-09-18</t>
        </is>
      </c>
      <c r="B4" s="5" t="inlineStr">
        <is>
          <t>What was applied</t>
        </is>
      </c>
    </row>
    <row r="5" ht="36" customHeight="1">
      <c r="A5" s="39" t="inlineStr">
        <is>
          <t>Nicor meters</t>
        </is>
      </c>
      <c r="B5" s="39" t="inlineStr">
        <is>
          <t>CONFIRMED. Smaller Nicor → Unit 2 gas; larger seasonal → Unit 1.</t>
        </is>
      </c>
    </row>
    <row r="6" ht="36" customHeight="1">
      <c r="A6" s="39" t="inlineStr">
        <is>
          <t>Prime AT&amp;T $45–50</t>
        </is>
      </c>
      <c r="B6" s="39" t="inlineStr">
        <is>
          <t>CONFIRMED. 100% Unit 2 INTERNET.</t>
        </is>
      </c>
    </row>
    <row r="7" ht="36" customHeight="1">
      <c r="A7" s="39" t="inlineStr">
        <is>
          <t>Village water</t>
        </is>
      </c>
      <c r="B7" s="39" t="inlineStr">
        <is>
          <t>CONFIRMED. Forest Park bill 50/50 U1/U2.</t>
        </is>
      </c>
    </row>
    <row r="8" ht="36" customHeight="1">
      <c r="A8" s="39" t="inlineStr">
        <is>
          <t>TruGreen / Alsip / Good Earth</t>
        </is>
      </c>
      <c r="B8" s="39" t="inlineStr">
        <is>
          <t>CONFIRMED. Unit 2 exterior/yard (not EPGC).</t>
        </is>
      </c>
    </row>
    <row r="9" ht="36" customHeight="1">
      <c r="A9" s="39" t="inlineStr">
        <is>
          <t>Canva $15 Sep–Dec</t>
        </is>
      </c>
      <c r="B9" s="39" t="inlineStr">
        <is>
          <t>CONFIRMED. EPGC Software Fees.</t>
        </is>
      </c>
    </row>
    <row r="10" ht="36" customHeight="1">
      <c r="A10" s="39" t="inlineStr">
        <is>
          <t>Park Chicago $100</t>
        </is>
      </c>
      <c r="B10" s="39" t="inlineStr">
        <is>
          <t>CONFIRMED. EPGC Travel (five $20 BoA charges).</t>
        </is>
      </c>
    </row>
    <row r="11" ht="36" customHeight="1">
      <c r="A11" s="39" t="inlineStr">
        <is>
          <t>Great Frame Up $536.41</t>
        </is>
      </c>
      <c r="B11" s="39" t="inlineStr">
        <is>
          <t>CONFIRMED inventory framing. Art Sales tab; not EPGC P&amp;L.</t>
        </is>
      </c>
    </row>
    <row r="12" ht="36" customHeight="1">
      <c r="A12" s="39" t="inlineStr">
        <is>
          <t>LAMA $6,821.06 + Hindman $685.75</t>
        </is>
      </c>
      <c r="B12" s="39" t="inlineStr">
        <is>
          <t>CONFIRMED inventory purchases. Art Sales tab; identify objects before Cost total.</t>
        </is>
      </c>
    </row>
    <row r="13" ht="36" customHeight="1">
      <c r="A13" s="39" t="inlineStr">
        <is>
          <t>Field Museum $53</t>
        </is>
      </c>
      <c r="B13" s="39" t="inlineStr">
        <is>
          <t>CONFIRMED EPGC Travel (Coinbase 2025-11-01). Soldier Field East Parking $57 same day still HOLD.</t>
        </is>
      </c>
    </row>
    <row r="14" ht="36" customHeight="1">
      <c r="A14" s="39" t="inlineStr">
        <is>
          <t>March Home Depot → 524 repairs</t>
        </is>
      </c>
      <c r="B14" s="39" t="inlineStr">
        <is>
          <t>CONFIRMED (read “534” as 524 Ferdinand). March HD $1358.65 → EXTERIOR REPAIRS 50/50 U1/U2.</t>
        </is>
      </c>
    </row>
    <row r="15" ht="36" customHeight="1">
      <c r="A15" s="39" t="inlineStr">
        <is>
          <t>Remaining HD / Lowe’s / IKEA</t>
        </is>
      </c>
      <c r="B15" s="39" t="inlineStr">
        <is>
          <t>CONFIRMED split by transaction 1/3 524 repairs / 1/3 personal / 1/3 827 N Grove the house (NOT Grove Collaborative). Remaining $1812.46. Extra Space $360 HOLD.</t>
        </is>
      </c>
    </row>
    <row r="16" ht="36" customHeight="1">
      <c r="A16" s="39" t="inlineStr">
        <is>
          <t>Grove Collaborative orders</t>
        </is>
      </c>
      <c r="B16" s="39" t="inlineStr">
        <is>
          <t>CONFIRMED. “Grove orders” = Grove Collaborative supplies, not 827 N Grove the house. Prime $791.21 → 524 Unit 2 SUPPLIES (8 charges). Betty’s Pizza / KS Grove is unrelated (personal dining).</t>
        </is>
      </c>
    </row>
    <row r="17" ht="36" customHeight="1">
      <c r="A17" s="39" t="inlineStr">
        <is>
          <t>State Farm bundled home + auto</t>
        </is>
      </c>
      <c r="B17" s="39" t="inlineStr">
        <is>
          <t>CONFIRMED. Previously home=Travelers, car=Geico. Only the HOME share of Prime State Farm is on 524 INSURANCE (50/50 U1/U2, yellow). Auto share and Geico $540.89 credit are personal. Split uses Feb 11 unbundled $157.53 home / $145.25 auto as the ratio.</t>
        </is>
      </c>
    </row>
    <row r="18" ht="36" customHeight="1">
      <c r="A18" s="39" t="inlineStr">
        <is>
          <t>BoA checking folders = 9922 + 0203</t>
        </is>
      </c>
      <c r="B18" s="39" t="inlineStr">
        <is>
          <t>JSC Adv Plus 4830 6191 9922 (Jake) and joint Adv Plus 4830 7359 0203 (Megan+Jacob). 12 statements each for 2025. Monarch credits on those two accounts match the statement deposit sections sampled.</t>
        </is>
      </c>
    </row>
    <row r="19" ht="36" customHeight="1">
      <c r="A19" s="39" t="inlineStr">
        <is>
          <t>GCM board fee → Consultant</t>
        </is>
      </c>
      <c r="B19" s="39" t="inlineStr">
        <is>
          <t>Gates Capital BOM PAYMEN $21500.00: 2/12 $4,100 + 4/18 $9,200 + 9/13 $4,100 + 11/13 $4,100. Equals Form 1099-NEC $21,500. Booked EPGC Consultant (cash-basis month) and GCM tab. Income tab GCM actual was already $21,500.</t>
        </is>
      </c>
    </row>
    <row r="20" ht="36" customHeight="1">
      <c r="A20" s="39" t="inlineStr">
        <is>
          <t>GCM reimbursements EXCLUDED</t>
        </is>
      </c>
      <c r="B20" s="39" t="inlineStr">
        <is>
          <t>JAKE C / SEFOF on 9922 $3033.83 (board meeting $1,150.99; 5/22 $609.02 unlabeled; 11/05 $1,273.82). Plus Checking 8507 SEFOF $2180.86 (Wharton / annual conference / education committee) — that account is not in the two folders. Total reimbursement $5214.69 kept off Consultant.</t>
        </is>
      </c>
    </row>
    <row r="21" ht="36" customHeight="1">
      <c r="A21" s="39" t="inlineStr">
        <is>
          <t>LTR rent → 216 Oak Park STR / RENTAL INCOME</t>
        </is>
      </c>
      <c r="B21" s="39" t="inlineStr">
        <is>
          <t>JOHN T DELACH 8×$1,450 ($11600.00) + Joan Friedberger 2×$1,950 ($3900.00) on joint 0203. Ava L Hernandez 8×$500 ($4000.00) same rent memo / $1,950 combined — included yellow (ASK). TY2025 cash total $19500.00. Oct–Nov 2025: no rent on 0203.</t>
        </is>
      </c>
    </row>
    <row r="22" ht="36" customHeight="1">
      <c r="A22" s="39" t="inlineStr">
        <is>
          <t>Bear Creek not income</t>
        </is>
      </c>
      <c r="B22" s="39" t="inlineStr">
        <is>
          <t>Four wires $9,500 on Jake 9922 (1/9, 4/10, 7/10, 10/9) = $38000.00. Annual gift — excluded from Consultant / rental / Income tab.</t>
        </is>
      </c>
    </row>
    <row r="23" ht="36" customHeight="1">
      <c r="A23" s="39" t="inlineStr">
        <is>
          <t>UTMA not income</t>
        </is>
      </c>
      <c r="B23" s="39" t="inlineStr">
        <is>
          <t>Emma CMA 2T48 + sibling CMA 4729: Thomas wires $5,000 each Nov/Dec = $10000.00 (not ~$10k each). Treasury-note maturities $10,000 each 12/31 are principal, not gifts. Excluded from income.</t>
        </is>
      </c>
    </row>
    <row r="25">
      <c r="A25" s="5" t="inlineStr">
        <is>
          <t>STILL OPEN</t>
        </is>
      </c>
      <c r="B25" s="5" t="inlineStr">
        <is>
          <t>What to confirm</t>
        </is>
      </c>
    </row>
    <row r="26" ht="52" customHeight="1">
      <c r="A26" s="40" t="inlineStr">
        <is>
          <t>REMIND JACOB — ComEd with Megan</t>
        </is>
      </c>
      <c r="B26" s="40" t="inlineStr">
        <is>
          <t>Joint 0203 statements show ComEd ACH (e.g. 1/21 Jacob $59.04 + Megan $132.94). ComEd is not on these cards. Monarch Adv Plus shows ACH: Jacob Coley $829.15 → Unit 2 ELECTRIC; Megan Gerrard $1,565.26 → Unit 1 ELECTRIC (yellow). User: must have been paid directly or with a check. Double-check with Megan: meters, whether Jake checking ACH is the full picture, and any extra check/direct payments.</t>
        </is>
      </c>
    </row>
    <row r="27" ht="52" customHeight="1">
      <c r="A27" s="17" t="inlineStr">
        <is>
          <t>Soldier Field East Parking $57</t>
        </is>
      </c>
      <c r="B27" s="17" t="inlineStr">
        <is>
          <t>Coinbase 2025-11-01 same day as Field Museum. Not confirmed — HOLD.</t>
        </is>
      </c>
    </row>
    <row r="28" ht="52" customHeight="1">
      <c r="A28" s="17" t="inlineStr">
        <is>
          <t>Extra Space $360</t>
        </is>
      </c>
      <c r="B28" s="17" t="inlineStr">
        <is>
          <t>Prime 2025-12-10. Not part of the HD/Lowe’s/IKEA split — HOLD (storage vs moving vs personal).</t>
        </is>
      </c>
    </row>
    <row r="29" ht="52" customHeight="1">
      <c r="A29" s="17" t="inlineStr">
        <is>
          <t>State Farm declarations / Sep–Dec</t>
        </is>
      </c>
      <c r="B29" s="17" t="inlineStr">
        <is>
          <t>Home vs auto $ is a Feb-charge proxy ($157.53 home / $145.25 auto) until declarations pages. None on Prime Sep–Dec 2025 (524 sold 12/18 — those months may be another account). 2023–24 Excel booked all homeowners on U1; this packet 50/50’s the home share. No 2025 Travelers found on Prime/Sapphire/BoA/Monarch.</t>
        </is>
      </c>
    </row>
    <row r="30" ht="52" customHeight="1">
      <c r="A30" s="17" t="inlineStr">
        <is>
          <t>Inventory object IDs</t>
        </is>
      </c>
      <c r="B30" s="17" t="inlineStr">
        <is>
          <t>Frame Up $536.41 + LAMA $6,821.06 + Hindman $282.24 + $403.51 parked off Cost total until objects named (avoid Mercury double count).</t>
        </is>
      </c>
    </row>
    <row r="31" ht="52" customHeight="1">
      <c r="A31" s="17" t="inlineStr">
        <is>
          <t>827 N Grove the house — HD 1/3 vs locked CapEx</t>
        </is>
      </c>
      <c r="B31" s="17" t="inlineStr">
        <is>
          <t>HD/Lowe’s/IKEA 1/3 $604.12 is pre-close materials for 827 N Grove the house (Q5 split), not Grove Collaborative. Do NOT fold into locked TY2025 CapEx $53,660 until CPA says so.</t>
        </is>
      </c>
    </row>
    <row r="32" ht="52" customHeight="1">
      <c r="A32" s="17" t="inlineStr">
        <is>
          <t>Ava L Hernandez $500/mo rent</t>
        </is>
      </c>
      <c r="B32" s="17" t="inlineStr">
        <is>
          <t>Eight Zelle credits on joint 0203, same days as Delach, memo “rent”. Delach $1,450 + Ava $500 = $1,950, which is Joan’s later rent. Is Ava Delach’s roommate/co-tenant at 216 Oak Park? I booked her on STR / RENTAL INCOME (yellow) so the $1,950 unit rent is complete. Say if she should be excluded.</t>
        </is>
      </c>
    </row>
    <row r="33" ht="52" customHeight="1">
      <c r="A33" s="17" t="inlineStr">
        <is>
          <t>Oak Park vacant Oct–Nov 2025?</t>
        </is>
      </c>
      <c r="B33" s="17" t="inlineStr">
        <is>
          <t>No Delach / Ava / Joan rent on 0203 in October or November. Last Delach/Ava is 8/29 “September Rent”. Joan starts 12/1. Confirm those two months were vacant (and held for rent) for Sch E. Jan 2025 occupancy cash hit 12/31/2024 ($1,450+$500) — left out of TY2025 cash. Correct?</t>
        </is>
      </c>
    </row>
    <row r="34" ht="52" customHeight="1">
      <c r="A34" s="17" t="inlineStr">
        <is>
          <t>Joan Friedberger Dec cash</t>
        </is>
      </c>
      <c r="B34" s="17" t="inlineStr">
        <is>
          <t>12/1 $1,950 memo “rent” and 12/31 $1,950 memo “January rent” both in TY2025 cash. Is 12/1 December occupancy and 12/31 January 2026 prepaid? Also: Checking 8507 Zelle OUT $675 to Joan on 12/1 — deposit return / repair? Not on these two BoA folders.</t>
        </is>
      </c>
    </row>
    <row r="35" ht="52" customHeight="1">
      <c r="A35" s="17" t="inlineStr">
        <is>
          <t>GCM on EPGC Consultant vs personal 1099</t>
        </is>
      </c>
      <c r="B35" s="17" t="inlineStr">
        <is>
          <t>You said board fee → consultant line, so I put BOM $21,500 on EPGC LLC Consultant. Historically GCM lived on its own tab + Income “GCM Boards”, and EPGC Consultant was empty. 1099-NEC is in Jacob’s name from Gates Capital. Confirm: EPGC LLC (this booking) vs personal Sch C / GCM tab only (then I will zero EPGC Consultant so LLC P&amp;L is not mixed).</t>
        </is>
      </c>
    </row>
    <row r="36" ht="52" customHeight="1">
      <c r="A36" s="17" t="inlineStr">
        <is>
          <t>May 22 Gates $609.02</t>
        </is>
      </c>
      <c r="B36" s="17" t="inlineStr">
        <is>
          <t>Statement says GATES CAPITAL MA DES:JAKE C $609.02 — no PMT INFO. Same DES as reimbursements, not BOM PAYMEN. I excluded it from Consultant. Confirm it is reimbursement (or board fee if you say so).</t>
        </is>
      </c>
    </row>
    <row r="37" ht="52" customHeight="1">
      <c r="A37" s="17" t="inlineStr">
        <is>
          <t>Bear Creek $38,000 vs kids’ UTMA ~$10k each</t>
        </is>
      </c>
      <c r="B37" s="17" t="inlineStr">
        <is>
          <t>Bear Creek to Jake 9922 is $9,500×4 = $38,000 (not ~$10k). Thomas wires into the two CMA-Edge UTMAs are $5,000 each in late Nov. Are Bear Creek gifts to you (parents), and Thomas the kids’ UTMA? Is more UTMA cash coming that never hit these checkings (e.g. directly at Merrill)? 2/25 $36,000 9922→National Financial was reversed 2/27.</t>
        </is>
      </c>
    </row>
    <row r="38" ht="52" customHeight="1">
      <c r="A38" s="17" t="inlineStr">
        <is>
          <t>Freeman’s / CIBC $11,000 wire 12/24 on joint 0203</t>
        </is>
      </c>
      <c r="B38" s="17" t="inlineStr">
        <is>
          <t>ORIG:FREEMAN'S LLC via CIBC Bank USA; PMT DET Sale 6428 Contract 303468. Not W-2 payroll (those are DIR DEP on 9922). Art sale? Consignment? Other? HOLD off income until you say.</t>
        </is>
      </c>
    </row>
    <row r="39" ht="52" customHeight="1">
      <c r="A39" s="17" t="inlineStr">
        <is>
          <t>Checking 8507 (NOW) 2025 statements?</t>
        </is>
      </c>
      <c r="B39" s="17" t="inlineStr">
        <is>
          <t>Third checking in Monarch — Airbnb/VRBO STR, Megan Zelle, and the three GCM SEFOF reimbursements. Not in the two folders you just added. Upload 2025 statements if you want that account reconciled the same way.</t>
        </is>
      </c>
    </row>
    <row r="41">
      <c r="A41" s="5" t="inlineStr">
        <is>
          <t>Applied / split totals</t>
        </is>
      </c>
      <c r="B41" s="18" t="n"/>
    </row>
    <row r="42">
      <c r="A42" s="19" t="inlineStr">
        <is>
          <t>EPGC Travel (Park Chicago $100 + Field Museum $53)</t>
        </is>
      </c>
      <c r="B42" s="20" t="n">
        <v>153</v>
      </c>
    </row>
    <row r="43">
      <c r="A43" s="19" t="inlineStr">
        <is>
          <t>March HD 100% 524 repairs</t>
        </is>
      </c>
      <c r="B43" s="20" t="n">
        <v>1358.65</v>
      </c>
    </row>
    <row r="44">
      <c r="A44" s="19" t="inlineStr">
        <is>
          <t>Remaining HD/Lowe’s/IKEA (split pool)</t>
        </is>
      </c>
      <c r="B44" s="20" t="n">
        <v>1812.46</v>
      </c>
    </row>
    <row r="45">
      <c r="A45" s="19" t="inlineStr">
        <is>
          <t>524 repairs from remaining 1/3 (then 50/50 U1/U2)</t>
        </is>
      </c>
      <c r="B45" s="20" t="n">
        <v>604.1799999999999</v>
      </c>
    </row>
    <row r="46">
      <c r="A46" s="19" t="inlineStr">
        <is>
          <t>Unit 2 EXTERIOR add (March 50% + remaining 524-share 50%)</t>
        </is>
      </c>
      <c r="B46" s="20" t="n">
        <v>981.4400000000001</v>
      </c>
    </row>
    <row r="47">
      <c r="A47" s="19" t="inlineStr">
        <is>
          <t>Unit 1 EXTERIOR add (March 50% + remaining 524-share 50%)</t>
        </is>
      </c>
      <c r="B47" s="20" t="n">
        <v>981.39</v>
      </c>
    </row>
    <row r="48">
      <c r="A48" s="41" t="inlineStr">
        <is>
          <t>Personal 1/3 (excluded from P&amp;L)</t>
        </is>
      </c>
      <c r="B48" s="42" t="n">
        <v>604.16</v>
      </c>
    </row>
    <row r="49">
      <c r="A49" s="19" t="inlineStr">
        <is>
          <t>827 N Grove the house 1/3 HD/Lowe’s/IKEA (not Grove Collaborative; not locked $53,660)</t>
        </is>
      </c>
      <c r="B49" s="20" t="n">
        <v>604.12</v>
      </c>
    </row>
    <row r="50">
      <c r="A50" s="19" t="inlineStr">
        <is>
          <t>524 Unit 2 SUPPLIES (Grove Collaborative)</t>
        </is>
      </c>
      <c r="B50" s="20" t="n">
        <v>791.21</v>
      </c>
    </row>
    <row r="51">
      <c r="A51" s="45" t="inlineStr">
        <is>
          <t>Unit 2 ELECTRIC ComEd Jacob (YELLOW — ask Megan)</t>
        </is>
      </c>
      <c r="B51" s="46" t="n">
        <v>829.15</v>
      </c>
    </row>
    <row r="52">
      <c r="A52" s="45" t="inlineStr">
        <is>
          <t>Unit 1 ELECTRIC ComEd Megan (YELLOW — ask Megan)</t>
        </is>
      </c>
      <c r="B52" s="46" t="n">
        <v>1565.26</v>
      </c>
    </row>
    <row r="53">
      <c r="A53" s="4" t="inlineStr">
        <is>
          <t>524 INSURANCE home share (Unit 2 50%, yellow proxy)</t>
        </is>
      </c>
      <c r="B53" s="47" t="n">
        <v>552.76</v>
      </c>
    </row>
    <row r="54">
      <c r="A54" s="4" t="inlineStr">
        <is>
          <t>524 INSURANCE home share (Unit 1 50%, yellow proxy)</t>
        </is>
      </c>
      <c r="B54" s="47" t="n">
        <v>552.7</v>
      </c>
    </row>
    <row r="55">
      <c r="A55" s="41" t="inlineStr">
        <is>
          <t>State Farm auto share (personal, excluded)</t>
        </is>
      </c>
      <c r="B55" s="42" t="n">
        <v>1019.33</v>
      </c>
    </row>
    <row r="56">
      <c r="A56" s="41" t="inlineStr">
        <is>
          <t>Geico auto credit (personal, excluded)</t>
        </is>
      </c>
      <c r="B56" s="42" t="n">
        <v>-540.89</v>
      </c>
    </row>
    <row r="57">
      <c r="A57" s="19" t="inlineStr">
        <is>
          <t>Inventory parked (Frame Up + LAMA + Hindman)</t>
        </is>
      </c>
      <c r="B57" s="20" t="n">
        <v>8043.22</v>
      </c>
    </row>
    <row r="58">
      <c r="A58" s="4" t="inlineStr">
        <is>
          <t>Extra Space HOLD</t>
        </is>
      </c>
      <c r="B58" s="47" t="n">
        <v>360</v>
      </c>
    </row>
    <row r="59">
      <c r="A59" s="4" t="inlineStr">
        <is>
          <t>Soldier Field parking HOLD</t>
        </is>
      </c>
      <c r="B59" s="47" t="n">
        <v>57</v>
      </c>
    </row>
    <row r="61">
      <c r="A61" s="5" t="inlineStr">
        <is>
          <t>Checking inflows 2026-09-18</t>
        </is>
      </c>
      <c r="B61" s="18" t="n"/>
    </row>
    <row r="62">
      <c r="A62" s="4" t="inlineStr">
        <is>
          <t>216 Oak Park STR / RENTAL INCOME (cash, incl. Ava yellow)</t>
        </is>
      </c>
      <c r="B62" s="47" t="n">
        <v>19500</v>
      </c>
    </row>
    <row r="63">
      <c r="A63" s="19" t="inlineStr">
        <is>
          <t xml:space="preserve">  Delach 8 × $1,450</t>
        </is>
      </c>
      <c r="B63" s="20" t="n">
        <v>11600</v>
      </c>
    </row>
    <row r="64">
      <c r="A64" s="4" t="inlineStr">
        <is>
          <t xml:space="preserve">  Ava Hernandez 8 × $500 (ASK roommate)</t>
        </is>
      </c>
      <c r="B64" s="47" t="n">
        <v>4000</v>
      </c>
    </row>
    <row r="65">
      <c r="A65" s="4" t="inlineStr">
        <is>
          <t xml:space="preserve">  Joan Friedberger 2 × $1,950 (ASK Dec vs Jan prepaid)</t>
        </is>
      </c>
      <c r="B65" s="47" t="n">
        <v>3900</v>
      </c>
    </row>
    <row r="66">
      <c r="A66" s="19" t="inlineStr">
        <is>
          <t>EPGC Consultant = GCM BOM = 1099-NEC</t>
        </is>
      </c>
      <c r="B66" s="20" t="n">
        <v>21500</v>
      </c>
    </row>
    <row r="67">
      <c r="A67" s="41" t="inlineStr">
        <is>
          <t>GCM reimbursements EXCLUDED (9922 + 8507)</t>
        </is>
      </c>
      <c r="B67" s="42" t="n">
        <v>5214.69</v>
      </c>
    </row>
    <row r="68">
      <c r="A68" s="41" t="inlineStr">
        <is>
          <t>Bear Creek gift EXCLUDED (4 × $9,500)</t>
        </is>
      </c>
      <c r="B68" s="42" t="n">
        <v>38000</v>
      </c>
    </row>
    <row r="69">
      <c r="A69" s="41" t="inlineStr">
        <is>
          <t>UTMA Thomas wires EXCLUDED (2 × $5,000)</t>
        </is>
      </c>
      <c r="B69" s="42" t="n">
        <v>10000</v>
      </c>
    </row>
    <row r="70">
      <c r="A70" s="4" t="inlineStr">
        <is>
          <t>Freeman’s CIBC $11,000 12/24 HOLD</t>
        </is>
      </c>
      <c r="B70" s="47" t="n">
        <v>11000</v>
      </c>
    </row>
  </sheetData>
  <mergeCells count="2">
    <mergeCell ref="A2:B2"/>
    <mergeCell ref="A1:B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2"/>
  <sheetViews>
    <sheetView workbookViewId="0">
      <pane ySplit="4" topLeftCell="A5" activePane="bottomLeft" state="frozen"/>
      <selection pane="bottomLeft" activeCell="A1" sqref="A1"/>
    </sheetView>
  </sheetViews>
  <sheetFormatPr baseColWidth="8" defaultRowHeight="15"/>
  <cols>
    <col width="28" customWidth="1" min="1" max="1"/>
    <col width="14" customWidth="1" min="2" max="2"/>
    <col width="28" customWidth="1" min="3" max="3"/>
    <col width="12" customWidth="1" min="4" max="4"/>
    <col width="32" customWidth="1" min="5" max="5"/>
    <col width="22" customWidth="1" min="6" max="6"/>
    <col width="16" customWidth="1" min="7" max="7"/>
    <col width="70" customWidth="1" min="8" max="8"/>
  </cols>
  <sheetData>
    <row r="1">
      <c r="A1" s="9" t="inlineStr">
        <is>
          <t>2025 checking inflows — JSC 9922 + joint 0203 (folder 07) — not tax advice</t>
        </is>
      </c>
    </row>
    <row r="2" ht="40" customHeight="1">
      <c r="A2" s="26" t="inlineStr">
        <is>
          <t>Cash-basis by deposit date. BOM → Consultant. JAKE C / SEFOF → reimbursement EXCLUDED. Delach / Ava / Joan → 216 Oak Park STR / RENTAL INCOME. Bear Creek + UTMA Thomas wires → not income. Hindman/Freeman payroll stays on the W-2 tab. EPGC Mercury ACH into 9922 is a transfer, not income.</t>
        </is>
      </c>
    </row>
    <row r="4">
      <c r="A4" s="10" t="inlineStr">
        <is>
          <t>Account</t>
        </is>
      </c>
      <c r="B4" s="10" t="inlineStr">
        <is>
          <t>Date</t>
        </is>
      </c>
      <c r="C4" s="10" t="inlineStr">
        <is>
          <t>Counterparty</t>
        </is>
      </c>
      <c r="D4" s="10" t="inlineStr">
        <is>
          <t>Amount</t>
        </is>
      </c>
      <c r="E4" s="10" t="inlineStr">
        <is>
          <t>Bucket</t>
        </is>
      </c>
      <c r="F4" s="10" t="inlineStr">
        <is>
          <t>Tab</t>
        </is>
      </c>
      <c r="G4" s="10" t="inlineStr">
        <is>
          <t>Status</t>
        </is>
      </c>
      <c r="H4" s="10" t="inlineStr">
        <is>
          <t>Note</t>
        </is>
      </c>
    </row>
    <row r="5">
      <c r="A5" s="11" t="inlineStr">
        <is>
          <t>0203 joint</t>
        </is>
      </c>
      <c r="B5" s="11" t="inlineStr">
        <is>
          <t>2025-01-31</t>
        </is>
      </c>
      <c r="C5" s="11" t="inlineStr">
        <is>
          <t>JOHN T DELACH</t>
        </is>
      </c>
      <c r="D5" s="12" t="n">
        <v>1450</v>
      </c>
      <c r="E5" s="11" t="inlineStr">
        <is>
          <t>STR / RENTAL INCOME</t>
        </is>
      </c>
      <c r="F5" s="11" t="inlineStr">
        <is>
          <t>216 N. Oak Park Ave</t>
        </is>
      </c>
      <c r="G5" s="11" t="inlineStr">
        <is>
          <t>APPLIED</t>
        </is>
      </c>
      <c r="H5" s="11" t="inlineStr">
        <is>
          <t>February rent. LTR 216 Oak Park</t>
        </is>
      </c>
    </row>
    <row r="6">
      <c r="A6" s="14" t="inlineStr">
        <is>
          <t>0203 joint</t>
        </is>
      </c>
      <c r="B6" s="14" t="inlineStr">
        <is>
          <t>2025-01-31</t>
        </is>
      </c>
      <c r="C6" s="14" t="inlineStr">
        <is>
          <t>AVA L HERNANDEZ</t>
        </is>
      </c>
      <c r="D6" s="15" t="n">
        <v>500</v>
      </c>
      <c r="E6" s="14" t="inlineStr">
        <is>
          <t>STR / RENTAL INCOME</t>
        </is>
      </c>
      <c r="F6" s="14" t="inlineStr">
        <is>
          <t>216 N. Oak Park Ave</t>
        </is>
      </c>
      <c r="G6" s="14" t="inlineStr">
        <is>
          <t>APPLIED-YELLOW</t>
        </is>
      </c>
      <c r="H6" s="14" t="inlineStr">
        <is>
          <t>Rent (same day as Delach). Roommate/co-tenant? ASK</t>
        </is>
      </c>
    </row>
    <row r="7">
      <c r="A7" s="11" t="inlineStr">
        <is>
          <t>0203 joint</t>
        </is>
      </c>
      <c r="B7" s="11" t="inlineStr">
        <is>
          <t>2025-02-28</t>
        </is>
      </c>
      <c r="C7" s="11" t="inlineStr">
        <is>
          <t>JOHN T DELACH</t>
        </is>
      </c>
      <c r="D7" s="12" t="n">
        <v>1450</v>
      </c>
      <c r="E7" s="11" t="inlineStr">
        <is>
          <t>STR / RENTAL INCOME</t>
        </is>
      </c>
      <c r="F7" s="11" t="inlineStr">
        <is>
          <t>216 N. Oak Park Ave</t>
        </is>
      </c>
      <c r="G7" s="11" t="inlineStr">
        <is>
          <t>APPLIED</t>
        </is>
      </c>
      <c r="H7" s="11" t="inlineStr">
        <is>
          <t>March Rent. LTR 216 Oak Park</t>
        </is>
      </c>
    </row>
    <row r="8">
      <c r="A8" s="14" t="inlineStr">
        <is>
          <t>0203 joint</t>
        </is>
      </c>
      <c r="B8" s="14" t="inlineStr">
        <is>
          <t>2025-02-28</t>
        </is>
      </c>
      <c r="C8" s="14" t="inlineStr">
        <is>
          <t>AVA L HERNANDEZ</t>
        </is>
      </c>
      <c r="D8" s="15" t="n">
        <v>500</v>
      </c>
      <c r="E8" s="14" t="inlineStr">
        <is>
          <t>STR / RENTAL INCOME</t>
        </is>
      </c>
      <c r="F8" s="14" t="inlineStr">
        <is>
          <t>216 N. Oak Park Ave</t>
        </is>
      </c>
      <c r="G8" s="14" t="inlineStr">
        <is>
          <t>APPLIED-YELLOW</t>
        </is>
      </c>
      <c r="H8" s="14" t="inlineStr">
        <is>
          <t>Rent. Roommate/co-tenant? ASK</t>
        </is>
      </c>
    </row>
    <row r="9">
      <c r="A9" s="11" t="inlineStr">
        <is>
          <t>0203 joint</t>
        </is>
      </c>
      <c r="B9" s="11" t="inlineStr">
        <is>
          <t>2025-03-31</t>
        </is>
      </c>
      <c r="C9" s="11" t="inlineStr">
        <is>
          <t>JOHN T DELACH</t>
        </is>
      </c>
      <c r="D9" s="12" t="n">
        <v>1450</v>
      </c>
      <c r="E9" s="11" t="inlineStr">
        <is>
          <t>STR / RENTAL INCOME</t>
        </is>
      </c>
      <c r="F9" s="11" t="inlineStr">
        <is>
          <t>216 N. Oak Park Ave</t>
        </is>
      </c>
      <c r="G9" s="11" t="inlineStr">
        <is>
          <t>APPLIED</t>
        </is>
      </c>
      <c r="H9" s="11" t="inlineStr">
        <is>
          <t>April Rent. LTR 216 Oak Park</t>
        </is>
      </c>
    </row>
    <row r="10">
      <c r="A10" s="14" t="inlineStr">
        <is>
          <t>0203 joint</t>
        </is>
      </c>
      <c r="B10" s="14" t="inlineStr">
        <is>
          <t>2025-03-31</t>
        </is>
      </c>
      <c r="C10" s="14" t="inlineStr">
        <is>
          <t>AVA L HERNANDEZ</t>
        </is>
      </c>
      <c r="D10" s="15" t="n">
        <v>500</v>
      </c>
      <c r="E10" s="14" t="inlineStr">
        <is>
          <t>STR / RENTAL INCOME</t>
        </is>
      </c>
      <c r="F10" s="14" t="inlineStr">
        <is>
          <t>216 N. Oak Park Ave</t>
        </is>
      </c>
      <c r="G10" s="14" t="inlineStr">
        <is>
          <t>APPLIED-YELLOW</t>
        </is>
      </c>
      <c r="H10" s="14" t="inlineStr">
        <is>
          <t>April Rent. Roommate/co-tenant? ASK</t>
        </is>
      </c>
    </row>
    <row r="11">
      <c r="A11" s="14" t="inlineStr">
        <is>
          <t>0203 joint</t>
        </is>
      </c>
      <c r="B11" s="14" t="inlineStr">
        <is>
          <t>2025-04-28</t>
        </is>
      </c>
      <c r="C11" s="14" t="inlineStr">
        <is>
          <t>AVA L HERNANDEZ</t>
        </is>
      </c>
      <c r="D11" s="15" t="n">
        <v>500</v>
      </c>
      <c r="E11" s="14" t="inlineStr">
        <is>
          <t>STR / RENTAL INCOME</t>
        </is>
      </c>
      <c r="F11" s="14" t="inlineStr">
        <is>
          <t>216 N. Oak Park Ave</t>
        </is>
      </c>
      <c r="G11" s="14" t="inlineStr">
        <is>
          <t>APPLIED-YELLOW</t>
        </is>
      </c>
      <c r="H11" s="14" t="inlineStr">
        <is>
          <t>May Rent. Roommate/co-tenant? ASK</t>
        </is>
      </c>
    </row>
    <row r="12">
      <c r="A12" s="11" t="inlineStr">
        <is>
          <t>0203 joint</t>
        </is>
      </c>
      <c r="B12" s="11" t="inlineStr">
        <is>
          <t>2025-04-30</t>
        </is>
      </c>
      <c r="C12" s="11" t="inlineStr">
        <is>
          <t>JOHN T DELACH</t>
        </is>
      </c>
      <c r="D12" s="12" t="n">
        <v>1450</v>
      </c>
      <c r="E12" s="11" t="inlineStr">
        <is>
          <t>STR / RENTAL INCOME</t>
        </is>
      </c>
      <c r="F12" s="11" t="inlineStr">
        <is>
          <t>216 N. Oak Park Ave</t>
        </is>
      </c>
      <c r="G12" s="11" t="inlineStr">
        <is>
          <t>APPLIED</t>
        </is>
      </c>
      <c r="H12" s="11" t="inlineStr">
        <is>
          <t>May Rent. LTR 216 Oak Park</t>
        </is>
      </c>
    </row>
    <row r="13">
      <c r="A13" s="11" t="inlineStr">
        <is>
          <t>0203 joint</t>
        </is>
      </c>
      <c r="B13" s="11" t="inlineStr">
        <is>
          <t>2025-05-30</t>
        </is>
      </c>
      <c r="C13" s="11" t="inlineStr">
        <is>
          <t>JOHN T DELACH</t>
        </is>
      </c>
      <c r="D13" s="12" t="n">
        <v>1450</v>
      </c>
      <c r="E13" s="11" t="inlineStr">
        <is>
          <t>STR / RENTAL INCOME</t>
        </is>
      </c>
      <c r="F13" s="11" t="inlineStr">
        <is>
          <t>216 N. Oak Park Ave</t>
        </is>
      </c>
      <c r="G13" s="11" t="inlineStr">
        <is>
          <t>APPLIED</t>
        </is>
      </c>
      <c r="H13" s="11" t="inlineStr">
        <is>
          <t>June rent. LTR 216 Oak Park</t>
        </is>
      </c>
    </row>
    <row r="14">
      <c r="A14" s="14" t="inlineStr">
        <is>
          <t>0203 joint</t>
        </is>
      </c>
      <c r="B14" s="14" t="inlineStr">
        <is>
          <t>2025-05-30</t>
        </is>
      </c>
      <c r="C14" s="14" t="inlineStr">
        <is>
          <t>AVA L HERNANDEZ</t>
        </is>
      </c>
      <c r="D14" s="15" t="n">
        <v>500</v>
      </c>
      <c r="E14" s="14" t="inlineStr">
        <is>
          <t>STR / RENTAL INCOME</t>
        </is>
      </c>
      <c r="F14" s="14" t="inlineStr">
        <is>
          <t>216 N. Oak Park Ave</t>
        </is>
      </c>
      <c r="G14" s="14" t="inlineStr">
        <is>
          <t>APPLIED-YELLOW</t>
        </is>
      </c>
      <c r="H14" s="14" t="inlineStr">
        <is>
          <t>June rent. Roommate/co-tenant? ASK</t>
        </is>
      </c>
    </row>
    <row r="15">
      <c r="A15" s="14" t="inlineStr">
        <is>
          <t>0203 joint</t>
        </is>
      </c>
      <c r="B15" s="14" t="inlineStr">
        <is>
          <t>2025-06-23</t>
        </is>
      </c>
      <c r="C15" s="14" t="inlineStr">
        <is>
          <t>AVA L HERNANDEZ</t>
        </is>
      </c>
      <c r="D15" s="15" t="n">
        <v>500</v>
      </c>
      <c r="E15" s="14" t="inlineStr">
        <is>
          <t>STR / RENTAL INCOME</t>
        </is>
      </c>
      <c r="F15" s="14" t="inlineStr">
        <is>
          <t>216 N. Oak Park Ave</t>
        </is>
      </c>
      <c r="G15" s="14" t="inlineStr">
        <is>
          <t>APPLIED-YELLOW</t>
        </is>
      </c>
      <c r="H15" s="14" t="inlineStr">
        <is>
          <t>july rent. Roommate/co-tenant? ASK</t>
        </is>
      </c>
    </row>
    <row r="16">
      <c r="A16" s="11" t="inlineStr">
        <is>
          <t>0203 joint</t>
        </is>
      </c>
      <c r="B16" s="11" t="inlineStr">
        <is>
          <t>2025-06-30</t>
        </is>
      </c>
      <c r="C16" s="11" t="inlineStr">
        <is>
          <t>JOHN T DELACH</t>
        </is>
      </c>
      <c r="D16" s="12" t="n">
        <v>1450</v>
      </c>
      <c r="E16" s="11" t="inlineStr">
        <is>
          <t>STR / RENTAL INCOME</t>
        </is>
      </c>
      <c r="F16" s="11" t="inlineStr">
        <is>
          <t>216 N. Oak Park Ave</t>
        </is>
      </c>
      <c r="G16" s="11" t="inlineStr">
        <is>
          <t>APPLIED</t>
        </is>
      </c>
      <c r="H16" s="11" t="inlineStr">
        <is>
          <t>july rent. LTR 216 Oak Park</t>
        </is>
      </c>
    </row>
    <row r="17">
      <c r="A17" s="11" t="inlineStr">
        <is>
          <t>0203 joint</t>
        </is>
      </c>
      <c r="B17" s="11" t="inlineStr">
        <is>
          <t>2025-07-31</t>
        </is>
      </c>
      <c r="C17" s="11" t="inlineStr">
        <is>
          <t>JOHN T DELACH</t>
        </is>
      </c>
      <c r="D17" s="12" t="n">
        <v>1450</v>
      </c>
      <c r="E17" s="11" t="inlineStr">
        <is>
          <t>STR / RENTAL INCOME</t>
        </is>
      </c>
      <c r="F17" s="11" t="inlineStr">
        <is>
          <t>216 N. Oak Park Ave</t>
        </is>
      </c>
      <c r="G17" s="11" t="inlineStr">
        <is>
          <t>APPLIED</t>
        </is>
      </c>
      <c r="H17" s="11" t="inlineStr">
        <is>
          <t>august rent. LTR 216 Oak Park</t>
        </is>
      </c>
    </row>
    <row r="18">
      <c r="A18" s="14" t="inlineStr">
        <is>
          <t>0203 joint</t>
        </is>
      </c>
      <c r="B18" s="14" t="inlineStr">
        <is>
          <t>2025-08-01</t>
        </is>
      </c>
      <c r="C18" s="14" t="inlineStr">
        <is>
          <t>AVA L HERNANDEZ</t>
        </is>
      </c>
      <c r="D18" s="15" t="n">
        <v>500</v>
      </c>
      <c r="E18" s="14" t="inlineStr">
        <is>
          <t>STR / RENTAL INCOME</t>
        </is>
      </c>
      <c r="F18" s="14" t="inlineStr">
        <is>
          <t>216 N. Oak Park Ave</t>
        </is>
      </c>
      <c r="G18" s="14" t="inlineStr">
        <is>
          <t>APPLIED-YELLOW</t>
        </is>
      </c>
      <c r="H18" s="14" t="inlineStr">
        <is>
          <t>August rent. Roommate/co-tenant? ASK</t>
        </is>
      </c>
    </row>
    <row r="19">
      <c r="A19" s="11" t="inlineStr">
        <is>
          <t>0203 joint</t>
        </is>
      </c>
      <c r="B19" s="11" t="inlineStr">
        <is>
          <t>2025-08-29</t>
        </is>
      </c>
      <c r="C19" s="11" t="inlineStr">
        <is>
          <t>JOHN T DELACH</t>
        </is>
      </c>
      <c r="D19" s="12" t="n">
        <v>1450</v>
      </c>
      <c r="E19" s="11" t="inlineStr">
        <is>
          <t>STR / RENTAL INCOME</t>
        </is>
      </c>
      <c r="F19" s="11" t="inlineStr">
        <is>
          <t>216 N. Oak Park Ave</t>
        </is>
      </c>
      <c r="G19" s="11" t="inlineStr">
        <is>
          <t>APPLIED</t>
        </is>
      </c>
      <c r="H19" s="11" t="inlineStr">
        <is>
          <t>September Rent. LTR 216 Oak Park</t>
        </is>
      </c>
    </row>
    <row r="20">
      <c r="A20" s="14" t="inlineStr">
        <is>
          <t>0203 joint</t>
        </is>
      </c>
      <c r="B20" s="14" t="inlineStr">
        <is>
          <t>2025-08-29</t>
        </is>
      </c>
      <c r="C20" s="14" t="inlineStr">
        <is>
          <t>AVA L HERNANDEZ</t>
        </is>
      </c>
      <c r="D20" s="15" t="n">
        <v>500</v>
      </c>
      <c r="E20" s="14" t="inlineStr">
        <is>
          <t>STR / RENTAL INCOME</t>
        </is>
      </c>
      <c r="F20" s="14" t="inlineStr">
        <is>
          <t>216 N. Oak Park Ave</t>
        </is>
      </c>
      <c r="G20" s="14" t="inlineStr">
        <is>
          <t>APPLIED-YELLOW</t>
        </is>
      </c>
      <c r="H20" s="14" t="inlineStr">
        <is>
          <t>september rent. Roommate/co-tenant? ASK</t>
        </is>
      </c>
    </row>
    <row r="21">
      <c r="A21" s="14" t="inlineStr">
        <is>
          <t>0203 joint</t>
        </is>
      </c>
      <c r="B21" s="14" t="inlineStr">
        <is>
          <t>2025-12-01</t>
        </is>
      </c>
      <c r="C21" s="14" t="inlineStr">
        <is>
          <t>JOAN FRIEDBERGER</t>
        </is>
      </c>
      <c r="D21" s="15" t="n">
        <v>1950</v>
      </c>
      <c r="E21" s="14" t="inlineStr">
        <is>
          <t>STR / RENTAL INCOME</t>
        </is>
      </c>
      <c r="F21" s="14" t="inlineStr">
        <is>
          <t>216 N. Oak Park Ave</t>
        </is>
      </c>
      <c r="G21" s="14" t="inlineStr">
        <is>
          <t>APPLIED-YELLOW</t>
        </is>
      </c>
      <c r="H21" s="14" t="inlineStr">
        <is>
          <t>rent. Dec occupancy vs prepaid? ASK</t>
        </is>
      </c>
    </row>
    <row r="22">
      <c r="A22" s="14" t="inlineStr">
        <is>
          <t>0203 joint</t>
        </is>
      </c>
      <c r="B22" s="14" t="inlineStr">
        <is>
          <t>2025-12-31</t>
        </is>
      </c>
      <c r="C22" s="14" t="inlineStr">
        <is>
          <t>JOAN FRIEDBERGER</t>
        </is>
      </c>
      <c r="D22" s="15" t="n">
        <v>1950</v>
      </c>
      <c r="E22" s="14" t="inlineStr">
        <is>
          <t>STR / RENTAL INCOME</t>
        </is>
      </c>
      <c r="F22" s="14" t="inlineStr">
        <is>
          <t>216 N. Oak Park Ave</t>
        </is>
      </c>
      <c r="G22" s="14" t="inlineStr">
        <is>
          <t>APPLIED-YELLOW</t>
        </is>
      </c>
      <c r="H22" s="14" t="inlineStr">
        <is>
          <t>January rent. Jan 2026 prepaid cash in TY2025. ASK</t>
        </is>
      </c>
    </row>
    <row r="23">
      <c r="A23" s="11" t="inlineStr">
        <is>
          <t>9922 JSC</t>
        </is>
      </c>
      <c r="B23" s="11" t="inlineStr">
        <is>
          <t>2025-02-12</t>
        </is>
      </c>
      <c r="C23" s="11" t="inlineStr">
        <is>
          <t>Gates Capital</t>
        </is>
      </c>
      <c r="D23" s="12" t="n">
        <v>4100</v>
      </c>
      <c r="E23" s="11" t="inlineStr">
        <is>
          <t>Consultant</t>
        </is>
      </c>
      <c r="F23" s="11" t="inlineStr">
        <is>
          <t>EPGC LLC + GCM</t>
        </is>
      </c>
      <c r="G23" s="11" t="inlineStr">
        <is>
          <t>APPLIED</t>
        </is>
      </c>
      <c r="H23" s="11" t="inlineStr">
        <is>
          <t>BOM PAYMEN</t>
        </is>
      </c>
    </row>
    <row r="24">
      <c r="A24" s="11" t="inlineStr">
        <is>
          <t>9922 JSC</t>
        </is>
      </c>
      <c r="B24" s="11" t="inlineStr">
        <is>
          <t>2025-04-18</t>
        </is>
      </c>
      <c r="C24" s="11" t="inlineStr">
        <is>
          <t>Gates Capital</t>
        </is>
      </c>
      <c r="D24" s="12" t="n">
        <v>9200</v>
      </c>
      <c r="E24" s="11" t="inlineStr">
        <is>
          <t>Consultant</t>
        </is>
      </c>
      <c r="F24" s="11" t="inlineStr">
        <is>
          <t>EPGC LLC + GCM</t>
        </is>
      </c>
      <c r="G24" s="11" t="inlineStr">
        <is>
          <t>APPLIED</t>
        </is>
      </c>
      <c r="H24" s="11" t="inlineStr">
        <is>
          <t>BOM PAYMEN</t>
        </is>
      </c>
    </row>
    <row r="25">
      <c r="A25" s="11" t="inlineStr">
        <is>
          <t>9922 JSC</t>
        </is>
      </c>
      <c r="B25" s="11" t="inlineStr">
        <is>
          <t>2025-09-13</t>
        </is>
      </c>
      <c r="C25" s="11" t="inlineStr">
        <is>
          <t>Gates Capital</t>
        </is>
      </c>
      <c r="D25" s="12" t="n">
        <v>4100</v>
      </c>
      <c r="E25" s="11" t="inlineStr">
        <is>
          <t>Consultant</t>
        </is>
      </c>
      <c r="F25" s="11" t="inlineStr">
        <is>
          <t>EPGC LLC + GCM</t>
        </is>
      </c>
      <c r="G25" s="11" t="inlineStr">
        <is>
          <t>APPLIED</t>
        </is>
      </c>
      <c r="H25" s="11" t="inlineStr">
        <is>
          <t>BOM PAYMEN</t>
        </is>
      </c>
    </row>
    <row r="26">
      <c r="A26" s="11" t="inlineStr">
        <is>
          <t>9922 JSC</t>
        </is>
      </c>
      <c r="B26" s="11" t="inlineStr">
        <is>
          <t>2025-11-13</t>
        </is>
      </c>
      <c r="C26" s="11" t="inlineStr">
        <is>
          <t>Gates Capital</t>
        </is>
      </c>
      <c r="D26" s="12" t="n">
        <v>4100</v>
      </c>
      <c r="E26" s="11" t="inlineStr">
        <is>
          <t>Consultant</t>
        </is>
      </c>
      <c r="F26" s="11" t="inlineStr">
        <is>
          <t>EPGC LLC + GCM</t>
        </is>
      </c>
      <c r="G26" s="11" t="inlineStr">
        <is>
          <t>APPLIED</t>
        </is>
      </c>
      <c r="H26" s="11" t="inlineStr">
        <is>
          <t>BOM PAYMEN</t>
        </is>
      </c>
    </row>
    <row r="27">
      <c r="A27" s="13" t="inlineStr">
        <is>
          <t>9922 JSC</t>
        </is>
      </c>
      <c r="B27" s="13" t="inlineStr">
        <is>
          <t>2025-02-18</t>
        </is>
      </c>
      <c r="C27" s="13" t="inlineStr">
        <is>
          <t>Gates Capital</t>
        </is>
      </c>
      <c r="D27" s="16" t="n">
        <v>1150.99</v>
      </c>
      <c r="E27" s="13" t="inlineStr">
        <is>
          <t>Reimbursement</t>
        </is>
      </c>
      <c r="F27" s="13" t="inlineStr">
        <is>
          <t>—</t>
        </is>
      </c>
      <c r="G27" s="13" t="inlineStr">
        <is>
          <t>EXCLUDED</t>
        </is>
      </c>
      <c r="H27" s="13" t="inlineStr">
        <is>
          <t>PMT INFO: BOARD MEETING EXPENSES</t>
        </is>
      </c>
    </row>
    <row r="28">
      <c r="A28" s="13" t="inlineStr">
        <is>
          <t>9922 JSC</t>
        </is>
      </c>
      <c r="B28" s="13" t="inlineStr">
        <is>
          <t>2025-05-22</t>
        </is>
      </c>
      <c r="C28" s="13" t="inlineStr">
        <is>
          <t>Gates Capital</t>
        </is>
      </c>
      <c r="D28" s="16" t="n">
        <v>609.02</v>
      </c>
      <c r="E28" s="13" t="inlineStr">
        <is>
          <t>Reimbursement</t>
        </is>
      </c>
      <c r="F28" s="13" t="inlineStr">
        <is>
          <t>—</t>
        </is>
      </c>
      <c r="G28" s="13" t="inlineStr">
        <is>
          <t>EXCLUDED</t>
        </is>
      </c>
      <c r="H28" s="13" t="inlineStr">
        <is>
          <t>JAKE C — no PMT INFO on statement; odd cents, not BOM — treated as reimburse</t>
        </is>
      </c>
    </row>
    <row r="29">
      <c r="A29" s="13" t="inlineStr">
        <is>
          <t>9922 JSC</t>
        </is>
      </c>
      <c r="B29" s="13" t="inlineStr">
        <is>
          <t>2025-11-05</t>
        </is>
      </c>
      <c r="C29" s="13" t="inlineStr">
        <is>
          <t>Gates Capital</t>
        </is>
      </c>
      <c r="D29" s="16" t="n">
        <v>1273.82</v>
      </c>
      <c r="E29" s="13" t="inlineStr">
        <is>
          <t>Reimbursement</t>
        </is>
      </c>
      <c r="F29" s="13" t="inlineStr">
        <is>
          <t>—</t>
        </is>
      </c>
      <c r="G29" s="13" t="inlineStr">
        <is>
          <t>EXCLUDED</t>
        </is>
      </c>
      <c r="H29" s="13" t="inlineStr">
        <is>
          <t>Monarch tag Reimburse; statement JAKE C (not BOM)</t>
        </is>
      </c>
    </row>
    <row r="30">
      <c r="A30" s="13" t="inlineStr">
        <is>
          <t>8507 NOW (not in folders)</t>
        </is>
      </c>
      <c r="B30" s="13" t="inlineStr">
        <is>
          <t>2025-07-25</t>
        </is>
      </c>
      <c r="C30" s="13" t="inlineStr">
        <is>
          <t>Gates Capital</t>
        </is>
      </c>
      <c r="D30" s="16" t="n">
        <v>462.48</v>
      </c>
      <c r="E30" s="13" t="inlineStr">
        <is>
          <t>Reimbursement</t>
        </is>
      </c>
      <c r="F30" s="13" t="inlineStr">
        <is>
          <t>—</t>
        </is>
      </c>
      <c r="G30" s="13" t="inlineStr">
        <is>
          <t>EXCLUDED</t>
        </is>
      </c>
      <c r="H30" s="13" t="inlineStr">
        <is>
          <t>SEFOF WHARTON EXPENSES — not on the two BoA folders</t>
        </is>
      </c>
    </row>
    <row r="31">
      <c r="A31" s="13" t="inlineStr">
        <is>
          <t>8507 NOW (not in folders)</t>
        </is>
      </c>
      <c r="B31" s="13" t="inlineStr">
        <is>
          <t>2025-07-31</t>
        </is>
      </c>
      <c r="C31" s="13" t="inlineStr">
        <is>
          <t>Gates Capital</t>
        </is>
      </c>
      <c r="D31" s="16" t="n">
        <v>1254.93</v>
      </c>
      <c r="E31" s="13" t="inlineStr">
        <is>
          <t>Reimbursement</t>
        </is>
      </c>
      <c r="F31" s="13" t="inlineStr">
        <is>
          <t>—</t>
        </is>
      </c>
      <c r="G31" s="13" t="inlineStr">
        <is>
          <t>EXCLUDED</t>
        </is>
      </c>
      <c r="H31" s="13" t="inlineStr">
        <is>
          <t>SEFOF ANNUAL CONFERENCE EXPENSES</t>
        </is>
      </c>
    </row>
    <row r="32">
      <c r="A32" s="13" t="inlineStr">
        <is>
          <t>8507 NOW (not in folders)</t>
        </is>
      </c>
      <c r="B32" s="13" t="inlineStr">
        <is>
          <t>2025-11-05</t>
        </is>
      </c>
      <c r="C32" s="13" t="inlineStr">
        <is>
          <t>Gates Capital</t>
        </is>
      </c>
      <c r="D32" s="16" t="n">
        <v>463.45</v>
      </c>
      <c r="E32" s="13" t="inlineStr">
        <is>
          <t>Reimbursement</t>
        </is>
      </c>
      <c r="F32" s="13" t="inlineStr">
        <is>
          <t>—</t>
        </is>
      </c>
      <c r="G32" s="13" t="inlineStr">
        <is>
          <t>EXCLUDED</t>
        </is>
      </c>
      <c r="H32" s="13" t="inlineStr">
        <is>
          <t>SEFOF REIMBURSE EXPENSES FOR EDUCATION COMMITTEE</t>
        </is>
      </c>
    </row>
    <row r="33">
      <c r="A33" s="13" t="inlineStr">
        <is>
          <t>9922 JSC</t>
        </is>
      </c>
      <c r="B33" s="13" t="inlineStr">
        <is>
          <t>2025-01-09</t>
        </is>
      </c>
      <c r="C33" s="13" t="inlineStr">
        <is>
          <t>Bear Creek Inc.</t>
        </is>
      </c>
      <c r="D33" s="16" t="n">
        <v>9500</v>
      </c>
      <c r="E33" s="13" t="inlineStr">
        <is>
          <t>Annual gift</t>
        </is>
      </c>
      <c r="F33" s="13" t="inlineStr">
        <is>
          <t>—</t>
        </is>
      </c>
      <c r="G33" s="13" t="inlineStr">
        <is>
          <t>EXCLUDED</t>
        </is>
      </c>
      <c r="H33" s="13" t="inlineStr">
        <is>
          <t>BEAR CREEK INC - CLIENT W / JPMorgan; PMT DET ATS OF 25/01/07</t>
        </is>
      </c>
    </row>
    <row r="34">
      <c r="A34" s="13" t="inlineStr">
        <is>
          <t>9922 JSC</t>
        </is>
      </c>
      <c r="B34" s="13" t="inlineStr">
        <is>
          <t>2025-04-10</t>
        </is>
      </c>
      <c r="C34" s="13" t="inlineStr">
        <is>
          <t>Bear Creek Inc.</t>
        </is>
      </c>
      <c r="D34" s="16" t="n">
        <v>9500</v>
      </c>
      <c r="E34" s="13" t="inlineStr">
        <is>
          <t>Annual gift</t>
        </is>
      </c>
      <c r="F34" s="13" t="inlineStr">
        <is>
          <t>—</t>
        </is>
      </c>
      <c r="G34" s="13" t="inlineStr">
        <is>
          <t>EXCLUDED</t>
        </is>
      </c>
      <c r="H34" s="13" t="inlineStr">
        <is>
          <t>BEAR CREEK INC.-CASH / Northern Trust</t>
        </is>
      </c>
    </row>
    <row r="35">
      <c r="A35" s="13" t="inlineStr">
        <is>
          <t>9922 JSC</t>
        </is>
      </c>
      <c r="B35" s="13" t="inlineStr">
        <is>
          <t>2025-07-10</t>
        </is>
      </c>
      <c r="C35" s="13" t="inlineStr">
        <is>
          <t>Bear Creek Inc.</t>
        </is>
      </c>
      <c r="D35" s="16" t="n">
        <v>9500</v>
      </c>
      <c r="E35" s="13" t="inlineStr">
        <is>
          <t>Annual gift</t>
        </is>
      </c>
      <c r="F35" s="13" t="inlineStr">
        <is>
          <t>—</t>
        </is>
      </c>
      <c r="G35" s="13" t="inlineStr">
        <is>
          <t>EXCLUDED</t>
        </is>
      </c>
      <c r="H35" s="13" t="inlineStr">
        <is>
          <t>BEAR CREEK INC.-CASH / Northern Trust</t>
        </is>
      </c>
    </row>
    <row r="36">
      <c r="A36" s="13" t="inlineStr">
        <is>
          <t>9922 JSC</t>
        </is>
      </c>
      <c r="B36" s="13" t="inlineStr">
        <is>
          <t>2025-10-09</t>
        </is>
      </c>
      <c r="C36" s="13" t="inlineStr">
        <is>
          <t>Bear Creek Inc.</t>
        </is>
      </c>
      <c r="D36" s="16" t="n">
        <v>9500</v>
      </c>
      <c r="E36" s="13" t="inlineStr">
        <is>
          <t>Annual gift</t>
        </is>
      </c>
      <c r="F36" s="13" t="inlineStr">
        <is>
          <t>—</t>
        </is>
      </c>
      <c r="G36" s="13" t="inlineStr">
        <is>
          <t>EXCLUDED</t>
        </is>
      </c>
      <c r="H36" s="13" t="inlineStr">
        <is>
          <t>BEAR CREEK INC.-CASH / Northern Trust</t>
        </is>
      </c>
    </row>
    <row r="37">
      <c r="A37" s="13" t="inlineStr">
        <is>
          <t>CMA-Edge 4729</t>
        </is>
      </c>
      <c r="B37" s="13" t="inlineStr">
        <is>
          <t>2025-11-28</t>
        </is>
      </c>
      <c r="C37" s="13" t="inlineStr">
        <is>
          <t>THOMAS (wire)</t>
        </is>
      </c>
      <c r="D37" s="16" t="n">
        <v>5000</v>
      </c>
      <c r="E37" s="13" t="inlineStr">
        <is>
          <t>UTMA gift</t>
        </is>
      </c>
      <c r="F37" s="13" t="inlineStr">
        <is>
          <t>—</t>
        </is>
      </c>
      <c r="G37" s="13" t="inlineStr">
        <is>
          <t>EXCLUDED</t>
        </is>
      </c>
      <c r="H37" s="13" t="inlineStr">
        <is>
          <t>WIRE TRF IN ORG THOMAS — Phoebe UTMA (ASK which child)</t>
        </is>
      </c>
    </row>
    <row r="38">
      <c r="A38" s="13" t="inlineStr">
        <is>
          <t>CMA-Edge 2T48</t>
        </is>
      </c>
      <c r="B38" s="13" t="inlineStr">
        <is>
          <t>2025-12-02</t>
        </is>
      </c>
      <c r="C38" s="13" t="inlineStr">
        <is>
          <t>THOMAS (wire)</t>
        </is>
      </c>
      <c r="D38" s="16" t="n">
        <v>5000</v>
      </c>
      <c r="E38" s="13" t="inlineStr">
        <is>
          <t>UTMA gift</t>
        </is>
      </c>
      <c r="F38" s="13" t="inlineStr">
        <is>
          <t>—</t>
        </is>
      </c>
      <c r="G38" s="13" t="inlineStr">
        <is>
          <t>EXCLUDED</t>
        </is>
      </c>
      <c r="H38" s="13" t="inlineStr">
        <is>
          <t>WIRE TRF IN ORG THOMAS as-of 11/28 — Emma UTMA 2T48</t>
        </is>
      </c>
    </row>
    <row r="39">
      <c r="A39" s="14" t="inlineStr">
        <is>
          <t>0203 joint</t>
        </is>
      </c>
      <c r="B39" s="14" t="inlineStr">
        <is>
          <t>2025-12-24</t>
        </is>
      </c>
      <c r="C39" s="14" t="inlineStr">
        <is>
          <t>Freeman's LLC / CIBC</t>
        </is>
      </c>
      <c r="D39" s="15" t="n">
        <v>11000</v>
      </c>
      <c r="E39" s="14" t="inlineStr">
        <is>
          <t>Unknown — Sale 6428 Contract</t>
        </is>
      </c>
      <c r="F39" s="14" t="inlineStr">
        <is>
          <t>—</t>
        </is>
      </c>
      <c r="G39" s="14" t="inlineStr">
        <is>
          <t>HOLD</t>
        </is>
      </c>
      <c r="H39" s="14" t="inlineStr">
        <is>
          <t>Not payroll. ASK: art sale vs other.</t>
        </is>
      </c>
    </row>
    <row r="40">
      <c r="A40" s="14" t="inlineStr">
        <is>
          <t>8507 NOW</t>
        </is>
      </c>
      <c r="B40" s="14" t="inlineStr">
        <is>
          <t>2025-12-01</t>
        </is>
      </c>
      <c r="C40" s="14" t="inlineStr">
        <is>
          <t>JOAN FRIEDBERGER</t>
        </is>
      </c>
      <c r="D40" s="15" t="n">
        <v>-675</v>
      </c>
      <c r="E40" s="14" t="inlineStr">
        <is>
          <t>Zelle OUT</t>
        </is>
      </c>
      <c r="F40" s="14" t="inlineStr">
        <is>
          <t>—</t>
        </is>
      </c>
      <c r="G40" s="14" t="inlineStr">
        <is>
          <t>HOLD</t>
        </is>
      </c>
      <c r="H40" s="14" t="inlineStr">
        <is>
          <t>Same day as Joan rent in. Deposit/repair? ASK.</t>
        </is>
      </c>
    </row>
    <row r="42">
      <c r="A42" t="inlineStr">
        <is>
          <t>STATUS: APPLIED = in monthly P&amp;L (green). APPLIED-YELLOW = in P&amp;L pending your yes/no. EXCLUDED = not income. HOLD = parked.</t>
        </is>
      </c>
    </row>
  </sheetData>
  <autoFilter ref="A4:H40"/>
  <mergeCells count="3">
    <mergeCell ref="A42:H4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16" customWidth="1" min="3" max="3"/>
    <col width="16" customWidth="1" min="4" max="4"/>
    <col width="12" customWidth="1" min="5" max="5"/>
    <col width="12" customWidth="1" min="6" max="6"/>
    <col width="22" customWidth="1" min="7" max="7"/>
    <col width="52" customWidth="1" min="8" max="8"/>
  </cols>
  <sheetData>
    <row r="1">
      <c r="A1" s="9" t="inlineStr">
        <is>
          <t>State Farm 2025 — home vs auto split (user 2026-09-18) — not tax advice</t>
        </is>
      </c>
    </row>
    <row r="2" ht="72" customHeight="1">
      <c r="A2" s="26" t="inlineStr">
        <is>
          <t>Bundled car + home at State Farm. Previously home=Travelers, car=Geico. Feb 11 Prime charged two unbundled policies: $157.53 (HOME — replaces Travelers) and $145.25 (AUTO — leftover Prime SF in 2026 after 524 sold is ~$147). Mar–Jul combined $302.75; Aug $308.26. Home = round(bill × 157.53/302.78); auto = remainder. Only HOME → 524 INSURANCE 50/50 U1/U2 (yellow). Geico *AUTO credit $540.89 (2025-02-11) is unused auto premium — personal, not 524. No 2025 Travelers on Prime/Sapphire/BoA/Monarch. No Sep–Dec SF on Prime.</t>
        </is>
      </c>
    </row>
    <row r="4">
      <c r="A4" s="10" t="inlineStr">
        <is>
          <t>Month</t>
        </is>
      </c>
      <c r="B4" s="10" t="inlineStr">
        <is>
          <t>Prime billed $</t>
        </is>
      </c>
      <c r="C4" s="10" t="inlineStr">
        <is>
          <t>HOME → 524</t>
        </is>
      </c>
      <c r="D4" s="10" t="inlineStr">
        <is>
          <t>AUTO personal</t>
        </is>
      </c>
      <c r="E4" s="10" t="inlineStr">
        <is>
          <t>U2 50%</t>
        </is>
      </c>
      <c r="F4" s="10" t="inlineStr">
        <is>
          <t>U1 50%</t>
        </is>
      </c>
      <c r="G4" s="10" t="inlineStr">
        <is>
          <t>On 524 P&amp;L?</t>
        </is>
      </c>
      <c r="H4" s="10" t="inlineStr">
        <is>
          <t>Note</t>
        </is>
      </c>
    </row>
    <row r="5">
      <c r="A5" s="48" t="inlineStr">
        <is>
          <t>FEB</t>
        </is>
      </c>
      <c r="B5" s="49" t="n">
        <v>302.78</v>
      </c>
      <c r="C5" s="15" t="n">
        <v>157.53</v>
      </c>
      <c r="D5" s="16" t="n">
        <v>145.25</v>
      </c>
      <c r="E5" s="15" t="n">
        <v>78.77</v>
      </c>
      <c r="F5" s="15" t="n">
        <v>78.76000000000001</v>
      </c>
      <c r="G5" s="48" t="inlineStr">
        <is>
          <t>HOME only (yellow)</t>
        </is>
      </c>
      <c r="H5" s="48" t="inlineStr">
        <is>
          <t>Feb 11 two policies $157.53 + $145.25</t>
        </is>
      </c>
    </row>
    <row r="6">
      <c r="A6" s="48" t="inlineStr">
        <is>
          <t>MAR</t>
        </is>
      </c>
      <c r="B6" s="49" t="n">
        <v>302.75</v>
      </c>
      <c r="C6" s="15" t="n">
        <v>157.51</v>
      </c>
      <c r="D6" s="16" t="n">
        <v>145.24</v>
      </c>
      <c r="E6" s="15" t="n">
        <v>78.76000000000001</v>
      </c>
      <c r="F6" s="15" t="n">
        <v>78.75</v>
      </c>
      <c r="G6" s="48" t="inlineStr">
        <is>
          <t>HOME only (yellow)</t>
        </is>
      </c>
      <c r="H6" s="48" t="inlineStr">
        <is>
          <t>Mar combined</t>
        </is>
      </c>
    </row>
    <row r="7">
      <c r="A7" s="48" t="inlineStr">
        <is>
          <t>APR</t>
        </is>
      </c>
      <c r="B7" s="49" t="n">
        <v>302.75</v>
      </c>
      <c r="C7" s="15" t="n">
        <v>157.51</v>
      </c>
      <c r="D7" s="16" t="n">
        <v>145.24</v>
      </c>
      <c r="E7" s="15" t="n">
        <v>78.76000000000001</v>
      </c>
      <c r="F7" s="15" t="n">
        <v>78.75</v>
      </c>
      <c r="G7" s="48" t="inlineStr">
        <is>
          <t>HOME only (yellow)</t>
        </is>
      </c>
      <c r="H7" s="48" t="inlineStr">
        <is>
          <t>Apr combined</t>
        </is>
      </c>
    </row>
    <row r="8">
      <c r="A8" s="48" t="inlineStr">
        <is>
          <t>MAY</t>
        </is>
      </c>
      <c r="B8" s="49" t="n">
        <v>302.75</v>
      </c>
      <c r="C8" s="15" t="n">
        <v>157.51</v>
      </c>
      <c r="D8" s="16" t="n">
        <v>145.24</v>
      </c>
      <c r="E8" s="15" t="n">
        <v>78.76000000000001</v>
      </c>
      <c r="F8" s="15" t="n">
        <v>78.75</v>
      </c>
      <c r="G8" s="48" t="inlineStr">
        <is>
          <t>HOME only (yellow)</t>
        </is>
      </c>
      <c r="H8" s="48" t="inlineStr">
        <is>
          <t>May combined</t>
        </is>
      </c>
    </row>
    <row r="9">
      <c r="A9" s="48" t="inlineStr">
        <is>
          <t>JUN</t>
        </is>
      </c>
      <c r="B9" s="49" t="n">
        <v>302.75</v>
      </c>
      <c r="C9" s="15" t="n">
        <v>157.51</v>
      </c>
      <c r="D9" s="16" t="n">
        <v>145.24</v>
      </c>
      <c r="E9" s="15" t="n">
        <v>78.76000000000001</v>
      </c>
      <c r="F9" s="15" t="n">
        <v>78.75</v>
      </c>
      <c r="G9" s="48" t="inlineStr">
        <is>
          <t>HOME only (yellow)</t>
        </is>
      </c>
      <c r="H9" s="48" t="inlineStr">
        <is>
          <t>Jun combined</t>
        </is>
      </c>
    </row>
    <row r="10">
      <c r="A10" s="48" t="inlineStr">
        <is>
          <t>JUL</t>
        </is>
      </c>
      <c r="B10" s="49" t="n">
        <v>302.75</v>
      </c>
      <c r="C10" s="15" t="n">
        <v>157.51</v>
      </c>
      <c r="D10" s="16" t="n">
        <v>145.24</v>
      </c>
      <c r="E10" s="15" t="n">
        <v>78.76000000000001</v>
      </c>
      <c r="F10" s="15" t="n">
        <v>78.75</v>
      </c>
      <c r="G10" s="48" t="inlineStr">
        <is>
          <t>HOME only (yellow)</t>
        </is>
      </c>
      <c r="H10" s="48" t="inlineStr">
        <is>
          <t>Jul combined</t>
        </is>
      </c>
    </row>
    <row r="11">
      <c r="A11" s="48" t="inlineStr">
        <is>
          <t>AUG</t>
        </is>
      </c>
      <c r="B11" s="49" t="n">
        <v>308.26</v>
      </c>
      <c r="C11" s="15" t="n">
        <v>160.38</v>
      </c>
      <c r="D11" s="16" t="n">
        <v>147.88</v>
      </c>
      <c r="E11" s="15" t="n">
        <v>80.19</v>
      </c>
      <c r="F11" s="15" t="n">
        <v>80.19</v>
      </c>
      <c r="G11" s="48" t="inlineStr">
        <is>
          <t>HOME only (yellow)</t>
        </is>
      </c>
      <c r="H11" s="48" t="inlineStr">
        <is>
          <t>Aug combined</t>
        </is>
      </c>
    </row>
    <row r="12">
      <c r="A12" s="29" t="inlineStr">
        <is>
          <t>TOTAL</t>
        </is>
      </c>
      <c r="B12" s="53" t="n">
        <v>2124.79</v>
      </c>
      <c r="C12" s="54" t="n">
        <v>1105.46</v>
      </c>
      <c r="D12" s="55" t="n">
        <v>1019.33</v>
      </c>
      <c r="E12" s="54" t="n">
        <v>552.76</v>
      </c>
      <c r="F12" s="54" t="n">
        <v>552.7</v>
      </c>
    </row>
    <row r="14">
      <c r="A14" t="inlineStr">
        <is>
          <t>Geico *AUTO credit 2025-02-11</t>
        </is>
      </c>
      <c r="D14" s="42" t="n">
        <v>-540.89</v>
      </c>
      <c r="G14" s="41" t="inlineStr">
        <is>
          <t>EXCLUDED personal</t>
        </is>
      </c>
      <c r="H14" t="inlineStr">
        <is>
          <t>Unused Geico auto premium when switching to State Farm auto. Not 524 income.</t>
        </is>
      </c>
    </row>
    <row r="16" ht="36" customHeight="1">
      <c r="A16" s="26" t="inlineStr">
        <is>
          <t>CPA: 2023–24 Personal Income booked all homeowners on Unit 1 ($0 on Unit 2). This packet 50/50’s the 2025 home share across both units because it is a building policy. Swap to 100% Unit 1 if that is the method you want to keep. Declarations pages beat this proxy.</t>
        </is>
      </c>
    </row>
    <row r="17"/>
  </sheetData>
  <mergeCells count="3">
    <mergeCell ref="A16:H17"/>
    <mergeCell ref="A2:H2"/>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1"/>
  <sheetViews>
    <sheetView workbookViewId="0">
      <pane ySplit="4" topLeftCell="A5" activePane="bottomLeft" state="frozen"/>
      <selection pane="bottomLeft" activeCell="A1" sqref="A1"/>
    </sheetView>
  </sheetViews>
  <sheetFormatPr baseColWidth="8" defaultRowHeight="15"/>
  <cols>
    <col width="12" customWidth="1" min="1" max="1"/>
    <col width="28" customWidth="1" min="2" max="2"/>
    <col width="12" customWidth="1" min="3" max="3"/>
    <col width="55" customWidth="1" min="4" max="4"/>
    <col width="12" customWidth="1" min="5" max="5"/>
    <col width="12" customWidth="1" min="6" max="6"/>
    <col width="12" customWidth="1" min="7" max="7"/>
    <col width="12" customWidth="1" min="8" max="8"/>
    <col width="12" customWidth="1" min="9" max="9"/>
  </cols>
  <sheetData>
    <row r="1">
      <c r="A1" s="9" t="inlineStr">
        <is>
          <t>Prime HOME HD / Lowe’s / IKEA split (user 2026-09-18) — Extra Space $360 excluded / HOLD</t>
        </is>
      </c>
    </row>
    <row r="2" ht="36" customHeight="1">
      <c r="A2" s="26" t="inlineStr">
        <is>
          <t>March Home Depot 100% → 524 repairs, then 50/50 Unit 1 / Unit 2. Each remaining txn split 1/3 524 / 1/3 personal / 1/3 827 N Grove the house (NOT Grove Collaborative); leftover pennies to 524 then personal. 524 third then 50/50 (extra penny to Unit 2). Not tax advice.</t>
        </is>
      </c>
    </row>
    <row r="4">
      <c r="A4" s="10" t="inlineStr">
        <is>
          <t>Date</t>
        </is>
      </c>
      <c r="B4" s="10" t="inlineStr">
        <is>
          <t>Merchant</t>
        </is>
      </c>
      <c r="C4" s="10" t="inlineStr">
        <is>
          <t>Txn $</t>
        </is>
      </c>
      <c r="D4" s="10" t="inlineStr">
        <is>
          <t>Rule</t>
        </is>
      </c>
      <c r="E4" s="10" t="inlineStr">
        <is>
          <t>524 $</t>
        </is>
      </c>
      <c r="F4" s="10" t="inlineStr">
        <is>
          <t>Personal $</t>
        </is>
      </c>
      <c r="G4" s="10" t="inlineStr">
        <is>
          <t>Grove $</t>
        </is>
      </c>
      <c r="H4" s="10" t="inlineStr">
        <is>
          <t>U2 50%</t>
        </is>
      </c>
      <c r="I4" s="10" t="inlineStr">
        <is>
          <t>U1 50%</t>
        </is>
      </c>
    </row>
    <row r="5">
      <c r="A5" s="11" t="inlineStr">
        <is>
          <t>2025-03-15</t>
        </is>
      </c>
      <c r="B5" s="11" t="inlineStr">
        <is>
          <t>THE HOME DEPOT #1901</t>
        </is>
      </c>
      <c r="C5" s="12" t="n">
        <v>28.14</v>
      </c>
      <c r="D5" s="11" t="inlineStr">
        <is>
          <t>March HD 100% 524 repairs, then 50/50 U1/U2</t>
        </is>
      </c>
      <c r="E5" s="12" t="n">
        <v>28.14</v>
      </c>
      <c r="F5" s="12" t="n">
        <v>0</v>
      </c>
      <c r="G5" s="12" t="n">
        <v>0</v>
      </c>
      <c r="H5" s="12" t="n">
        <v>14.07</v>
      </c>
      <c r="I5" s="12" t="n">
        <v>14.07</v>
      </c>
    </row>
    <row r="6">
      <c r="A6" s="11" t="inlineStr">
        <is>
          <t>2025-03-15</t>
        </is>
      </c>
      <c r="B6" s="11" t="inlineStr">
        <is>
          <t>THE HOME DEPOT #1901</t>
        </is>
      </c>
      <c r="C6" s="12" t="n">
        <v>50.75</v>
      </c>
      <c r="D6" s="11" t="inlineStr">
        <is>
          <t>March HD 100% 524 repairs, then 50/50 U1/U2</t>
        </is>
      </c>
      <c r="E6" s="12" t="n">
        <v>50.75</v>
      </c>
      <c r="F6" s="12" t="n">
        <v>0</v>
      </c>
      <c r="G6" s="12" t="n">
        <v>0</v>
      </c>
      <c r="H6" s="12" t="n">
        <v>25.38</v>
      </c>
      <c r="I6" s="12" t="n">
        <v>25.37</v>
      </c>
    </row>
    <row r="7">
      <c r="A7" s="11" t="inlineStr">
        <is>
          <t>2025-03-22</t>
        </is>
      </c>
      <c r="B7" s="11" t="inlineStr">
        <is>
          <t>THE HOME DEPOT #1901</t>
        </is>
      </c>
      <c r="C7" s="12" t="n">
        <v>93.95999999999999</v>
      </c>
      <c r="D7" s="11" t="inlineStr">
        <is>
          <t>March HD 100% 524 repairs, then 50/50 U1/U2</t>
        </is>
      </c>
      <c r="E7" s="12" t="n">
        <v>93.95999999999999</v>
      </c>
      <c r="F7" s="12" t="n">
        <v>0</v>
      </c>
      <c r="G7" s="12" t="n">
        <v>0</v>
      </c>
      <c r="H7" s="12" t="n">
        <v>46.98</v>
      </c>
      <c r="I7" s="12" t="n">
        <v>46.98</v>
      </c>
    </row>
    <row r="8">
      <c r="A8" s="11" t="inlineStr">
        <is>
          <t>2025-03-26</t>
        </is>
      </c>
      <c r="B8" s="11" t="inlineStr">
        <is>
          <t>HOMEDEPOT.COM</t>
        </is>
      </c>
      <c r="C8" s="12" t="n">
        <v>1185.8</v>
      </c>
      <c r="D8" s="11" t="inlineStr">
        <is>
          <t>March HD 100% 524 repairs, then 50/50 U1/U2</t>
        </is>
      </c>
      <c r="E8" s="12" t="n">
        <v>1185.8</v>
      </c>
      <c r="F8" s="12" t="n">
        <v>0</v>
      </c>
      <c r="G8" s="12" t="n">
        <v>0</v>
      </c>
      <c r="H8" s="12" t="n">
        <v>592.9</v>
      </c>
      <c r="I8" s="12" t="n">
        <v>592.9</v>
      </c>
    </row>
    <row r="9">
      <c r="A9" s="48" t="inlineStr">
        <is>
          <t>2025-02-16</t>
        </is>
      </c>
      <c r="B9" s="48" t="inlineStr">
        <is>
          <t>THE HOME DEPOT #1901</t>
        </is>
      </c>
      <c r="C9" s="49" t="n">
        <v>34.01</v>
      </c>
      <c r="D9" s="48" t="inlineStr">
        <is>
          <t>1/3 524 repairs / 1/3 personal / 1/3 827 Grove (by transaction)</t>
        </is>
      </c>
      <c r="E9" s="12" t="n">
        <v>11.34</v>
      </c>
      <c r="F9" s="16" t="n">
        <v>11.34</v>
      </c>
      <c r="G9" s="36" t="n">
        <v>11.33</v>
      </c>
      <c r="H9" s="12" t="n">
        <v>5.67</v>
      </c>
      <c r="I9" s="12" t="n">
        <v>5.67</v>
      </c>
    </row>
    <row r="10">
      <c r="A10" s="48" t="inlineStr">
        <is>
          <t>2025-02-17</t>
        </is>
      </c>
      <c r="B10" s="48" t="inlineStr">
        <is>
          <t>IKEA BOLINGBROOK</t>
        </is>
      </c>
      <c r="C10" s="49" t="n">
        <v>299.37</v>
      </c>
      <c r="D10" s="48" t="inlineStr">
        <is>
          <t>1/3 524 repairs / 1/3 personal / 1/3 827 Grove (by transaction)</t>
        </is>
      </c>
      <c r="E10" s="12" t="n">
        <v>99.79000000000001</v>
      </c>
      <c r="F10" s="16" t="n">
        <v>99.79000000000001</v>
      </c>
      <c r="G10" s="36" t="n">
        <v>99.79000000000001</v>
      </c>
      <c r="H10" s="12" t="n">
        <v>49.9</v>
      </c>
      <c r="I10" s="12" t="n">
        <v>49.89</v>
      </c>
    </row>
    <row r="11">
      <c r="A11" s="48" t="inlineStr">
        <is>
          <t>2025-02-18</t>
        </is>
      </c>
      <c r="B11" s="48" t="inlineStr">
        <is>
          <t>IKEA 471245314</t>
        </is>
      </c>
      <c r="C11" s="49" t="n">
        <v>65.98</v>
      </c>
      <c r="D11" s="48" t="inlineStr">
        <is>
          <t>1/3 524 repairs / 1/3 personal / 1/3 827 Grove (by transaction)</t>
        </is>
      </c>
      <c r="E11" s="12" t="n">
        <v>22</v>
      </c>
      <c r="F11" s="16" t="n">
        <v>21.99</v>
      </c>
      <c r="G11" s="36" t="n">
        <v>21.99</v>
      </c>
      <c r="H11" s="12" t="n">
        <v>11</v>
      </c>
      <c r="I11" s="12" t="n">
        <v>11</v>
      </c>
    </row>
    <row r="12">
      <c r="A12" s="48" t="inlineStr">
        <is>
          <t>2025-03-23</t>
        </is>
      </c>
      <c r="B12" s="48" t="inlineStr">
        <is>
          <t>LOWES #01845</t>
        </is>
      </c>
      <c r="C12" s="49" t="n">
        <v>55.69</v>
      </c>
      <c r="D12" s="48" t="inlineStr">
        <is>
          <t>1/3 524 repairs / 1/3 personal / 1/3 827 Grove (by transaction)</t>
        </is>
      </c>
      <c r="E12" s="12" t="n">
        <v>18.57</v>
      </c>
      <c r="F12" s="16" t="n">
        <v>18.56</v>
      </c>
      <c r="G12" s="36" t="n">
        <v>18.56</v>
      </c>
      <c r="H12" s="12" t="n">
        <v>9.289999999999999</v>
      </c>
      <c r="I12" s="12" t="n">
        <v>9.279999999999999</v>
      </c>
    </row>
    <row r="13">
      <c r="A13" s="48" t="inlineStr">
        <is>
          <t>2025-04-20</t>
        </is>
      </c>
      <c r="B13" s="48" t="inlineStr">
        <is>
          <t>THE HOME DEPOT #1901</t>
        </is>
      </c>
      <c r="C13" s="49" t="n">
        <v>236.36</v>
      </c>
      <c r="D13" s="48" t="inlineStr">
        <is>
          <t>1/3 524 repairs / 1/3 personal / 1/3 827 Grove (by transaction)</t>
        </is>
      </c>
      <c r="E13" s="12" t="n">
        <v>78.79000000000001</v>
      </c>
      <c r="F13" s="16" t="n">
        <v>78.79000000000001</v>
      </c>
      <c r="G13" s="36" t="n">
        <v>78.78</v>
      </c>
      <c r="H13" s="12" t="n">
        <v>39.4</v>
      </c>
      <c r="I13" s="12" t="n">
        <v>39.39</v>
      </c>
    </row>
    <row r="14">
      <c r="A14" s="48" t="inlineStr">
        <is>
          <t>2025-04-20</t>
        </is>
      </c>
      <c r="B14" s="48" t="inlineStr">
        <is>
          <t>THE HOME DEPOT #1901</t>
        </is>
      </c>
      <c r="C14" s="49" t="n">
        <v>1.07</v>
      </c>
      <c r="D14" s="48" t="inlineStr">
        <is>
          <t>1/3 524 repairs / 1/3 personal / 1/3 827 Grove (by transaction)</t>
        </is>
      </c>
      <c r="E14" s="12" t="n">
        <v>0.36</v>
      </c>
      <c r="F14" s="16" t="n">
        <v>0.36</v>
      </c>
      <c r="G14" s="36" t="n">
        <v>0.35</v>
      </c>
      <c r="H14" s="12" t="n">
        <v>0.18</v>
      </c>
      <c r="I14" s="12" t="n">
        <v>0.18</v>
      </c>
    </row>
    <row r="15">
      <c r="A15" s="48" t="inlineStr">
        <is>
          <t>2025-07-06</t>
        </is>
      </c>
      <c r="B15" s="48" t="inlineStr">
        <is>
          <t>THE HOME DEPOT #1901</t>
        </is>
      </c>
      <c r="C15" s="49" t="n">
        <v>305.94</v>
      </c>
      <c r="D15" s="48" t="inlineStr">
        <is>
          <t>1/3 524 repairs / 1/3 personal / 1/3 827 Grove (by transaction)</t>
        </is>
      </c>
      <c r="E15" s="12" t="n">
        <v>101.98</v>
      </c>
      <c r="F15" s="16" t="n">
        <v>101.98</v>
      </c>
      <c r="G15" s="36" t="n">
        <v>101.98</v>
      </c>
      <c r="H15" s="12" t="n">
        <v>50.99</v>
      </c>
      <c r="I15" s="12" t="n">
        <v>50.99</v>
      </c>
    </row>
    <row r="16">
      <c r="A16" s="48" t="inlineStr">
        <is>
          <t>2025-09-01</t>
        </is>
      </c>
      <c r="B16" s="48" t="inlineStr">
        <is>
          <t>LOWES #01845</t>
        </is>
      </c>
      <c r="C16" s="49" t="n">
        <v>209.19</v>
      </c>
      <c r="D16" s="48" t="inlineStr">
        <is>
          <t>1/3 524 repairs / 1/3 personal / 1/3 827 Grove (by transaction)</t>
        </is>
      </c>
      <c r="E16" s="12" t="n">
        <v>69.73</v>
      </c>
      <c r="F16" s="16" t="n">
        <v>69.73</v>
      </c>
      <c r="G16" s="36" t="n">
        <v>69.73</v>
      </c>
      <c r="H16" s="12" t="n">
        <v>34.87</v>
      </c>
      <c r="I16" s="12" t="n">
        <v>34.86</v>
      </c>
    </row>
    <row r="17">
      <c r="A17" s="48" t="inlineStr">
        <is>
          <t>2025-10-11</t>
        </is>
      </c>
      <c r="B17" s="48" t="inlineStr">
        <is>
          <t>THE HOME DEPOT #1901</t>
        </is>
      </c>
      <c r="C17" s="49" t="n">
        <v>410.88</v>
      </c>
      <c r="D17" s="48" t="inlineStr">
        <is>
          <t>1/3 524 repairs / 1/3 personal / 1/3 827 Grove (by transaction)</t>
        </is>
      </c>
      <c r="E17" s="12" t="n">
        <v>136.96</v>
      </c>
      <c r="F17" s="16" t="n">
        <v>136.96</v>
      </c>
      <c r="G17" s="36" t="n">
        <v>136.96</v>
      </c>
      <c r="H17" s="12" t="n">
        <v>68.48</v>
      </c>
      <c r="I17" s="12" t="n">
        <v>68.48</v>
      </c>
    </row>
    <row r="18">
      <c r="A18" s="48" t="inlineStr">
        <is>
          <t>2025-11-02</t>
        </is>
      </c>
      <c r="B18" s="48" t="inlineStr">
        <is>
          <t>THE HOME DEPOT #1901</t>
        </is>
      </c>
      <c r="C18" s="49" t="n">
        <v>193.97</v>
      </c>
      <c r="D18" s="48" t="inlineStr">
        <is>
          <t>1/3 524 repairs / 1/3 personal / 1/3 827 Grove (by transaction)</t>
        </is>
      </c>
      <c r="E18" s="12" t="n">
        <v>64.66</v>
      </c>
      <c r="F18" s="16" t="n">
        <v>64.66</v>
      </c>
      <c r="G18" s="36" t="n">
        <v>64.65000000000001</v>
      </c>
      <c r="H18" s="12" t="n">
        <v>32.33</v>
      </c>
      <c r="I18" s="12" t="n">
        <v>32.33</v>
      </c>
    </row>
    <row r="19">
      <c r="B19" s="29" t="inlineStr">
        <is>
          <t>TOTAL</t>
        </is>
      </c>
      <c r="C19" s="50" t="n">
        <v>3171.11</v>
      </c>
      <c r="E19" s="50" t="n">
        <v>1962.83</v>
      </c>
      <c r="F19" s="50" t="n">
        <v>604.16</v>
      </c>
      <c r="G19" s="50" t="n">
        <v>604.12</v>
      </c>
      <c r="H19" s="50" t="n">
        <v>981.4400000000001</v>
      </c>
      <c r="I19" s="50" t="n">
        <v>981.39</v>
      </c>
    </row>
    <row r="21">
      <c r="A21" s="4" t="inlineStr">
        <is>
          <t>Extra Space 2025-12-10 $360.00 — HOLD, not in this split.</t>
        </is>
      </c>
    </row>
  </sheetData>
  <mergeCells count="2">
    <mergeCell ref="A1:I1"/>
    <mergeCell ref="A2:I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60" customWidth="1" min="1" max="1"/>
  </cols>
  <sheetData>
    <row r="1">
      <c r="B1" t="n">
        <v>2024</v>
      </c>
      <c r="C1" t="n">
        <v>2024</v>
      </c>
      <c r="D1" t="n">
        <v>2025</v>
      </c>
      <c r="E1" t="n">
        <v>2025</v>
      </c>
    </row>
    <row r="2">
      <c r="B2" s="2" t="inlineStr">
        <is>
          <t>Projected</t>
        </is>
      </c>
      <c r="C2" s="2" t="inlineStr">
        <is>
          <t>Actual</t>
        </is>
      </c>
      <c r="D2" s="2" t="inlineStr">
        <is>
          <t>Projected</t>
        </is>
      </c>
      <c r="E2" s="2" t="inlineStr">
        <is>
          <t>Actual</t>
        </is>
      </c>
    </row>
    <row r="3">
      <c r="A3" t="inlineStr">
        <is>
          <t>Income</t>
        </is>
      </c>
    </row>
    <row r="4">
      <c r="A4" t="inlineStr">
        <is>
          <t>Hindman / Freeman W-2 (Monarch deposits — reconcile to W-2)</t>
        </is>
      </c>
      <c r="B4" t="n">
        <v>110000</v>
      </c>
      <c r="D4" t="n">
        <v>110000</v>
      </c>
      <c r="E4" s="3" t="n">
        <v>70618</v>
      </c>
    </row>
    <row r="5">
      <c r="A5" t="inlineStr">
        <is>
          <t>216 N. Oak Park Ave</t>
        </is>
      </c>
      <c r="B5" t="n">
        <v>1500</v>
      </c>
      <c r="D5" t="n">
        <v>1500</v>
      </c>
      <c r="E5" s="21" t="n">
        <v>19500</v>
      </c>
    </row>
    <row r="6">
      <c r="A6" t="inlineStr">
        <is>
          <t>524 Ferdinand Ave #2 (STR platform net)</t>
        </is>
      </c>
      <c r="B6" t="n">
        <v>20000</v>
      </c>
      <c r="D6" t="n">
        <v>17000</v>
      </c>
      <c r="E6" s="3" t="n">
        <v>17086.94</v>
      </c>
    </row>
    <row r="7">
      <c r="A7" t="inlineStr">
        <is>
          <t>GCM / Gates 1099-NEC</t>
        </is>
      </c>
      <c r="B7" t="n">
        <v>16000</v>
      </c>
      <c r="D7" t="n">
        <v>21500</v>
      </c>
      <c r="E7" s="3" t="n">
        <v>21500</v>
      </c>
    </row>
    <row r="8">
      <c r="A8" t="inlineStr">
        <is>
          <t>Art Sales (net — see Art Sales tab)</t>
        </is>
      </c>
      <c r="B8" t="n">
        <v>20000</v>
      </c>
      <c r="D8" t="n">
        <v>20000</v>
      </c>
      <c r="E8" s="4" t="n">
        <v>0</v>
      </c>
    </row>
    <row r="9">
      <c r="A9" t="inlineStr">
        <is>
          <t>Megan's Income</t>
        </is>
      </c>
      <c r="B9" t="n">
        <v>0</v>
      </c>
      <c r="D9" t="n">
        <v>0</v>
      </c>
      <c r="E9" s="4" t="n">
        <v>0</v>
      </c>
    </row>
    <row r="10">
      <c r="A10" t="inlineStr">
        <is>
          <t>EBITDA</t>
        </is>
      </c>
      <c r="B10">
        <f>SUM(B4:B9)</f>
        <v/>
      </c>
      <c r="C10">
        <f>SUM(C4:C9)</f>
        <v/>
      </c>
      <c r="D10">
        <f>SUM(D4:D9)</f>
        <v/>
      </c>
      <c r="E10">
        <f>SUM(E4:E9)</f>
        <v/>
      </c>
    </row>
    <row r="12" ht="48" customHeight="1">
      <c r="A12" s="26" t="inlineStr">
        <is>
          <t>Notes: E4 Monarch paycheck cash ≠ W-2 Box 1. E5 216 Oak Park LTR cash $19500.00 (Delach+Ava+Joan; Ava/Joan yellow ASK; Oct–Nov vacant ASK). E6 PLATFORM STR net LOCKED. E7 GCM 1099-NEC $21,500 = BOM on Consultant (reimbursements excluded). E8 Art net yellow until Sale Prices filled (COGS on Art Sales). Not tax advice.</t>
        </is>
      </c>
    </row>
    <row r="13"/>
  </sheetData>
  <mergeCells count="1">
    <mergeCell ref="A12:E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O30"/>
  <sheetViews>
    <sheetView workbookViewId="0">
      <selection activeCell="A1" sqref="A1"/>
    </sheetView>
  </sheetViews>
  <sheetFormatPr baseColWidth="8" defaultRowHeight="15"/>
  <cols>
    <col width="36" customWidth="1" min="2" max="2"/>
  </cols>
  <sheetData>
    <row r="1">
      <c r="B1" t="inlineStr">
        <is>
          <t>PROPERTY ADDRESS</t>
        </is>
      </c>
      <c r="C1" t="inlineStr">
        <is>
          <t>524 Ferdinand Avenue, Unit 2 (STR)</t>
        </is>
      </c>
    </row>
    <row r="2">
      <c r="B2" t="inlineStr">
        <is>
          <t>INCOME</t>
        </is>
      </c>
      <c r="C2" s="5" t="inlineStr">
        <is>
          <t>JAN</t>
        </is>
      </c>
      <c r="D2" s="5" t="inlineStr">
        <is>
          <t>FEB</t>
        </is>
      </c>
      <c r="E2" s="5" t="inlineStr">
        <is>
          <t>MAR</t>
        </is>
      </c>
      <c r="F2" s="5" t="inlineStr">
        <is>
          <t>APR</t>
        </is>
      </c>
      <c r="G2" s="5" t="inlineStr">
        <is>
          <t>MAY</t>
        </is>
      </c>
      <c r="H2" s="5" t="inlineStr">
        <is>
          <t>JUN</t>
        </is>
      </c>
      <c r="I2" s="5" t="inlineStr">
        <is>
          <t>JUL</t>
        </is>
      </c>
      <c r="J2" s="5" t="inlineStr">
        <is>
          <t>AUG</t>
        </is>
      </c>
      <c r="K2" s="5" t="inlineStr">
        <is>
          <t>SEPT</t>
        </is>
      </c>
      <c r="L2" s="5" t="inlineStr">
        <is>
          <t>OCT</t>
        </is>
      </c>
      <c r="M2" s="5" t="inlineStr">
        <is>
          <t>NOV</t>
        </is>
      </c>
      <c r="N2" s="5" t="inlineStr">
        <is>
          <t>DEC</t>
        </is>
      </c>
      <c r="O2" s="5" t="inlineStr">
        <is>
          <t>2025 YR TOTAL</t>
        </is>
      </c>
    </row>
    <row r="3">
      <c r="B3" t="inlineStr">
        <is>
          <t>STR / RENTAL INCOME</t>
        </is>
      </c>
      <c r="C3" t="n">
        <v>0</v>
      </c>
      <c r="D3" t="n">
        <v>0</v>
      </c>
      <c r="E3" t="n">
        <v>0</v>
      </c>
      <c r="F3" t="n">
        <v>0</v>
      </c>
      <c r="G3" t="n">
        <v>0</v>
      </c>
      <c r="H3" s="3" t="n">
        <v>3479.6</v>
      </c>
      <c r="I3" s="3" t="n">
        <v>3180.81</v>
      </c>
      <c r="J3" s="3" t="n">
        <v>1757.5</v>
      </c>
      <c r="K3" s="3" t="n">
        <v>2690.16</v>
      </c>
      <c r="L3" s="3" t="n">
        <v>1261.64</v>
      </c>
      <c r="M3" s="3" t="n">
        <v>1509.84</v>
      </c>
      <c r="N3" t="n">
        <v>0</v>
      </c>
      <c r="O3">
        <f>SUM(C3:N3)</f>
        <v/>
      </c>
    </row>
    <row r="4">
      <c r="B4" t="inlineStr">
        <is>
          <t>OTHER INCOME</t>
        </is>
      </c>
      <c r="C4" t="n">
        <v>0</v>
      </c>
      <c r="D4" t="n">
        <v>0</v>
      </c>
      <c r="E4" t="n">
        <v>0</v>
      </c>
      <c r="F4" t="n">
        <v>0</v>
      </c>
      <c r="G4" t="n">
        <v>0</v>
      </c>
      <c r="H4" t="n">
        <v>0</v>
      </c>
      <c r="I4" t="n">
        <v>0</v>
      </c>
      <c r="J4" t="n">
        <v>0</v>
      </c>
      <c r="K4" t="n">
        <v>0</v>
      </c>
      <c r="L4" t="n">
        <v>0</v>
      </c>
      <c r="M4" t="n">
        <v>0</v>
      </c>
      <c r="N4" t="n">
        <v>0</v>
      </c>
      <c r="O4">
        <f>SUM(C4:N4)</f>
        <v/>
      </c>
    </row>
    <row r="5">
      <c r="B5" t="inlineStr">
        <is>
          <t>GROSS RENTAL INCOME</t>
        </is>
      </c>
      <c r="C5">
        <f>SUM(C3:C4)</f>
        <v/>
      </c>
      <c r="D5">
        <f>SUM(D3:D4)</f>
        <v/>
      </c>
      <c r="E5">
        <f>SUM(E3:E4)</f>
        <v/>
      </c>
      <c r="F5">
        <f>SUM(F3:F4)</f>
        <v/>
      </c>
      <c r="G5">
        <f>SUM(G3:G4)</f>
        <v/>
      </c>
      <c r="H5">
        <f>SUM(H3:H4)</f>
        <v/>
      </c>
      <c r="I5">
        <f>SUM(I3:I4)</f>
        <v/>
      </c>
      <c r="J5">
        <f>SUM(J3:J4)</f>
        <v/>
      </c>
      <c r="K5">
        <f>SUM(K3:K4)</f>
        <v/>
      </c>
      <c r="L5">
        <f>SUM(L3:L4)</f>
        <v/>
      </c>
      <c r="M5">
        <f>SUM(M3:M4)</f>
        <v/>
      </c>
      <c r="N5">
        <f>SUM(N3:N4)</f>
        <v/>
      </c>
      <c r="O5">
        <f>SUM(C5:N5)</f>
        <v/>
      </c>
    </row>
    <row r="7">
      <c r="B7" t="inlineStr">
        <is>
          <t>EXPENSES</t>
        </is>
      </c>
      <c r="C7" s="5" t="inlineStr">
        <is>
          <t>JAN</t>
        </is>
      </c>
      <c r="D7" s="5" t="inlineStr">
        <is>
          <t>FEB</t>
        </is>
      </c>
      <c r="E7" s="5" t="inlineStr">
        <is>
          <t>MAR</t>
        </is>
      </c>
      <c r="F7" s="5" t="inlineStr">
        <is>
          <t>APR</t>
        </is>
      </c>
      <c r="G7" s="5" t="inlineStr">
        <is>
          <t>MAY</t>
        </is>
      </c>
      <c r="H7" s="5" t="inlineStr">
        <is>
          <t>JUN</t>
        </is>
      </c>
      <c r="I7" s="5" t="inlineStr">
        <is>
          <t>JUL</t>
        </is>
      </c>
      <c r="J7" s="5" t="inlineStr">
        <is>
          <t>AUG</t>
        </is>
      </c>
      <c r="K7" s="5" t="inlineStr">
        <is>
          <t>SEPT</t>
        </is>
      </c>
      <c r="L7" s="5" t="inlineStr">
        <is>
          <t>OCT</t>
        </is>
      </c>
      <c r="M7" s="5" t="inlineStr">
        <is>
          <t>NOV</t>
        </is>
      </c>
      <c r="N7" s="5" t="inlineStr">
        <is>
          <t>DEC</t>
        </is>
      </c>
      <c r="O7" s="5" t="inlineStr">
        <is>
          <t>2025 YR TOTAL</t>
        </is>
      </c>
    </row>
    <row r="8">
      <c r="B8" t="inlineStr">
        <is>
          <t>MARKETING / ADVERTISING</t>
        </is>
      </c>
      <c r="C8" s="4" t="n">
        <v>0</v>
      </c>
      <c r="D8" s="4" t="n">
        <v>0</v>
      </c>
      <c r="E8" s="4" t="n">
        <v>0</v>
      </c>
      <c r="F8" s="4" t="n">
        <v>0</v>
      </c>
      <c r="G8" s="4" t="n">
        <v>0</v>
      </c>
      <c r="H8" s="4" t="n">
        <v>0</v>
      </c>
      <c r="I8" s="4" t="n">
        <v>0</v>
      </c>
      <c r="J8" s="4" t="n">
        <v>0</v>
      </c>
      <c r="K8" s="4" t="n">
        <v>0</v>
      </c>
      <c r="L8" s="4" t="n">
        <v>0</v>
      </c>
      <c r="M8" s="4" t="n">
        <v>0</v>
      </c>
      <c r="N8" s="4" t="n">
        <v>0</v>
      </c>
      <c r="O8">
        <f>SUM(C8:N8)</f>
        <v/>
      </c>
    </row>
    <row r="9">
      <c r="B9" t="inlineStr">
        <is>
          <t>SERVICE FEES</t>
        </is>
      </c>
      <c r="C9" s="4" t="n">
        <v>0</v>
      </c>
      <c r="D9" s="4" t="n">
        <v>0</v>
      </c>
      <c r="E9" s="4" t="n">
        <v>0</v>
      </c>
      <c r="F9" s="4" t="n">
        <v>0</v>
      </c>
      <c r="G9" s="4" t="n">
        <v>0</v>
      </c>
      <c r="H9" s="4" t="n">
        <v>0</v>
      </c>
      <c r="I9" s="4" t="n">
        <v>0</v>
      </c>
      <c r="J9" s="4" t="n">
        <v>0</v>
      </c>
      <c r="K9" s="4" t="n">
        <v>0</v>
      </c>
      <c r="L9" s="4" t="n">
        <v>0</v>
      </c>
      <c r="M9" s="4" t="n">
        <v>0</v>
      </c>
      <c r="N9" s="4" t="n">
        <v>0</v>
      </c>
      <c r="O9">
        <f>SUM(C9:N9)</f>
        <v/>
      </c>
    </row>
    <row r="10">
      <c r="B10" t="inlineStr">
        <is>
          <t>REMITTED TAX</t>
        </is>
      </c>
      <c r="C10" s="4" t="n">
        <v>0</v>
      </c>
      <c r="D10" s="4" t="n">
        <v>0</v>
      </c>
      <c r="E10" s="4" t="n">
        <v>0</v>
      </c>
      <c r="F10" s="4" t="n">
        <v>0</v>
      </c>
      <c r="G10" s="4" t="n">
        <v>0</v>
      </c>
      <c r="H10" s="4" t="n">
        <v>0</v>
      </c>
      <c r="I10" s="4" t="n">
        <v>0</v>
      </c>
      <c r="J10" s="4" t="n">
        <v>0</v>
      </c>
      <c r="K10" s="4" t="n">
        <v>0</v>
      </c>
      <c r="L10" s="4" t="n">
        <v>0</v>
      </c>
      <c r="M10" s="4" t="n">
        <v>0</v>
      </c>
      <c r="N10" s="4" t="n">
        <v>0</v>
      </c>
      <c r="O10">
        <f>SUM(C10:N10)</f>
        <v/>
      </c>
    </row>
    <row r="11">
      <c r="B11" t="inlineStr">
        <is>
          <t>INSURANCE</t>
        </is>
      </c>
      <c r="C11" s="25" t="n">
        <v>0</v>
      </c>
      <c r="D11" s="21" t="n">
        <v>78.77</v>
      </c>
      <c r="E11" s="21" t="n">
        <v>78.76000000000001</v>
      </c>
      <c r="F11" s="21" t="n">
        <v>78.76000000000001</v>
      </c>
      <c r="G11" s="21" t="n">
        <v>78.76000000000001</v>
      </c>
      <c r="H11" s="21" t="n">
        <v>78.76000000000001</v>
      </c>
      <c r="I11" s="21" t="n">
        <v>78.76000000000001</v>
      </c>
      <c r="J11" s="21" t="n">
        <v>80.19</v>
      </c>
      <c r="K11" s="25" t="n">
        <v>0</v>
      </c>
      <c r="L11" s="25" t="n">
        <v>0</v>
      </c>
      <c r="M11" s="25" t="n">
        <v>0</v>
      </c>
      <c r="N11" s="25" t="n">
        <v>0</v>
      </c>
      <c r="O11">
        <f>SUM(C11:N11)</f>
        <v/>
      </c>
    </row>
    <row r="12">
      <c r="B12" t="inlineStr">
        <is>
          <t>INTERIOR MAINTENANCE</t>
        </is>
      </c>
      <c r="C12" s="22" t="n">
        <v>7.46</v>
      </c>
      <c r="D12" s="21" t="n">
        <v>0</v>
      </c>
      <c r="E12" s="22" t="n">
        <v>52.78</v>
      </c>
      <c r="F12" s="22" t="n">
        <v>131.4</v>
      </c>
      <c r="G12" s="21" t="n">
        <v>0</v>
      </c>
      <c r="H12" s="21" t="n">
        <v>0</v>
      </c>
      <c r="I12" s="21" t="n">
        <v>0</v>
      </c>
      <c r="J12" s="21" t="n">
        <v>0</v>
      </c>
      <c r="K12" s="21" t="n">
        <v>0</v>
      </c>
      <c r="L12" s="22" t="n">
        <v>45.6</v>
      </c>
      <c r="M12" s="22" t="n">
        <v>12.63</v>
      </c>
      <c r="N12" s="21" t="n">
        <v>0</v>
      </c>
      <c r="O12">
        <f>SUM(C12:N12)</f>
        <v/>
      </c>
    </row>
    <row r="13">
      <c r="B13" t="inlineStr">
        <is>
          <t>EXTERIOR REPAIRS</t>
        </is>
      </c>
      <c r="C13" s="21" t="n">
        <v>0</v>
      </c>
      <c r="D13" s="22" t="n">
        <v>66.56999999999999</v>
      </c>
      <c r="E13" s="22" t="n">
        <v>761.72</v>
      </c>
      <c r="F13" s="22" t="n">
        <v>100.53</v>
      </c>
      <c r="G13" s="22" t="n">
        <v>445.2</v>
      </c>
      <c r="H13" s="22" t="n">
        <v>60.95</v>
      </c>
      <c r="I13" s="22" t="n">
        <v>211.01</v>
      </c>
      <c r="J13" s="22" t="n">
        <v>77.48999999999999</v>
      </c>
      <c r="K13" s="22" t="n">
        <v>283.87</v>
      </c>
      <c r="L13" s="22" t="n">
        <v>137.19</v>
      </c>
      <c r="M13" s="22" t="n">
        <v>32.33</v>
      </c>
      <c r="N13" s="21" t="n">
        <v>0</v>
      </c>
      <c r="O13">
        <f>SUM(C13:N13)</f>
        <v/>
      </c>
    </row>
    <row r="14">
      <c r="B14" t="inlineStr">
        <is>
          <t>VILLAGE WATER AND REFUSE</t>
        </is>
      </c>
      <c r="C14" s="21" t="n">
        <v>0</v>
      </c>
      <c r="D14" s="22" t="n">
        <v>100.56</v>
      </c>
      <c r="E14" s="21" t="n">
        <v>0</v>
      </c>
      <c r="F14" s="22" t="n">
        <v>90.68000000000001</v>
      </c>
      <c r="G14" s="21" t="n">
        <v>0</v>
      </c>
      <c r="H14" s="22" t="n">
        <v>112.84</v>
      </c>
      <c r="I14" s="21" t="n">
        <v>0</v>
      </c>
      <c r="J14" s="22" t="n">
        <v>137.64</v>
      </c>
      <c r="K14" s="21" t="n">
        <v>0</v>
      </c>
      <c r="L14" s="22" t="n">
        <v>132.77</v>
      </c>
      <c r="M14" s="21" t="n">
        <v>0</v>
      </c>
      <c r="N14" s="21" t="n">
        <v>0</v>
      </c>
      <c r="O14">
        <f>SUM(C14:N14)</f>
        <v/>
      </c>
    </row>
    <row r="15">
      <c r="B15" t="inlineStr">
        <is>
          <t>GAS</t>
        </is>
      </c>
      <c r="C15" s="22" t="n">
        <v>39.7</v>
      </c>
      <c r="D15" s="22" t="n">
        <v>31.37</v>
      </c>
      <c r="E15" s="22" t="n">
        <v>32.09</v>
      </c>
      <c r="F15" s="22" t="n">
        <v>26.31</v>
      </c>
      <c r="G15" s="22" t="n">
        <v>25.41</v>
      </c>
      <c r="H15" s="22" t="n">
        <v>24.17</v>
      </c>
      <c r="I15" s="22" t="n">
        <v>23.53</v>
      </c>
      <c r="J15" s="22" t="n">
        <v>22.7</v>
      </c>
      <c r="K15" s="22" t="n">
        <v>22.71</v>
      </c>
      <c r="L15" s="22" t="n">
        <v>22.72</v>
      </c>
      <c r="M15" s="21" t="n">
        <v>0</v>
      </c>
      <c r="N15" s="22" t="n">
        <v>53.71</v>
      </c>
      <c r="O15">
        <f>SUM(C15:N15)</f>
        <v/>
      </c>
    </row>
    <row r="16">
      <c r="B16" t="inlineStr">
        <is>
          <t>ELECTRIC</t>
        </is>
      </c>
      <c r="C16" s="21" t="n">
        <v>59.04</v>
      </c>
      <c r="D16" s="21" t="n">
        <v>57.47</v>
      </c>
      <c r="E16" s="21" t="n">
        <v>49.15</v>
      </c>
      <c r="F16" s="21" t="n">
        <v>54.52</v>
      </c>
      <c r="G16" s="21" t="n">
        <v>49.73</v>
      </c>
      <c r="H16" s="21" t="n">
        <v>57.54</v>
      </c>
      <c r="I16" s="21" t="n">
        <v>109</v>
      </c>
      <c r="J16" s="21" t="n">
        <v>123.54</v>
      </c>
      <c r="K16" s="21" t="n">
        <v>106.93</v>
      </c>
      <c r="L16" s="21" t="n">
        <v>62.88</v>
      </c>
      <c r="M16" s="21" t="n">
        <v>46.47</v>
      </c>
      <c r="N16" s="21" t="n">
        <v>52.88</v>
      </c>
      <c r="O16">
        <f>SUM(C16:N16)</f>
        <v/>
      </c>
    </row>
    <row r="17">
      <c r="B17" t="inlineStr">
        <is>
          <t>INTERNET</t>
        </is>
      </c>
      <c r="C17" s="22" t="n">
        <v>45</v>
      </c>
      <c r="D17" s="22" t="n">
        <v>45</v>
      </c>
      <c r="E17" s="22" t="n">
        <v>45</v>
      </c>
      <c r="F17" s="22" t="n">
        <v>45</v>
      </c>
      <c r="G17" s="22" t="n">
        <v>50</v>
      </c>
      <c r="H17" s="22" t="n">
        <v>50</v>
      </c>
      <c r="I17" s="22" t="n">
        <v>50</v>
      </c>
      <c r="J17" s="22" t="n">
        <v>50</v>
      </c>
      <c r="K17" s="22" t="n">
        <v>50</v>
      </c>
      <c r="L17" s="22" t="n">
        <v>50</v>
      </c>
      <c r="M17" s="22" t="n">
        <v>50</v>
      </c>
      <c r="N17" s="21" t="n">
        <v>0</v>
      </c>
      <c r="O17">
        <f>SUM(C17:N17)</f>
        <v/>
      </c>
    </row>
    <row r="18">
      <c r="B18" t="inlineStr">
        <is>
          <t>CLEANING / TURNOVER</t>
        </is>
      </c>
      <c r="C18" s="4" t="n">
        <v>0</v>
      </c>
      <c r="D18" s="4" t="n">
        <v>0</v>
      </c>
      <c r="E18" s="4" t="n">
        <v>0</v>
      </c>
      <c r="F18" s="4" t="n">
        <v>0</v>
      </c>
      <c r="G18" s="4" t="n">
        <v>0</v>
      </c>
      <c r="H18" s="4" t="n">
        <v>0</v>
      </c>
      <c r="I18" s="4" t="n">
        <v>0</v>
      </c>
      <c r="J18" s="4" t="n">
        <v>0</v>
      </c>
      <c r="K18" s="4" t="n">
        <v>0</v>
      </c>
      <c r="L18" s="4" t="n">
        <v>0</v>
      </c>
      <c r="M18" s="4" t="n">
        <v>0</v>
      </c>
      <c r="N18" s="4" t="n">
        <v>0</v>
      </c>
      <c r="O18">
        <f>SUM(C18:N18)</f>
        <v/>
      </c>
    </row>
    <row r="19">
      <c r="B19" t="inlineStr">
        <is>
          <t>SUPPLIES</t>
        </is>
      </c>
      <c r="C19" s="22" t="n">
        <v>110.8</v>
      </c>
      <c r="D19" s="21" t="n">
        <v>0</v>
      </c>
      <c r="E19" s="22" t="n">
        <v>92.95999999999999</v>
      </c>
      <c r="F19" s="22" t="n">
        <v>105.25</v>
      </c>
      <c r="G19" s="21" t="n">
        <v>0</v>
      </c>
      <c r="H19" s="22" t="n">
        <v>68.73</v>
      </c>
      <c r="I19" s="22" t="n">
        <v>128.37</v>
      </c>
      <c r="J19" s="22" t="n">
        <v>176.17</v>
      </c>
      <c r="K19" s="22" t="n">
        <v>108.93</v>
      </c>
      <c r="L19" s="21" t="n">
        <v>0</v>
      </c>
      <c r="M19" s="21" t="n">
        <v>0</v>
      </c>
      <c r="N19" s="21" t="n">
        <v>0</v>
      </c>
      <c r="O19">
        <f>SUM(C19:N19)</f>
        <v/>
      </c>
    </row>
    <row r="20">
      <c r="B20" t="inlineStr">
        <is>
          <t>EQUIPMENT/APPLIANCE PURCHASES</t>
        </is>
      </c>
      <c r="C20" s="21" t="n">
        <v>0</v>
      </c>
      <c r="D20" s="21" t="n">
        <v>0</v>
      </c>
      <c r="E20" s="22" t="n">
        <v>73.23999999999999</v>
      </c>
      <c r="F20" s="21" t="n">
        <v>0</v>
      </c>
      <c r="G20" s="21" t="n">
        <v>0</v>
      </c>
      <c r="H20" s="21" t="n">
        <v>0</v>
      </c>
      <c r="I20" s="21" t="n">
        <v>0</v>
      </c>
      <c r="J20" s="21" t="n">
        <v>0</v>
      </c>
      <c r="K20" s="22" t="n">
        <v>82.27</v>
      </c>
      <c r="L20" s="21" t="n">
        <v>0</v>
      </c>
      <c r="M20" s="21" t="n">
        <v>0</v>
      </c>
      <c r="N20" s="21" t="n">
        <v>0</v>
      </c>
      <c r="O20">
        <f>SUM(C20:N20)</f>
        <v/>
      </c>
    </row>
    <row r="21">
      <c r="B21" t="inlineStr">
        <is>
          <t>LAND TAX</t>
        </is>
      </c>
      <c r="C21" s="4" t="n">
        <v>0</v>
      </c>
      <c r="D21" s="4" t="n">
        <v>0</v>
      </c>
      <c r="E21" s="4" t="n">
        <v>0</v>
      </c>
      <c r="F21" s="4" t="n">
        <v>0</v>
      </c>
      <c r="G21" s="4" t="n">
        <v>0</v>
      </c>
      <c r="H21" s="4" t="n">
        <v>0</v>
      </c>
      <c r="I21" s="4" t="n">
        <v>0</v>
      </c>
      <c r="J21" s="4" t="n">
        <v>0</v>
      </c>
      <c r="K21" s="4" t="n">
        <v>0</v>
      </c>
      <c r="L21" s="4" t="n">
        <v>0</v>
      </c>
      <c r="M21" s="4" t="n">
        <v>0</v>
      </c>
      <c r="N21" s="4" t="n">
        <v>0</v>
      </c>
      <c r="O21">
        <f>SUM(C21:N21)</f>
        <v/>
      </c>
    </row>
    <row r="22">
      <c r="B22" t="inlineStr">
        <is>
          <t>LOANS INTEREST (from 1098)</t>
        </is>
      </c>
      <c r="C22" s="4" t="n">
        <v>0</v>
      </c>
      <c r="D22" s="4" t="n">
        <v>0</v>
      </c>
      <c r="E22" s="4" t="n">
        <v>0</v>
      </c>
      <c r="F22" s="4" t="n">
        <v>0</v>
      </c>
      <c r="G22" s="4" t="n">
        <v>0</v>
      </c>
      <c r="H22" s="4" t="n">
        <v>0</v>
      </c>
      <c r="I22" s="4" t="n">
        <v>0</v>
      </c>
      <c r="J22" s="4" t="n">
        <v>0</v>
      </c>
      <c r="K22" s="4" t="n">
        <v>0</v>
      </c>
      <c r="L22" s="4" t="n">
        <v>0</v>
      </c>
      <c r="M22" s="4" t="n">
        <v>0</v>
      </c>
      <c r="N22" s="4" t="n">
        <v>0</v>
      </c>
      <c r="O22">
        <f>SUM(C22:N22)</f>
        <v/>
      </c>
    </row>
    <row r="23">
      <c r="B23" t="inlineStr">
        <is>
          <t>MORTGAGE (cash P+I — memo only)</t>
        </is>
      </c>
      <c r="C23" s="4" t="n">
        <v>0</v>
      </c>
      <c r="D23" s="4" t="n">
        <v>0</v>
      </c>
      <c r="E23" s="4" t="n">
        <v>0</v>
      </c>
      <c r="F23" s="4" t="n">
        <v>0</v>
      </c>
      <c r="G23" s="4" t="n">
        <v>0</v>
      </c>
      <c r="H23" s="4" t="n">
        <v>0</v>
      </c>
      <c r="I23" s="4" t="n">
        <v>0</v>
      </c>
      <c r="J23" s="4" t="n">
        <v>0</v>
      </c>
      <c r="K23" s="4" t="n">
        <v>0</v>
      </c>
      <c r="L23" s="4" t="n">
        <v>0</v>
      </c>
      <c r="M23" s="4" t="n">
        <v>0</v>
      </c>
      <c r="N23" s="4" t="n">
        <v>0</v>
      </c>
      <c r="O23">
        <f>SUM(C23:N23)</f>
        <v/>
      </c>
    </row>
    <row r="24">
      <c r="B24" t="inlineStr">
        <is>
          <t>HOA</t>
        </is>
      </c>
      <c r="C24" s="4" t="n">
        <v>0</v>
      </c>
      <c r="D24" s="4" t="n">
        <v>0</v>
      </c>
      <c r="E24" s="4" t="n">
        <v>0</v>
      </c>
      <c r="F24" s="4" t="n">
        <v>0</v>
      </c>
      <c r="G24" s="4" t="n">
        <v>0</v>
      </c>
      <c r="H24" s="4" t="n">
        <v>0</v>
      </c>
      <c r="I24" s="4" t="n">
        <v>0</v>
      </c>
      <c r="J24" s="4" t="n">
        <v>0</v>
      </c>
      <c r="K24" s="4" t="n">
        <v>0</v>
      </c>
      <c r="L24" s="4" t="n">
        <v>0</v>
      </c>
      <c r="M24" s="4" t="n">
        <v>0</v>
      </c>
      <c r="N24" s="4" t="n">
        <v>0</v>
      </c>
      <c r="O24">
        <f>SUM(C24:N24)</f>
        <v/>
      </c>
    </row>
    <row r="25">
      <c r="B25" t="inlineStr">
        <is>
          <t>OTHER</t>
        </is>
      </c>
      <c r="C25" s="4" t="n">
        <v>0</v>
      </c>
      <c r="D25" s="4" t="n">
        <v>0</v>
      </c>
      <c r="E25" s="4" t="n">
        <v>0</v>
      </c>
      <c r="F25" s="4" t="n">
        <v>0</v>
      </c>
      <c r="G25" s="4" t="n">
        <v>0</v>
      </c>
      <c r="H25" s="4" t="n">
        <v>0</v>
      </c>
      <c r="I25" s="4" t="n">
        <v>0</v>
      </c>
      <c r="J25" s="4" t="n">
        <v>0</v>
      </c>
      <c r="K25" s="4" t="n">
        <v>0</v>
      </c>
      <c r="L25" s="4" t="n">
        <v>0</v>
      </c>
      <c r="M25" s="4" t="n">
        <v>0</v>
      </c>
      <c r="N25" s="4" t="n">
        <v>0</v>
      </c>
      <c r="O25">
        <f>SUM(C25:N25)</f>
        <v/>
      </c>
    </row>
    <row r="26">
      <c r="B26" t="inlineStr">
        <is>
          <t>TOTAL EXPENSES</t>
        </is>
      </c>
      <c r="C26">
        <f>SUM(C8:C25)</f>
        <v/>
      </c>
      <c r="D26">
        <f>SUM(D8:D25)</f>
        <v/>
      </c>
      <c r="E26">
        <f>SUM(E8:E25)</f>
        <v/>
      </c>
      <c r="F26">
        <f>SUM(F8:F25)</f>
        <v/>
      </c>
      <c r="G26">
        <f>SUM(G8:G25)</f>
        <v/>
      </c>
      <c r="H26">
        <f>SUM(H8:H25)</f>
        <v/>
      </c>
      <c r="I26">
        <f>SUM(I8:I25)</f>
        <v/>
      </c>
      <c r="J26">
        <f>SUM(J8:J25)</f>
        <v/>
      </c>
      <c r="K26">
        <f>SUM(K8:K25)</f>
        <v/>
      </c>
      <c r="L26">
        <f>SUM(L8:L25)</f>
        <v/>
      </c>
      <c r="M26">
        <f>SUM(M8:M25)</f>
        <v/>
      </c>
      <c r="N26">
        <f>SUM(N8:N25)</f>
        <v/>
      </c>
      <c r="O26">
        <f>SUM(C26:N26)</f>
        <v/>
      </c>
    </row>
    <row r="28">
      <c r="B28" t="inlineStr">
        <is>
          <t>YEAR-TO-DATE INCOME LESS EXPENSES</t>
        </is>
      </c>
      <c r="C28">
        <f>C5-C26</f>
        <v/>
      </c>
      <c r="D28">
        <f>D5-D26</f>
        <v/>
      </c>
      <c r="E28">
        <f>E5-E26</f>
        <v/>
      </c>
      <c r="F28">
        <f>F5-F26</f>
        <v/>
      </c>
      <c r="G28">
        <f>G5-G26</f>
        <v/>
      </c>
      <c r="H28">
        <f>H5-H26</f>
        <v/>
      </c>
      <c r="I28">
        <f>I5-I26</f>
        <v/>
      </c>
      <c r="J28">
        <f>J5-J26</f>
        <v/>
      </c>
      <c r="K28">
        <f>K5-K26</f>
        <v/>
      </c>
      <c r="L28">
        <f>L5-L26</f>
        <v/>
      </c>
      <c r="M28">
        <f>M5-M26</f>
        <v/>
      </c>
      <c r="N28">
        <f>N5-N26</f>
        <v/>
      </c>
      <c r="O28">
        <f>SUM(C28:N28)</f>
        <v/>
      </c>
    </row>
    <row r="30" ht="108" customHeight="1">
      <c r="B30" s="23" t="inlineStr">
        <is>
          <t>CC answers 2026-09-18: Nicor small / Prime ATT / Grove Collaborative supplies / Schauer / yard CONFIRMED. March HD $1358.65 → 524 EXTERIOR REPAIRS 50/50 with Unit 1. Remaining Prime HD/Lowe’s/IKEA 1/3 524 (50/50), 1/3 personal, 1/3 827 N Grove the house (not Grove Collaborative). ELECTRIC yellow — REMIND JACOB: double-check ComEd with Megan (checking ACH Jacob $829.15; any extra check?). Home Depot March read as 524 (not 534). Extra Space $360 HOLD. State Farm: bundled home+auto (was Travelers home / Geico auto). Only HOME share on this INSURANCE line (50/50 with Unit 1, yellow = Feb $157.53 home / $145.25 auto proxy). Auto share and Geico $540.89 credit EXCLUDED personal. No Sep–Dec on Prime. Not tax advice.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O30"/>
  <sheetViews>
    <sheetView workbookViewId="0">
      <selection activeCell="A1" sqref="A1"/>
    </sheetView>
  </sheetViews>
  <sheetFormatPr baseColWidth="8" defaultRowHeight="15"/>
  <cols>
    <col width="36" customWidth="1" min="2" max="2"/>
  </cols>
  <sheetData>
    <row r="1">
      <c r="B1" t="inlineStr">
        <is>
          <t>PROPERTY ADDRESS</t>
        </is>
      </c>
      <c r="C1" t="inlineStr">
        <is>
          <t>524 Ferdinand Avenue, Unit 1 (residence through sale 2025-12-18)</t>
        </is>
      </c>
    </row>
    <row r="2">
      <c r="B2" t="inlineStr">
        <is>
          <t>INCOME</t>
        </is>
      </c>
      <c r="C2" s="5" t="inlineStr">
        <is>
          <t>JAN</t>
        </is>
      </c>
      <c r="D2" s="5" t="inlineStr">
        <is>
          <t>FEB</t>
        </is>
      </c>
      <c r="E2" s="5" t="inlineStr">
        <is>
          <t>MAR</t>
        </is>
      </c>
      <c r="F2" s="5" t="inlineStr">
        <is>
          <t>APR</t>
        </is>
      </c>
      <c r="G2" s="5" t="inlineStr">
        <is>
          <t>MAY</t>
        </is>
      </c>
      <c r="H2" s="5" t="inlineStr">
        <is>
          <t>JUN</t>
        </is>
      </c>
      <c r="I2" s="5" t="inlineStr">
        <is>
          <t>JUL</t>
        </is>
      </c>
      <c r="J2" s="5" t="inlineStr">
        <is>
          <t>AUG</t>
        </is>
      </c>
      <c r="K2" s="5" t="inlineStr">
        <is>
          <t>SEPT</t>
        </is>
      </c>
      <c r="L2" s="5" t="inlineStr">
        <is>
          <t>OCT</t>
        </is>
      </c>
      <c r="M2" s="5" t="inlineStr">
        <is>
          <t>NOV</t>
        </is>
      </c>
      <c r="N2" s="5" t="inlineStr">
        <is>
          <t>DEC</t>
        </is>
      </c>
      <c r="O2" s="5" t="inlineStr">
        <is>
          <t>2025 YR TOTAL</t>
        </is>
      </c>
    </row>
    <row r="3">
      <c r="B3" t="inlineStr">
        <is>
          <t>STR / RENTAL INCOME</t>
        </is>
      </c>
      <c r="C3" s="4" t="n">
        <v>0</v>
      </c>
      <c r="D3" s="4" t="n">
        <v>0</v>
      </c>
      <c r="E3" s="4" t="n">
        <v>0</v>
      </c>
      <c r="F3" s="4" t="n">
        <v>0</v>
      </c>
      <c r="G3" s="4" t="n">
        <v>0</v>
      </c>
      <c r="H3" s="4" t="n">
        <v>0</v>
      </c>
      <c r="I3" s="4" t="n">
        <v>0</v>
      </c>
      <c r="J3" s="4" t="n">
        <v>0</v>
      </c>
      <c r="K3" s="4" t="n">
        <v>0</v>
      </c>
      <c r="L3" s="4" t="n">
        <v>0</v>
      </c>
      <c r="M3" s="4" t="n">
        <v>0</v>
      </c>
      <c r="N3" s="4" t="n">
        <v>0</v>
      </c>
      <c r="O3">
        <f>SUM(C3:N3)</f>
        <v/>
      </c>
    </row>
    <row r="4">
      <c r="B4" t="inlineStr">
        <is>
          <t>OTHER INCOME</t>
        </is>
      </c>
      <c r="C4" t="n">
        <v>0</v>
      </c>
      <c r="D4" t="n">
        <v>0</v>
      </c>
      <c r="E4" t="n">
        <v>0</v>
      </c>
      <c r="F4" t="n">
        <v>0</v>
      </c>
      <c r="G4" t="n">
        <v>0</v>
      </c>
      <c r="H4" t="n">
        <v>0</v>
      </c>
      <c r="I4" t="n">
        <v>0</v>
      </c>
      <c r="J4" t="n">
        <v>0</v>
      </c>
      <c r="K4" t="n">
        <v>0</v>
      </c>
      <c r="L4" t="n">
        <v>0</v>
      </c>
      <c r="M4" t="n">
        <v>0</v>
      </c>
      <c r="N4" t="n">
        <v>0</v>
      </c>
      <c r="O4">
        <f>SUM(C4:N4)</f>
        <v/>
      </c>
    </row>
    <row r="5">
      <c r="B5" t="inlineStr">
        <is>
          <t>GROSS RENTAL INCOME</t>
        </is>
      </c>
      <c r="C5">
        <f>SUM(C3:C4)</f>
        <v/>
      </c>
      <c r="D5">
        <f>SUM(D3:D4)</f>
        <v/>
      </c>
      <c r="E5">
        <f>SUM(E3:E4)</f>
        <v/>
      </c>
      <c r="F5">
        <f>SUM(F3:F4)</f>
        <v/>
      </c>
      <c r="G5">
        <f>SUM(G3:G4)</f>
        <v/>
      </c>
      <c r="H5">
        <f>SUM(H3:H4)</f>
        <v/>
      </c>
      <c r="I5">
        <f>SUM(I3:I4)</f>
        <v/>
      </c>
      <c r="J5">
        <f>SUM(J3:J4)</f>
        <v/>
      </c>
      <c r="K5">
        <f>SUM(K3:K4)</f>
        <v/>
      </c>
      <c r="L5">
        <f>SUM(L3:L4)</f>
        <v/>
      </c>
      <c r="M5">
        <f>SUM(M3:M4)</f>
        <v/>
      </c>
      <c r="N5">
        <f>SUM(N3:N4)</f>
        <v/>
      </c>
      <c r="O5">
        <f>SUM(C5:N5)</f>
        <v/>
      </c>
    </row>
    <row r="7">
      <c r="B7" t="inlineStr">
        <is>
          <t>EXPENSES</t>
        </is>
      </c>
      <c r="C7" s="5" t="inlineStr">
        <is>
          <t>JAN</t>
        </is>
      </c>
      <c r="D7" s="5" t="inlineStr">
        <is>
          <t>FEB</t>
        </is>
      </c>
      <c r="E7" s="5" t="inlineStr">
        <is>
          <t>MAR</t>
        </is>
      </c>
      <c r="F7" s="5" t="inlineStr">
        <is>
          <t>APR</t>
        </is>
      </c>
      <c r="G7" s="5" t="inlineStr">
        <is>
          <t>MAY</t>
        </is>
      </c>
      <c r="H7" s="5" t="inlineStr">
        <is>
          <t>JUN</t>
        </is>
      </c>
      <c r="I7" s="5" t="inlineStr">
        <is>
          <t>JUL</t>
        </is>
      </c>
      <c r="J7" s="5" t="inlineStr">
        <is>
          <t>AUG</t>
        </is>
      </c>
      <c r="K7" s="5" t="inlineStr">
        <is>
          <t>SEPT</t>
        </is>
      </c>
      <c r="L7" s="5" t="inlineStr">
        <is>
          <t>OCT</t>
        </is>
      </c>
      <c r="M7" s="5" t="inlineStr">
        <is>
          <t>NOV</t>
        </is>
      </c>
      <c r="N7" s="5" t="inlineStr">
        <is>
          <t>DEC</t>
        </is>
      </c>
      <c r="O7" s="5" t="inlineStr">
        <is>
          <t>2025 YR TOTAL</t>
        </is>
      </c>
    </row>
    <row r="8">
      <c r="B8" t="inlineStr">
        <is>
          <t>MARKETING / ADVERTISING</t>
        </is>
      </c>
      <c r="C8" s="4" t="n">
        <v>0</v>
      </c>
      <c r="D8" s="4" t="n">
        <v>0</v>
      </c>
      <c r="E8" s="4" t="n">
        <v>0</v>
      </c>
      <c r="F8" s="4" t="n">
        <v>0</v>
      </c>
      <c r="G8" s="4" t="n">
        <v>0</v>
      </c>
      <c r="H8" s="4" t="n">
        <v>0</v>
      </c>
      <c r="I8" s="4" t="n">
        <v>0</v>
      </c>
      <c r="J8" s="4" t="n">
        <v>0</v>
      </c>
      <c r="K8" s="4" t="n">
        <v>0</v>
      </c>
      <c r="L8" s="4" t="n">
        <v>0</v>
      </c>
      <c r="M8" s="4" t="n">
        <v>0</v>
      </c>
      <c r="N8" s="4" t="n">
        <v>0</v>
      </c>
      <c r="O8">
        <f>SUM(C8:N8)</f>
        <v/>
      </c>
    </row>
    <row r="9">
      <c r="B9" t="inlineStr">
        <is>
          <t>SERVICE FEES</t>
        </is>
      </c>
      <c r="C9" s="4" t="n">
        <v>0</v>
      </c>
      <c r="D9" s="4" t="n">
        <v>0</v>
      </c>
      <c r="E9" s="4" t="n">
        <v>0</v>
      </c>
      <c r="F9" s="4" t="n">
        <v>0</v>
      </c>
      <c r="G9" s="4" t="n">
        <v>0</v>
      </c>
      <c r="H9" s="4" t="n">
        <v>0</v>
      </c>
      <c r="I9" s="4" t="n">
        <v>0</v>
      </c>
      <c r="J9" s="4" t="n">
        <v>0</v>
      </c>
      <c r="K9" s="4" t="n">
        <v>0</v>
      </c>
      <c r="L9" s="4" t="n">
        <v>0</v>
      </c>
      <c r="M9" s="4" t="n">
        <v>0</v>
      </c>
      <c r="N9" s="4" t="n">
        <v>0</v>
      </c>
      <c r="O9">
        <f>SUM(C9:N9)</f>
        <v/>
      </c>
    </row>
    <row r="10">
      <c r="B10" t="inlineStr">
        <is>
          <t>REMITTED TAX</t>
        </is>
      </c>
      <c r="C10" s="4" t="n">
        <v>0</v>
      </c>
      <c r="D10" s="4" t="n">
        <v>0</v>
      </c>
      <c r="E10" s="4" t="n">
        <v>0</v>
      </c>
      <c r="F10" s="4" t="n">
        <v>0</v>
      </c>
      <c r="G10" s="4" t="n">
        <v>0</v>
      </c>
      <c r="H10" s="4" t="n">
        <v>0</v>
      </c>
      <c r="I10" s="4" t="n">
        <v>0</v>
      </c>
      <c r="J10" s="4" t="n">
        <v>0</v>
      </c>
      <c r="K10" s="4" t="n">
        <v>0</v>
      </c>
      <c r="L10" s="4" t="n">
        <v>0</v>
      </c>
      <c r="M10" s="4" t="n">
        <v>0</v>
      </c>
      <c r="N10" s="4" t="n">
        <v>0</v>
      </c>
      <c r="O10">
        <f>SUM(C10:N10)</f>
        <v/>
      </c>
    </row>
    <row r="11">
      <c r="B11" t="inlineStr">
        <is>
          <t>INSURANCE</t>
        </is>
      </c>
      <c r="C11" s="25" t="n">
        <v>0</v>
      </c>
      <c r="D11" s="21" t="n">
        <v>78.76000000000001</v>
      </c>
      <c r="E11" s="21" t="n">
        <v>78.75</v>
      </c>
      <c r="F11" s="21" t="n">
        <v>78.75</v>
      </c>
      <c r="G11" s="21" t="n">
        <v>78.75</v>
      </c>
      <c r="H11" s="21" t="n">
        <v>78.75</v>
      </c>
      <c r="I11" s="21" t="n">
        <v>78.75</v>
      </c>
      <c r="J11" s="21" t="n">
        <v>80.19</v>
      </c>
      <c r="K11" s="25" t="n">
        <v>0</v>
      </c>
      <c r="L11" s="25" t="n">
        <v>0</v>
      </c>
      <c r="M11" s="25" t="n">
        <v>0</v>
      </c>
      <c r="N11" s="25" t="n">
        <v>0</v>
      </c>
      <c r="O11">
        <f>SUM(C11:N11)</f>
        <v/>
      </c>
    </row>
    <row r="12">
      <c r="B12" t="inlineStr">
        <is>
          <t>INTERIOR MAINTENANCE</t>
        </is>
      </c>
      <c r="C12" s="4" t="n">
        <v>0</v>
      </c>
      <c r="D12" s="4" t="n">
        <v>0</v>
      </c>
      <c r="E12" s="4" t="n">
        <v>0</v>
      </c>
      <c r="F12" s="4" t="n">
        <v>0</v>
      </c>
      <c r="G12" s="4" t="n">
        <v>0</v>
      </c>
      <c r="H12" s="4" t="n">
        <v>0</v>
      </c>
      <c r="I12" s="4" t="n">
        <v>0</v>
      </c>
      <c r="J12" s="4" t="n">
        <v>0</v>
      </c>
      <c r="K12" s="4" t="n">
        <v>0</v>
      </c>
      <c r="L12" s="4" t="n">
        <v>0</v>
      </c>
      <c r="M12" s="4" t="n">
        <v>0</v>
      </c>
      <c r="N12" s="4" t="n">
        <v>0</v>
      </c>
      <c r="O12">
        <f>SUM(C12:N12)</f>
        <v/>
      </c>
    </row>
    <row r="13">
      <c r="B13" t="inlineStr">
        <is>
          <t>EXTERIOR REPAIRS</t>
        </is>
      </c>
      <c r="C13" s="4" t="n">
        <v>0</v>
      </c>
      <c r="D13" s="22" t="n">
        <v>66.56</v>
      </c>
      <c r="E13" s="22" t="n">
        <v>688.6</v>
      </c>
      <c r="F13" s="22" t="n">
        <v>39.57</v>
      </c>
      <c r="G13" s="4" t="n">
        <v>0</v>
      </c>
      <c r="H13" s="4" t="n">
        <v>0</v>
      </c>
      <c r="I13" s="22" t="n">
        <v>50.99</v>
      </c>
      <c r="J13" s="4" t="n">
        <v>0</v>
      </c>
      <c r="K13" s="22" t="n">
        <v>34.86</v>
      </c>
      <c r="L13" s="22" t="n">
        <v>68.48</v>
      </c>
      <c r="M13" s="22" t="n">
        <v>32.33</v>
      </c>
      <c r="N13" s="4" t="n">
        <v>0</v>
      </c>
      <c r="O13">
        <f>SUM(C13:N13)</f>
        <v/>
      </c>
    </row>
    <row r="14">
      <c r="B14" t="inlineStr">
        <is>
          <t>VILLAGE WATER AND REFUSE</t>
        </is>
      </c>
      <c r="C14" s="21" t="n">
        <v>0</v>
      </c>
      <c r="D14" s="22" t="n">
        <v>100.55</v>
      </c>
      <c r="E14" s="21" t="n">
        <v>0</v>
      </c>
      <c r="F14" s="22" t="n">
        <v>90.67</v>
      </c>
      <c r="G14" s="21" t="n">
        <v>0</v>
      </c>
      <c r="H14" s="22" t="n">
        <v>112.83</v>
      </c>
      <c r="I14" s="21" t="n">
        <v>0</v>
      </c>
      <c r="J14" s="22" t="n">
        <v>137.63</v>
      </c>
      <c r="K14" s="21" t="n">
        <v>0</v>
      </c>
      <c r="L14" s="22" t="n">
        <v>132.76</v>
      </c>
      <c r="M14" s="21" t="n">
        <v>0</v>
      </c>
      <c r="N14" s="21" t="n">
        <v>0</v>
      </c>
      <c r="O14">
        <f>SUM(C14:N14)</f>
        <v/>
      </c>
    </row>
    <row r="15">
      <c r="B15" t="inlineStr">
        <is>
          <t>GAS</t>
        </is>
      </c>
      <c r="C15" s="22" t="n">
        <v>98.56999999999999</v>
      </c>
      <c r="D15" s="22" t="n">
        <v>133.33</v>
      </c>
      <c r="E15" s="22" t="n">
        <v>115.82</v>
      </c>
      <c r="F15" s="22" t="n">
        <v>77.8</v>
      </c>
      <c r="G15" s="22" t="n">
        <v>79.95</v>
      </c>
      <c r="H15" s="22" t="n">
        <v>48.08</v>
      </c>
      <c r="I15" s="21" t="n">
        <v>0</v>
      </c>
      <c r="J15" s="22" t="n">
        <v>79.33</v>
      </c>
      <c r="K15" s="22" t="n">
        <v>36.25</v>
      </c>
      <c r="L15" s="22" t="n">
        <v>38.22</v>
      </c>
      <c r="M15" s="21" t="n">
        <v>0</v>
      </c>
      <c r="N15" s="22" t="n">
        <v>139.35</v>
      </c>
      <c r="O15">
        <f>SUM(C15:N15)</f>
        <v/>
      </c>
    </row>
    <row r="16">
      <c r="B16" t="inlineStr">
        <is>
          <t>ELECTRIC</t>
        </is>
      </c>
      <c r="C16" s="21" t="n">
        <v>132.94</v>
      </c>
      <c r="D16" s="21" t="n">
        <v>216.44</v>
      </c>
      <c r="E16" s="21" t="n">
        <v>184.09</v>
      </c>
      <c r="F16" s="21" t="n">
        <v>60.95</v>
      </c>
      <c r="G16" s="21" t="n">
        <v>83.76000000000001</v>
      </c>
      <c r="H16" s="21" t="n">
        <v>69.69</v>
      </c>
      <c r="I16" s="21" t="n">
        <v>164.88</v>
      </c>
      <c r="J16" s="21" t="n">
        <v>203.43</v>
      </c>
      <c r="K16" s="21" t="n">
        <v>187.63</v>
      </c>
      <c r="L16" s="21" t="n">
        <v>139.78</v>
      </c>
      <c r="M16" s="21" t="n">
        <v>71.29000000000001</v>
      </c>
      <c r="N16" s="21" t="n">
        <v>50.38</v>
      </c>
      <c r="O16">
        <f>SUM(C16:N16)</f>
        <v/>
      </c>
    </row>
    <row r="17">
      <c r="B17" t="inlineStr">
        <is>
          <t>INTERNET</t>
        </is>
      </c>
      <c r="C17" s="4" t="n">
        <v>0</v>
      </c>
      <c r="D17" s="4" t="n">
        <v>0</v>
      </c>
      <c r="E17" s="4" t="n">
        <v>0</v>
      </c>
      <c r="F17" s="4" t="n">
        <v>0</v>
      </c>
      <c r="G17" s="4" t="n">
        <v>0</v>
      </c>
      <c r="H17" s="4" t="n">
        <v>0</v>
      </c>
      <c r="I17" s="4" t="n">
        <v>0</v>
      </c>
      <c r="J17" s="4" t="n">
        <v>0</v>
      </c>
      <c r="K17" s="4" t="n">
        <v>0</v>
      </c>
      <c r="L17" s="4" t="n">
        <v>0</v>
      </c>
      <c r="M17" s="4" t="n">
        <v>0</v>
      </c>
      <c r="N17" s="4" t="n">
        <v>0</v>
      </c>
      <c r="O17">
        <f>SUM(C17:N17)</f>
        <v/>
      </c>
    </row>
    <row r="18">
      <c r="B18" t="inlineStr">
        <is>
          <t>CLEANING / TURNOVER</t>
        </is>
      </c>
      <c r="C18" s="4" t="n">
        <v>0</v>
      </c>
      <c r="D18" s="4" t="n">
        <v>0</v>
      </c>
      <c r="E18" s="4" t="n">
        <v>0</v>
      </c>
      <c r="F18" s="4" t="n">
        <v>0</v>
      </c>
      <c r="G18" s="4" t="n">
        <v>0</v>
      </c>
      <c r="H18" s="4" t="n">
        <v>0</v>
      </c>
      <c r="I18" s="4" t="n">
        <v>0</v>
      </c>
      <c r="J18" s="4" t="n">
        <v>0</v>
      </c>
      <c r="K18" s="4" t="n">
        <v>0</v>
      </c>
      <c r="L18" s="4" t="n">
        <v>0</v>
      </c>
      <c r="M18" s="4" t="n">
        <v>0</v>
      </c>
      <c r="N18" s="4" t="n">
        <v>0</v>
      </c>
      <c r="O18">
        <f>SUM(C18:N18)</f>
        <v/>
      </c>
    </row>
    <row r="19">
      <c r="B19" t="inlineStr">
        <is>
          <t>SUPPLIES</t>
        </is>
      </c>
      <c r="C19" s="4" t="n">
        <v>0</v>
      </c>
      <c r="D19" s="4" t="n">
        <v>0</v>
      </c>
      <c r="E19" s="4" t="n">
        <v>0</v>
      </c>
      <c r="F19" s="4" t="n">
        <v>0</v>
      </c>
      <c r="G19" s="4" t="n">
        <v>0</v>
      </c>
      <c r="H19" s="4" t="n">
        <v>0</v>
      </c>
      <c r="I19" s="4" t="n">
        <v>0</v>
      </c>
      <c r="J19" s="4" t="n">
        <v>0</v>
      </c>
      <c r="K19" s="4" t="n">
        <v>0</v>
      </c>
      <c r="L19" s="4" t="n">
        <v>0</v>
      </c>
      <c r="M19" s="4" t="n">
        <v>0</v>
      </c>
      <c r="N19" s="4" t="n">
        <v>0</v>
      </c>
      <c r="O19">
        <f>SUM(C19:N19)</f>
        <v/>
      </c>
    </row>
    <row r="20">
      <c r="B20" t="inlineStr">
        <is>
          <t>EQUIPMENT/APPLIANCE PURCHASES</t>
        </is>
      </c>
      <c r="C20" s="4" t="n">
        <v>0</v>
      </c>
      <c r="D20" s="4" t="n">
        <v>0</v>
      </c>
      <c r="E20" s="4" t="n">
        <v>0</v>
      </c>
      <c r="F20" s="4" t="n">
        <v>0</v>
      </c>
      <c r="G20" s="4" t="n">
        <v>0</v>
      </c>
      <c r="H20" s="4" t="n">
        <v>0</v>
      </c>
      <c r="I20" s="4" t="n">
        <v>0</v>
      </c>
      <c r="J20" s="4" t="n">
        <v>0</v>
      </c>
      <c r="K20" s="4" t="n">
        <v>0</v>
      </c>
      <c r="L20" s="4" t="n">
        <v>0</v>
      </c>
      <c r="M20" s="4" t="n">
        <v>0</v>
      </c>
      <c r="N20" s="4" t="n">
        <v>0</v>
      </c>
      <c r="O20">
        <f>SUM(C20:N20)</f>
        <v/>
      </c>
    </row>
    <row r="21">
      <c r="B21" t="inlineStr">
        <is>
          <t>LAND TAX</t>
        </is>
      </c>
      <c r="C21" s="4" t="n">
        <v>0</v>
      </c>
      <c r="D21" s="4" t="n">
        <v>0</v>
      </c>
      <c r="E21" s="4" t="n">
        <v>0</v>
      </c>
      <c r="F21" s="4" t="n">
        <v>0</v>
      </c>
      <c r="G21" s="4" t="n">
        <v>0</v>
      </c>
      <c r="H21" s="4" t="n">
        <v>0</v>
      </c>
      <c r="I21" s="4" t="n">
        <v>0</v>
      </c>
      <c r="J21" s="4" t="n">
        <v>0</v>
      </c>
      <c r="K21" s="4" t="n">
        <v>0</v>
      </c>
      <c r="L21" s="4" t="n">
        <v>0</v>
      </c>
      <c r="M21" s="4" t="n">
        <v>0</v>
      </c>
      <c r="N21" s="4" t="n">
        <v>0</v>
      </c>
      <c r="O21">
        <f>SUM(C21:N21)</f>
        <v/>
      </c>
    </row>
    <row r="22">
      <c r="B22" t="inlineStr">
        <is>
          <t>LOANS INTEREST (from 1098)</t>
        </is>
      </c>
      <c r="C22" s="4" t="n">
        <v>0</v>
      </c>
      <c r="D22" s="4" t="n">
        <v>0</v>
      </c>
      <c r="E22" s="4" t="n">
        <v>0</v>
      </c>
      <c r="F22" s="4" t="n">
        <v>0</v>
      </c>
      <c r="G22" s="4" t="n">
        <v>0</v>
      </c>
      <c r="H22" s="4" t="n">
        <v>0</v>
      </c>
      <c r="I22" s="4" t="n">
        <v>0</v>
      </c>
      <c r="J22" s="4" t="n">
        <v>0</v>
      </c>
      <c r="K22" s="4" t="n">
        <v>0</v>
      </c>
      <c r="L22" s="4" t="n">
        <v>0</v>
      </c>
      <c r="M22" s="4" t="n">
        <v>0</v>
      </c>
      <c r="N22" s="4" t="n">
        <v>0</v>
      </c>
      <c r="O22">
        <f>SUM(C22:N22)</f>
        <v/>
      </c>
    </row>
    <row r="23">
      <c r="B23" t="inlineStr">
        <is>
          <t>MORTGAGE (cash P+I — memo only)</t>
        </is>
      </c>
      <c r="C23" s="4" t="n">
        <v>0</v>
      </c>
      <c r="D23" s="4" t="n">
        <v>0</v>
      </c>
      <c r="E23" s="4" t="n">
        <v>0</v>
      </c>
      <c r="F23" s="4" t="n">
        <v>0</v>
      </c>
      <c r="G23" s="4" t="n">
        <v>0</v>
      </c>
      <c r="H23" s="4" t="n">
        <v>0</v>
      </c>
      <c r="I23" s="4" t="n">
        <v>0</v>
      </c>
      <c r="J23" s="4" t="n">
        <v>0</v>
      </c>
      <c r="K23" s="4" t="n">
        <v>0</v>
      </c>
      <c r="L23" s="4" t="n">
        <v>0</v>
      </c>
      <c r="M23" s="4" t="n">
        <v>0</v>
      </c>
      <c r="N23" s="4" t="n">
        <v>0</v>
      </c>
      <c r="O23">
        <f>SUM(C23:N23)</f>
        <v/>
      </c>
    </row>
    <row r="24">
      <c r="B24" t="inlineStr">
        <is>
          <t>HOA</t>
        </is>
      </c>
      <c r="C24" s="4" t="n">
        <v>0</v>
      </c>
      <c r="D24" s="4" t="n">
        <v>0</v>
      </c>
      <c r="E24" s="4" t="n">
        <v>0</v>
      </c>
      <c r="F24" s="4" t="n">
        <v>0</v>
      </c>
      <c r="G24" s="4" t="n">
        <v>0</v>
      </c>
      <c r="H24" s="4" t="n">
        <v>0</v>
      </c>
      <c r="I24" s="4" t="n">
        <v>0</v>
      </c>
      <c r="J24" s="4" t="n">
        <v>0</v>
      </c>
      <c r="K24" s="4" t="n">
        <v>0</v>
      </c>
      <c r="L24" s="4" t="n">
        <v>0</v>
      </c>
      <c r="M24" s="4" t="n">
        <v>0</v>
      </c>
      <c r="N24" s="4" t="n">
        <v>0</v>
      </c>
      <c r="O24">
        <f>SUM(C24:N24)</f>
        <v/>
      </c>
    </row>
    <row r="25">
      <c r="B25" t="inlineStr">
        <is>
          <t>OTHER</t>
        </is>
      </c>
      <c r="C25" s="4" t="n">
        <v>0</v>
      </c>
      <c r="D25" s="4" t="n">
        <v>0</v>
      </c>
      <c r="E25" s="4" t="n">
        <v>0</v>
      </c>
      <c r="F25" s="4" t="n">
        <v>0</v>
      </c>
      <c r="G25" s="4" t="n">
        <v>0</v>
      </c>
      <c r="H25" s="4" t="n">
        <v>0</v>
      </c>
      <c r="I25" s="4" t="n">
        <v>0</v>
      </c>
      <c r="J25" s="4" t="n">
        <v>0</v>
      </c>
      <c r="K25" s="4" t="n">
        <v>0</v>
      </c>
      <c r="L25" s="4" t="n">
        <v>0</v>
      </c>
      <c r="M25" s="4" t="n">
        <v>0</v>
      </c>
      <c r="N25" s="4" t="n">
        <v>0</v>
      </c>
      <c r="O25">
        <f>SUM(C25:N25)</f>
        <v/>
      </c>
    </row>
    <row r="26">
      <c r="B26" t="inlineStr">
        <is>
          <t>TOTAL EXPENSES</t>
        </is>
      </c>
      <c r="C26">
        <f>SUM(C8:C25)</f>
        <v/>
      </c>
      <c r="D26">
        <f>SUM(D8:D25)</f>
        <v/>
      </c>
      <c r="E26">
        <f>SUM(E8:E25)</f>
        <v/>
      </c>
      <c r="F26">
        <f>SUM(F8:F25)</f>
        <v/>
      </c>
      <c r="G26">
        <f>SUM(G8:G25)</f>
        <v/>
      </c>
      <c r="H26">
        <f>SUM(H8:H25)</f>
        <v/>
      </c>
      <c r="I26">
        <f>SUM(I8:I25)</f>
        <v/>
      </c>
      <c r="J26">
        <f>SUM(J8:J25)</f>
        <v/>
      </c>
      <c r="K26">
        <f>SUM(K8:K25)</f>
        <v/>
      </c>
      <c r="L26">
        <f>SUM(L8:L25)</f>
        <v/>
      </c>
      <c r="M26">
        <f>SUM(M8:M25)</f>
        <v/>
      </c>
      <c r="N26">
        <f>SUM(N8:N25)</f>
        <v/>
      </c>
      <c r="O26">
        <f>SUM(C26:N26)</f>
        <v/>
      </c>
    </row>
    <row r="28">
      <c r="B28" t="inlineStr">
        <is>
          <t>YEAR-TO-DATE INCOME LESS EXPENSES</t>
        </is>
      </c>
      <c r="C28">
        <f>C5-C26</f>
        <v/>
      </c>
      <c r="D28">
        <f>D5-D26</f>
        <v/>
      </c>
      <c r="E28">
        <f>E5-E26</f>
        <v/>
      </c>
      <c r="F28">
        <f>F5-F26</f>
        <v/>
      </c>
      <c r="G28">
        <f>G5-G26</f>
        <v/>
      </c>
      <c r="H28">
        <f>H5-H26</f>
        <v/>
      </c>
      <c r="I28">
        <f>I5-I26</f>
        <v/>
      </c>
      <c r="J28">
        <f>J5-J26</f>
        <v/>
      </c>
      <c r="K28">
        <f>K5-K26</f>
        <v/>
      </c>
      <c r="L28">
        <f>L5-L26</f>
        <v/>
      </c>
      <c r="M28">
        <f>M5-M26</f>
        <v/>
      </c>
      <c r="N28">
        <f>N5-N26</f>
        <v/>
      </c>
      <c r="O28">
        <f>SUM(C28:N28)</f>
        <v/>
      </c>
    </row>
    <row r="30" ht="96" customHeight="1">
      <c r="B30" s="23" t="inlineStr">
        <is>
          <t>§121 residence through sale 2025-12-18. Nicor large / water 50/50 CONFIRMED. March HD + remaining HD/Lowe’s/IKEA 524-share → EXTERIOR REPAIRS (U1 $981.39). ELECTRIC yellow — REMIND JACOB: double-check ComEd with Megan (checking ACH INDN Megan Gerrard $1,565.26; paid ACH and/or check?). Internet still $0 on this tab (Prime ATT on Unit 2). State Farm: bundled home+auto (was Travelers home / Geico auto). Only HOME share on this INSURANCE line (50/50 with Unit 2, yellow proxy). Auto + Geico credit personal. Not tax advice.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O40"/>
  <sheetViews>
    <sheetView workbookViewId="0">
      <selection activeCell="A1" sqref="A1"/>
    </sheetView>
  </sheetViews>
  <sheetFormatPr baseColWidth="8" defaultRowHeight="15"/>
  <cols>
    <col width="36" customWidth="1" min="2" max="2"/>
  </cols>
  <sheetData>
    <row r="1">
      <c r="B1" t="inlineStr">
        <is>
          <t>PROPERTY ADDRESS</t>
        </is>
      </c>
      <c r="C1" t="inlineStr">
        <is>
          <t>216 N. Oak Park Avenue #1Z (LTR)</t>
        </is>
      </c>
    </row>
    <row r="2">
      <c r="B2" t="inlineStr">
        <is>
          <t>INCOME</t>
        </is>
      </c>
      <c r="C2" s="5" t="inlineStr">
        <is>
          <t>JAN</t>
        </is>
      </c>
      <c r="D2" s="5" t="inlineStr">
        <is>
          <t>FEB</t>
        </is>
      </c>
      <c r="E2" s="5" t="inlineStr">
        <is>
          <t>MAR</t>
        </is>
      </c>
      <c r="F2" s="5" t="inlineStr">
        <is>
          <t>APR</t>
        </is>
      </c>
      <c r="G2" s="5" t="inlineStr">
        <is>
          <t>MAY</t>
        </is>
      </c>
      <c r="H2" s="5" t="inlineStr">
        <is>
          <t>JUN</t>
        </is>
      </c>
      <c r="I2" s="5" t="inlineStr">
        <is>
          <t>JUL</t>
        </is>
      </c>
      <c r="J2" s="5" t="inlineStr">
        <is>
          <t>AUG</t>
        </is>
      </c>
      <c r="K2" s="5" t="inlineStr">
        <is>
          <t>SEPT</t>
        </is>
      </c>
      <c r="L2" s="5" t="inlineStr">
        <is>
          <t>OCT</t>
        </is>
      </c>
      <c r="M2" s="5" t="inlineStr">
        <is>
          <t>NOV</t>
        </is>
      </c>
      <c r="N2" s="5" t="inlineStr">
        <is>
          <t>DEC</t>
        </is>
      </c>
      <c r="O2" s="5" t="inlineStr">
        <is>
          <t>2025 YR TOTAL</t>
        </is>
      </c>
    </row>
    <row r="3">
      <c r="B3" t="inlineStr">
        <is>
          <t>STR / RENTAL INCOME</t>
        </is>
      </c>
      <c r="C3" s="21" t="n">
        <v>1950</v>
      </c>
      <c r="D3" s="21" t="n">
        <v>1950</v>
      </c>
      <c r="E3" s="21" t="n">
        <v>1950</v>
      </c>
      <c r="F3" s="21" t="n">
        <v>1950</v>
      </c>
      <c r="G3" s="21" t="n">
        <v>1950</v>
      </c>
      <c r="H3" s="21" t="n">
        <v>1950</v>
      </c>
      <c r="I3" s="21" t="n">
        <v>1450</v>
      </c>
      <c r="J3" s="21" t="n">
        <v>2450</v>
      </c>
      <c r="K3" s="21" t="n">
        <v>0</v>
      </c>
      <c r="L3" s="21" t="n">
        <v>0</v>
      </c>
      <c r="M3" s="21" t="n">
        <v>0</v>
      </c>
      <c r="N3" s="21" t="n">
        <v>3900</v>
      </c>
      <c r="O3">
        <f>SUM(C3:N3)</f>
        <v/>
      </c>
    </row>
    <row r="4">
      <c r="B4" t="inlineStr">
        <is>
          <t>OTHER INCOME</t>
        </is>
      </c>
      <c r="C4" t="n">
        <v>0</v>
      </c>
      <c r="D4" t="n">
        <v>0</v>
      </c>
      <c r="E4" t="n">
        <v>0</v>
      </c>
      <c r="F4" t="n">
        <v>0</v>
      </c>
      <c r="G4" t="n">
        <v>0</v>
      </c>
      <c r="H4" t="n">
        <v>0</v>
      </c>
      <c r="I4" t="n">
        <v>0</v>
      </c>
      <c r="J4" t="n">
        <v>0</v>
      </c>
      <c r="K4" t="n">
        <v>0</v>
      </c>
      <c r="L4" t="n">
        <v>0</v>
      </c>
      <c r="M4" t="n">
        <v>0</v>
      </c>
      <c r="N4" t="n">
        <v>0</v>
      </c>
      <c r="O4">
        <f>SUM(C4:N4)</f>
        <v/>
      </c>
    </row>
    <row r="5">
      <c r="B5" t="inlineStr">
        <is>
          <t>GROSS RENTAL INCOME</t>
        </is>
      </c>
      <c r="C5">
        <f>SUM(C3:C4)</f>
        <v/>
      </c>
      <c r="D5">
        <f>SUM(D3:D4)</f>
        <v/>
      </c>
      <c r="E5">
        <f>SUM(E3:E4)</f>
        <v/>
      </c>
      <c r="F5">
        <f>SUM(F3:F4)</f>
        <v/>
      </c>
      <c r="G5">
        <f>SUM(G3:G4)</f>
        <v/>
      </c>
      <c r="H5">
        <f>SUM(H3:H4)</f>
        <v/>
      </c>
      <c r="I5">
        <f>SUM(I3:I4)</f>
        <v/>
      </c>
      <c r="J5">
        <f>SUM(J3:J4)</f>
        <v/>
      </c>
      <c r="K5">
        <f>SUM(K3:K4)</f>
        <v/>
      </c>
      <c r="L5">
        <f>SUM(L3:L4)</f>
        <v/>
      </c>
      <c r="M5">
        <f>SUM(M3:M4)</f>
        <v/>
      </c>
      <c r="N5">
        <f>SUM(N3:N4)</f>
        <v/>
      </c>
      <c r="O5">
        <f>SUM(C5:N5)</f>
        <v/>
      </c>
    </row>
    <row r="6"/>
    <row r="7">
      <c r="B7" t="inlineStr">
        <is>
          <t>EXPENSES</t>
        </is>
      </c>
      <c r="C7" s="5" t="inlineStr">
        <is>
          <t>JAN</t>
        </is>
      </c>
      <c r="D7" s="5" t="inlineStr">
        <is>
          <t>FEB</t>
        </is>
      </c>
      <c r="E7" s="5" t="inlineStr">
        <is>
          <t>MAR</t>
        </is>
      </c>
      <c r="F7" s="5" t="inlineStr">
        <is>
          <t>APR</t>
        </is>
      </c>
      <c r="G7" s="5" t="inlineStr">
        <is>
          <t>MAY</t>
        </is>
      </c>
      <c r="H7" s="5" t="inlineStr">
        <is>
          <t>JUN</t>
        </is>
      </c>
      <c r="I7" s="5" t="inlineStr">
        <is>
          <t>JUL</t>
        </is>
      </c>
      <c r="J7" s="5" t="inlineStr">
        <is>
          <t>AUG</t>
        </is>
      </c>
      <c r="K7" s="5" t="inlineStr">
        <is>
          <t>SEPT</t>
        </is>
      </c>
      <c r="L7" s="5" t="inlineStr">
        <is>
          <t>OCT</t>
        </is>
      </c>
      <c r="M7" s="5" t="inlineStr">
        <is>
          <t>NOV</t>
        </is>
      </c>
      <c r="N7" s="5" t="inlineStr">
        <is>
          <t>DEC</t>
        </is>
      </c>
      <c r="O7" s="5" t="inlineStr">
        <is>
          <t>2025 YR TOTAL</t>
        </is>
      </c>
    </row>
    <row r="8">
      <c r="B8" t="inlineStr">
        <is>
          <t>MARKETING / ADVERTISING</t>
        </is>
      </c>
      <c r="C8" s="4" t="n">
        <v>0</v>
      </c>
      <c r="D8" s="4" t="n">
        <v>0</v>
      </c>
      <c r="E8" s="4" t="n">
        <v>0</v>
      </c>
      <c r="F8" s="4" t="n">
        <v>0</v>
      </c>
      <c r="G8" s="4" t="n">
        <v>0</v>
      </c>
      <c r="H8" s="4" t="n">
        <v>0</v>
      </c>
      <c r="I8" s="4" t="n">
        <v>0</v>
      </c>
      <c r="J8" s="4" t="n">
        <v>0</v>
      </c>
      <c r="K8" s="4" t="n">
        <v>0</v>
      </c>
      <c r="L8" s="4" t="n">
        <v>0</v>
      </c>
      <c r="M8" s="4" t="n">
        <v>0</v>
      </c>
      <c r="N8" s="4" t="n">
        <v>0</v>
      </c>
      <c r="O8">
        <f>SUM(C8:N8)</f>
        <v/>
      </c>
    </row>
    <row r="9">
      <c r="B9" t="inlineStr">
        <is>
          <t>SERVICE FEES</t>
        </is>
      </c>
      <c r="C9" s="4" t="n">
        <v>0</v>
      </c>
      <c r="D9" s="4" t="n">
        <v>0</v>
      </c>
      <c r="E9" s="4" t="n">
        <v>0</v>
      </c>
      <c r="F9" s="4" t="n">
        <v>0</v>
      </c>
      <c r="G9" s="4" t="n">
        <v>0</v>
      </c>
      <c r="H9" s="4" t="n">
        <v>0</v>
      </c>
      <c r="I9" s="4" t="n">
        <v>0</v>
      </c>
      <c r="J9" s="4" t="n">
        <v>0</v>
      </c>
      <c r="K9" s="4" t="n">
        <v>0</v>
      </c>
      <c r="L9" s="4" t="n">
        <v>0</v>
      </c>
      <c r="M9" s="4" t="n">
        <v>0</v>
      </c>
      <c r="N9" s="4" t="n">
        <v>0</v>
      </c>
      <c r="O9">
        <f>SUM(C9:N9)</f>
        <v/>
      </c>
    </row>
    <row r="10">
      <c r="B10" t="inlineStr">
        <is>
          <t>REMITTED TAX</t>
        </is>
      </c>
      <c r="C10" s="4" t="n">
        <v>0</v>
      </c>
      <c r="D10" s="4" t="n">
        <v>0</v>
      </c>
      <c r="E10" s="4" t="n">
        <v>0</v>
      </c>
      <c r="F10" s="4" t="n">
        <v>0</v>
      </c>
      <c r="G10" s="4" t="n">
        <v>0</v>
      </c>
      <c r="H10" s="4" t="n">
        <v>0</v>
      </c>
      <c r="I10" s="4" t="n">
        <v>0</v>
      </c>
      <c r="J10" s="4" t="n">
        <v>0</v>
      </c>
      <c r="K10" s="4" t="n">
        <v>0</v>
      </c>
      <c r="L10" s="4" t="n">
        <v>0</v>
      </c>
      <c r="M10" s="4" t="n">
        <v>0</v>
      </c>
      <c r="N10" s="4" t="n">
        <v>0</v>
      </c>
      <c r="O10">
        <f>SUM(C10:N10)</f>
        <v/>
      </c>
    </row>
    <row r="11">
      <c r="B11" t="inlineStr">
        <is>
          <t>INSURANCE</t>
        </is>
      </c>
      <c r="C11" s="4" t="n">
        <v>0</v>
      </c>
      <c r="D11" s="4" t="n">
        <v>0</v>
      </c>
      <c r="E11" s="4" t="n">
        <v>0</v>
      </c>
      <c r="F11" s="4" t="n">
        <v>0</v>
      </c>
      <c r="G11" s="4" t="n">
        <v>0</v>
      </c>
      <c r="H11" s="4" t="n">
        <v>0</v>
      </c>
      <c r="I11" s="4" t="n">
        <v>0</v>
      </c>
      <c r="J11" s="4" t="n">
        <v>0</v>
      </c>
      <c r="K11" s="4" t="n">
        <v>0</v>
      </c>
      <c r="L11" s="4" t="n">
        <v>0</v>
      </c>
      <c r="M11" s="4" t="n">
        <v>0</v>
      </c>
      <c r="N11" s="4" t="n">
        <v>0</v>
      </c>
      <c r="O11">
        <f>SUM(C11:N11)</f>
        <v/>
      </c>
    </row>
    <row r="12">
      <c r="B12" t="inlineStr">
        <is>
          <t>INTERIOR MAINTENANCE</t>
        </is>
      </c>
      <c r="C12" s="4" t="n">
        <v>0</v>
      </c>
      <c r="D12" s="4" t="n">
        <v>0</v>
      </c>
      <c r="E12" s="4" t="n">
        <v>0</v>
      </c>
      <c r="F12" s="4" t="n">
        <v>0</v>
      </c>
      <c r="G12" s="4" t="n">
        <v>0</v>
      </c>
      <c r="H12" s="4" t="n">
        <v>0</v>
      </c>
      <c r="I12" s="4" t="n">
        <v>0</v>
      </c>
      <c r="J12" s="4" t="n">
        <v>0</v>
      </c>
      <c r="K12" s="4" t="n">
        <v>0</v>
      </c>
      <c r="L12" s="4" t="n">
        <v>0</v>
      </c>
      <c r="M12" s="4" t="n">
        <v>0</v>
      </c>
      <c r="N12" s="4" t="n">
        <v>0</v>
      </c>
      <c r="O12">
        <f>SUM(C12:N12)</f>
        <v/>
      </c>
    </row>
    <row r="13">
      <c r="B13" t="inlineStr">
        <is>
          <t>EXTERIOR REPAIRS</t>
        </is>
      </c>
      <c r="C13" s="4" t="n">
        <v>0</v>
      </c>
      <c r="D13" s="4" t="n">
        <v>0</v>
      </c>
      <c r="E13" s="4" t="n">
        <v>0</v>
      </c>
      <c r="F13" s="4" t="n">
        <v>0</v>
      </c>
      <c r="G13" s="4" t="n">
        <v>0</v>
      </c>
      <c r="H13" s="4" t="n">
        <v>0</v>
      </c>
      <c r="I13" s="4" t="n">
        <v>0</v>
      </c>
      <c r="J13" s="4" t="n">
        <v>0</v>
      </c>
      <c r="K13" s="4" t="n">
        <v>0</v>
      </c>
      <c r="L13" s="4" t="n">
        <v>0</v>
      </c>
      <c r="M13" s="4" t="n">
        <v>0</v>
      </c>
      <c r="N13" s="4" t="n">
        <v>0</v>
      </c>
      <c r="O13">
        <f>SUM(C13:N13)</f>
        <v/>
      </c>
    </row>
    <row r="14">
      <c r="B14" t="inlineStr">
        <is>
          <t>VILLAGE WATER AND REFUSE</t>
        </is>
      </c>
      <c r="C14" s="4" t="n">
        <v>0</v>
      </c>
      <c r="D14" s="4" t="n">
        <v>0</v>
      </c>
      <c r="E14" s="4" t="n">
        <v>0</v>
      </c>
      <c r="F14" s="4" t="n">
        <v>0</v>
      </c>
      <c r="G14" s="4" t="n">
        <v>0</v>
      </c>
      <c r="H14" s="4" t="n">
        <v>0</v>
      </c>
      <c r="I14" s="4" t="n">
        <v>0</v>
      </c>
      <c r="J14" s="4" t="n">
        <v>0</v>
      </c>
      <c r="K14" s="4" t="n">
        <v>0</v>
      </c>
      <c r="L14" s="4" t="n">
        <v>0</v>
      </c>
      <c r="M14" s="4" t="n">
        <v>0</v>
      </c>
      <c r="N14" s="4" t="n">
        <v>0</v>
      </c>
      <c r="O14">
        <f>SUM(C14:N14)</f>
        <v/>
      </c>
    </row>
    <row r="15">
      <c r="B15" t="inlineStr">
        <is>
          <t>GAS</t>
        </is>
      </c>
      <c r="C15" s="4" t="n">
        <v>0</v>
      </c>
      <c r="D15" s="4" t="n">
        <v>0</v>
      </c>
      <c r="E15" s="4" t="n">
        <v>0</v>
      </c>
      <c r="F15" s="4" t="n">
        <v>0</v>
      </c>
      <c r="G15" s="4" t="n">
        <v>0</v>
      </c>
      <c r="H15" s="4" t="n">
        <v>0</v>
      </c>
      <c r="I15" s="4" t="n">
        <v>0</v>
      </c>
      <c r="J15" s="4" t="n">
        <v>0</v>
      </c>
      <c r="K15" s="4" t="n">
        <v>0</v>
      </c>
      <c r="L15" s="4" t="n">
        <v>0</v>
      </c>
      <c r="M15" s="4" t="n">
        <v>0</v>
      </c>
      <c r="N15" s="4" t="n">
        <v>0</v>
      </c>
      <c r="O15">
        <f>SUM(C15:N15)</f>
        <v/>
      </c>
    </row>
    <row r="16">
      <c r="B16" t="inlineStr">
        <is>
          <t>ELECTRIC</t>
        </is>
      </c>
      <c r="C16" s="4" t="n">
        <v>0</v>
      </c>
      <c r="D16" s="4" t="n">
        <v>0</v>
      </c>
      <c r="E16" s="4" t="n">
        <v>0</v>
      </c>
      <c r="F16" s="4" t="n">
        <v>0</v>
      </c>
      <c r="G16" s="4" t="n">
        <v>0</v>
      </c>
      <c r="H16" s="4" t="n">
        <v>0</v>
      </c>
      <c r="I16" s="4" t="n">
        <v>0</v>
      </c>
      <c r="J16" s="4" t="n">
        <v>0</v>
      </c>
      <c r="K16" s="4" t="n">
        <v>0</v>
      </c>
      <c r="L16" s="4" t="n">
        <v>0</v>
      </c>
      <c r="M16" s="4" t="n">
        <v>0</v>
      </c>
      <c r="N16" s="4" t="n">
        <v>0</v>
      </c>
      <c r="O16">
        <f>SUM(C16:N16)</f>
        <v/>
      </c>
    </row>
    <row r="17">
      <c r="B17" t="inlineStr">
        <is>
          <t>INTERNET</t>
        </is>
      </c>
      <c r="C17" s="4" t="n">
        <v>0</v>
      </c>
      <c r="D17" s="4" t="n">
        <v>0</v>
      </c>
      <c r="E17" s="4" t="n">
        <v>0</v>
      </c>
      <c r="F17" s="4" t="n">
        <v>0</v>
      </c>
      <c r="G17" s="4" t="n">
        <v>0</v>
      </c>
      <c r="H17" s="4" t="n">
        <v>0</v>
      </c>
      <c r="I17" s="4" t="n">
        <v>0</v>
      </c>
      <c r="J17" s="4" t="n">
        <v>0</v>
      </c>
      <c r="K17" s="4" t="n">
        <v>0</v>
      </c>
      <c r="L17" s="4" t="n">
        <v>0</v>
      </c>
      <c r="M17" s="4" t="n">
        <v>0</v>
      </c>
      <c r="N17" s="4" t="n">
        <v>0</v>
      </c>
      <c r="O17">
        <f>SUM(C17:N17)</f>
        <v/>
      </c>
    </row>
    <row r="18">
      <c r="B18" t="inlineStr">
        <is>
          <t>CLEANING / TURNOVER</t>
        </is>
      </c>
      <c r="C18" s="4" t="n">
        <v>0</v>
      </c>
      <c r="D18" s="4" t="n">
        <v>0</v>
      </c>
      <c r="E18" s="4" t="n">
        <v>0</v>
      </c>
      <c r="F18" s="4" t="n">
        <v>0</v>
      </c>
      <c r="G18" s="4" t="n">
        <v>0</v>
      </c>
      <c r="H18" s="4" t="n">
        <v>0</v>
      </c>
      <c r="I18" s="4" t="n">
        <v>0</v>
      </c>
      <c r="J18" s="4" t="n">
        <v>0</v>
      </c>
      <c r="K18" s="4" t="n">
        <v>0</v>
      </c>
      <c r="L18" s="4" t="n">
        <v>0</v>
      </c>
      <c r="M18" s="4" t="n">
        <v>0</v>
      </c>
      <c r="N18" s="4" t="n">
        <v>0</v>
      </c>
      <c r="O18">
        <f>SUM(C18:N18)</f>
        <v/>
      </c>
    </row>
    <row r="19">
      <c r="B19" t="inlineStr">
        <is>
          <t>SUPPLIES</t>
        </is>
      </c>
      <c r="C19" s="4" t="n">
        <v>0</v>
      </c>
      <c r="D19" s="4" t="n">
        <v>0</v>
      </c>
      <c r="E19" s="4" t="n">
        <v>0</v>
      </c>
      <c r="F19" s="4" t="n">
        <v>0</v>
      </c>
      <c r="G19" s="4" t="n">
        <v>0</v>
      </c>
      <c r="H19" s="4" t="n">
        <v>0</v>
      </c>
      <c r="I19" s="4" t="n">
        <v>0</v>
      </c>
      <c r="J19" s="4" t="n">
        <v>0</v>
      </c>
      <c r="K19" s="4" t="n">
        <v>0</v>
      </c>
      <c r="L19" s="4" t="n">
        <v>0</v>
      </c>
      <c r="M19" s="4" t="n">
        <v>0</v>
      </c>
      <c r="N19" s="4" t="n">
        <v>0</v>
      </c>
      <c r="O19">
        <f>SUM(C19:N19)</f>
        <v/>
      </c>
    </row>
    <row r="20">
      <c r="B20" t="inlineStr">
        <is>
          <t>EQUIPMENT/APPLIANCE PURCHASES</t>
        </is>
      </c>
      <c r="C20" s="4" t="n">
        <v>0</v>
      </c>
      <c r="D20" s="4" t="n">
        <v>0</v>
      </c>
      <c r="E20" s="4" t="n">
        <v>0</v>
      </c>
      <c r="F20" s="4" t="n">
        <v>0</v>
      </c>
      <c r="G20" s="4" t="n">
        <v>0</v>
      </c>
      <c r="H20" s="4" t="n">
        <v>0</v>
      </c>
      <c r="I20" s="4" t="n">
        <v>0</v>
      </c>
      <c r="J20" s="4" t="n">
        <v>0</v>
      </c>
      <c r="K20" s="4" t="n">
        <v>0</v>
      </c>
      <c r="L20" s="4" t="n">
        <v>0</v>
      </c>
      <c r="M20" s="4" t="n">
        <v>0</v>
      </c>
      <c r="N20" s="4" t="n">
        <v>0</v>
      </c>
      <c r="O20">
        <f>SUM(C20:N20)</f>
        <v/>
      </c>
    </row>
    <row r="21">
      <c r="B21" t="inlineStr">
        <is>
          <t>LAND TAX</t>
        </is>
      </c>
      <c r="C21" s="4" t="n">
        <v>0</v>
      </c>
      <c r="D21" s="4" t="n">
        <v>0</v>
      </c>
      <c r="E21" s="4" t="n">
        <v>0</v>
      </c>
      <c r="F21" s="4" t="n">
        <v>0</v>
      </c>
      <c r="G21" s="4" t="n">
        <v>0</v>
      </c>
      <c r="H21" s="4" t="n">
        <v>0</v>
      </c>
      <c r="I21" s="4" t="n">
        <v>0</v>
      </c>
      <c r="J21" s="4" t="n">
        <v>0</v>
      </c>
      <c r="K21" s="4" t="n">
        <v>0</v>
      </c>
      <c r="L21" s="4" t="n">
        <v>0</v>
      </c>
      <c r="M21" s="4" t="n">
        <v>0</v>
      </c>
      <c r="N21" s="4" t="n">
        <v>0</v>
      </c>
      <c r="O21">
        <f>SUM(C21:N21)</f>
        <v/>
      </c>
    </row>
    <row r="22">
      <c r="B22" t="inlineStr">
        <is>
          <t>LOANS INTEREST (from 1098)</t>
        </is>
      </c>
      <c r="C22" s="4" t="n">
        <v>0</v>
      </c>
      <c r="D22" s="4" t="n">
        <v>0</v>
      </c>
      <c r="E22" s="4" t="n">
        <v>0</v>
      </c>
      <c r="F22" s="4" t="n">
        <v>0</v>
      </c>
      <c r="G22" s="4" t="n">
        <v>0</v>
      </c>
      <c r="H22" s="4" t="n">
        <v>0</v>
      </c>
      <c r="I22" s="4" t="n">
        <v>0</v>
      </c>
      <c r="J22" s="4" t="n">
        <v>0</v>
      </c>
      <c r="K22" s="4" t="n">
        <v>0</v>
      </c>
      <c r="L22" s="4" t="n">
        <v>0</v>
      </c>
      <c r="M22" s="4" t="n">
        <v>0</v>
      </c>
      <c r="N22" s="4" t="n">
        <v>0</v>
      </c>
      <c r="O22">
        <f>SUM(C22:N22)</f>
        <v/>
      </c>
    </row>
    <row r="23">
      <c r="B23" t="inlineStr">
        <is>
          <t>MORTGAGE (cash P+I — memo only)</t>
        </is>
      </c>
      <c r="C23" t="n">
        <v>0</v>
      </c>
      <c r="D23" t="n">
        <v>0</v>
      </c>
      <c r="E23" t="n">
        <v>0</v>
      </c>
      <c r="F23" t="n">
        <v>0</v>
      </c>
      <c r="G23" t="n">
        <v>0</v>
      </c>
      <c r="H23" t="n">
        <v>0</v>
      </c>
      <c r="I23" s="3" t="n">
        <v>1226.25</v>
      </c>
      <c r="J23" s="3" t="n">
        <v>1226.25</v>
      </c>
      <c r="K23" s="3" t="n">
        <v>1226.25</v>
      </c>
      <c r="L23" s="3" t="n">
        <v>1226.25</v>
      </c>
      <c r="M23" s="3" t="n">
        <v>1177.52</v>
      </c>
      <c r="N23" s="3" t="n">
        <v>1177.52</v>
      </c>
      <c r="O23">
        <f>SUM(C23:N23)</f>
        <v/>
      </c>
    </row>
    <row r="24">
      <c r="B24" t="inlineStr">
        <is>
          <t>HOA</t>
        </is>
      </c>
      <c r="C24" t="n">
        <v>0</v>
      </c>
      <c r="D24" t="n">
        <v>0</v>
      </c>
      <c r="E24" t="n">
        <v>0</v>
      </c>
      <c r="F24" t="n">
        <v>0</v>
      </c>
      <c r="G24" t="n">
        <v>0</v>
      </c>
      <c r="H24" s="3" t="n">
        <v>421.53</v>
      </c>
      <c r="I24" s="3" t="n">
        <v>421.53</v>
      </c>
      <c r="J24" s="3" t="n">
        <v>421.53</v>
      </c>
      <c r="K24" s="3" t="n">
        <v>421.53</v>
      </c>
      <c r="L24" s="3" t="n">
        <v>421.53</v>
      </c>
      <c r="M24" s="3" t="n">
        <v>421.53</v>
      </c>
      <c r="N24" s="3" t="n">
        <v>421.53</v>
      </c>
      <c r="O24">
        <f>SUM(C24:N24)</f>
        <v/>
      </c>
    </row>
    <row r="25">
      <c r="B25" t="inlineStr">
        <is>
          <t>OTHER</t>
        </is>
      </c>
      <c r="C25" s="4" t="n">
        <v>0</v>
      </c>
      <c r="D25" s="4" t="n">
        <v>0</v>
      </c>
      <c r="E25" s="4" t="n">
        <v>0</v>
      </c>
      <c r="F25" s="4" t="n">
        <v>0</v>
      </c>
      <c r="G25" s="4" t="n">
        <v>0</v>
      </c>
      <c r="H25" s="4" t="n">
        <v>0</v>
      </c>
      <c r="I25" s="4" t="n">
        <v>0</v>
      </c>
      <c r="J25" s="4" t="n">
        <v>0</v>
      </c>
      <c r="K25" s="4" t="n">
        <v>0</v>
      </c>
      <c r="L25" s="4" t="n">
        <v>0</v>
      </c>
      <c r="M25" s="4" t="n">
        <v>0</v>
      </c>
      <c r="N25" s="4" t="n">
        <v>0</v>
      </c>
      <c r="O25">
        <f>SUM(C25:N25)</f>
        <v/>
      </c>
    </row>
    <row r="26">
      <c r="B26" t="inlineStr">
        <is>
          <t>TOTAL EXPENSES</t>
        </is>
      </c>
      <c r="C26">
        <f>SUM(C8:C25)</f>
        <v/>
      </c>
      <c r="D26">
        <f>SUM(D8:D25)</f>
        <v/>
      </c>
      <c r="E26">
        <f>SUM(E8:E25)</f>
        <v/>
      </c>
      <c r="F26">
        <f>SUM(F8:F25)</f>
        <v/>
      </c>
      <c r="G26">
        <f>SUM(G8:G25)</f>
        <v/>
      </c>
      <c r="H26">
        <f>SUM(H8:H25)</f>
        <v/>
      </c>
      <c r="I26">
        <f>SUM(I8:I25)</f>
        <v/>
      </c>
      <c r="J26">
        <f>SUM(J8:J25)</f>
        <v/>
      </c>
      <c r="K26">
        <f>SUM(K8:K25)</f>
        <v/>
      </c>
      <c r="L26">
        <f>SUM(L8:L25)</f>
        <v/>
      </c>
      <c r="M26">
        <f>SUM(M8:M25)</f>
        <v/>
      </c>
      <c r="N26">
        <f>SUM(N8:N25)</f>
        <v/>
      </c>
      <c r="O26">
        <f>SUM(C26:N26)</f>
        <v/>
      </c>
    </row>
    <row r="27"/>
    <row r="28">
      <c r="B28" t="inlineStr">
        <is>
          <t>YEAR-TO-DATE INCOME LESS EXPENSES</t>
        </is>
      </c>
      <c r="C28">
        <f>C5-C26</f>
        <v/>
      </c>
      <c r="D28">
        <f>D5-D26</f>
        <v/>
      </c>
      <c r="E28">
        <f>E5-E26</f>
        <v/>
      </c>
      <c r="F28">
        <f>F5-F26</f>
        <v/>
      </c>
      <c r="G28">
        <f>G5-G26</f>
        <v/>
      </c>
      <c r="H28">
        <f>H5-H26</f>
        <v/>
      </c>
      <c r="I28">
        <f>I5-I26</f>
        <v/>
      </c>
      <c r="J28">
        <f>J5-J26</f>
        <v/>
      </c>
      <c r="K28">
        <f>K5-K26</f>
        <v/>
      </c>
      <c r="L28">
        <f>L5-L26</f>
        <v/>
      </c>
      <c r="M28">
        <f>M5-M26</f>
        <v/>
      </c>
      <c r="N28">
        <f>N5-N26</f>
        <v/>
      </c>
      <c r="O28">
        <f>SUM(C28:N28)</f>
        <v/>
      </c>
    </row>
    <row r="29"/>
    <row r="30" ht="90" customHeight="1">
      <c r="B30" s="23" t="inlineStr">
        <is>
          <t>LTR rent 2026-09-18: joint 0203 Zelle — Delach $1,450 + Ava $500 (yellow, ASK roommate) Feb–Sep cash, then Joan $1,950 on 12/1 and 12/31 (yellow, ASK Dec vs Jan-2026 prepaid). TY2025 cash $19500.00. Oct–Nov no rent on 0203 (ASK vacancy). Jan 2025 occupancy was paid 12/31/2024 — not in this year. HOA + Rocket payment cash from Monarch (green). Deduct interest from Rocket 1098 only — not full P+I. Not tax advice.</t>
        </is>
      </c>
    </row>
    <row r="31"/>
    <row r="32"/>
    <row r="33"/>
    <row r="34"/>
    <row r="35"/>
    <row r="36"/>
    <row r="37"/>
    <row r="38"/>
    <row r="39"/>
    <row r="40"/>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4"/>
  <sheetViews>
    <sheetView workbookViewId="0">
      <selection activeCell="A1" sqref="A1"/>
    </sheetView>
  </sheetViews>
  <sheetFormatPr baseColWidth="8" defaultRowHeight="15"/>
  <cols>
    <col width="70" customWidth="1" min="1" max="1"/>
  </cols>
  <sheetData>
    <row r="1">
      <c r="A1" s="6" t="n">
        <v>2025</v>
      </c>
    </row>
    <row r="2">
      <c r="A2" t="inlineStr">
        <is>
          <t>INCOME</t>
        </is>
      </c>
      <c r="B2" s="5" t="inlineStr">
        <is>
          <t>JAN</t>
        </is>
      </c>
      <c r="C2" s="5" t="inlineStr">
        <is>
          <t>FEB</t>
        </is>
      </c>
      <c r="D2" s="5" t="inlineStr">
        <is>
          <t>MAR</t>
        </is>
      </c>
      <c r="E2" s="5" t="inlineStr">
        <is>
          <t>APR</t>
        </is>
      </c>
      <c r="F2" s="5" t="inlineStr">
        <is>
          <t>MAY</t>
        </is>
      </c>
      <c r="G2" s="5" t="inlineStr">
        <is>
          <t>JUN</t>
        </is>
      </c>
      <c r="H2" s="5" t="inlineStr">
        <is>
          <t>JUL</t>
        </is>
      </c>
      <c r="I2" s="5" t="inlineStr">
        <is>
          <t>AUG</t>
        </is>
      </c>
      <c r="J2" s="5" t="inlineStr">
        <is>
          <t>SEPT</t>
        </is>
      </c>
      <c r="K2" s="5" t="inlineStr">
        <is>
          <t>OCT</t>
        </is>
      </c>
      <c r="L2" s="5" t="inlineStr">
        <is>
          <t>NOV</t>
        </is>
      </c>
      <c r="M2" s="5" t="inlineStr">
        <is>
          <t>DEC</t>
        </is>
      </c>
      <c r="N2" s="5" t="inlineStr">
        <is>
          <t>YR TOTAL</t>
        </is>
      </c>
    </row>
    <row r="3">
      <c r="A3" t="inlineStr">
        <is>
          <t>Business Income (Mercury rollup — includes art deals)</t>
        </is>
      </c>
      <c r="B3" s="3" t="n">
        <v>15000</v>
      </c>
      <c r="C3" s="3" t="n">
        <v>30000</v>
      </c>
      <c r="D3" s="3" t="n">
        <v>14000</v>
      </c>
      <c r="E3" t="n">
        <v>0</v>
      </c>
      <c r="F3" s="3" t="n">
        <v>37200</v>
      </c>
      <c r="G3" s="3" t="n">
        <v>41895</v>
      </c>
      <c r="H3" s="3" t="n">
        <v>37034.79</v>
      </c>
      <c r="I3" s="3" t="n">
        <v>10000</v>
      </c>
      <c r="J3" s="3" t="n">
        <v>22261.27</v>
      </c>
      <c r="K3" s="3" t="n">
        <v>50670</v>
      </c>
      <c r="L3" s="3" t="n">
        <v>6000</v>
      </c>
      <c r="M3" t="n">
        <v>0</v>
      </c>
      <c r="N3">
        <f>SUM(B3:M3)</f>
        <v/>
      </c>
    </row>
    <row r="4">
      <c r="A4" t="inlineStr">
        <is>
          <t>Consultant</t>
        </is>
      </c>
      <c r="B4" s="21" t="n">
        <v>0</v>
      </c>
      <c r="C4" s="22" t="n">
        <v>4100</v>
      </c>
      <c r="D4" s="21" t="n">
        <v>0</v>
      </c>
      <c r="E4" s="22" t="n">
        <v>9200</v>
      </c>
      <c r="F4" s="21" t="n">
        <v>0</v>
      </c>
      <c r="G4" s="21" t="n">
        <v>0</v>
      </c>
      <c r="H4" s="21" t="n">
        <v>0</v>
      </c>
      <c r="I4" s="21" t="n">
        <v>0</v>
      </c>
      <c r="J4" s="22" t="n">
        <v>4100</v>
      </c>
      <c r="K4" s="21" t="n">
        <v>0</v>
      </c>
      <c r="L4" s="22" t="n">
        <v>4100</v>
      </c>
      <c r="M4" s="21" t="n">
        <v>0</v>
      </c>
      <c r="N4">
        <f>SUM(B4:M4)</f>
        <v/>
      </c>
    </row>
    <row r="5">
      <c r="A5" t="inlineStr">
        <is>
          <t>Total</t>
        </is>
      </c>
      <c r="B5">
        <f>SUM(B3:B4)</f>
        <v/>
      </c>
      <c r="C5">
        <f>SUM(C3:C4)</f>
        <v/>
      </c>
      <c r="D5">
        <f>SUM(D3:D4)</f>
        <v/>
      </c>
      <c r="E5">
        <f>SUM(E3:E4)</f>
        <v/>
      </c>
      <c r="F5">
        <f>SUM(F3:F4)</f>
        <v/>
      </c>
      <c r="G5">
        <f>SUM(G3:G4)</f>
        <v/>
      </c>
      <c r="H5">
        <f>SUM(H3:H4)</f>
        <v/>
      </c>
      <c r="I5">
        <f>SUM(I3:I4)</f>
        <v/>
      </c>
      <c r="J5">
        <f>SUM(J3:J4)</f>
        <v/>
      </c>
      <c r="K5">
        <f>SUM(K3:K4)</f>
        <v/>
      </c>
      <c r="L5">
        <f>SUM(L3:L4)</f>
        <v/>
      </c>
      <c r="M5">
        <f>SUM(M3:M4)</f>
        <v/>
      </c>
      <c r="N5">
        <f>SUM(B5:M5)</f>
        <v/>
      </c>
    </row>
    <row r="6"/>
    <row r="7">
      <c r="A7" t="inlineStr">
        <is>
          <t>EXPENSES</t>
        </is>
      </c>
      <c r="B7" s="5" t="inlineStr">
        <is>
          <t>JAN</t>
        </is>
      </c>
      <c r="C7" s="5" t="inlineStr">
        <is>
          <t>FEB</t>
        </is>
      </c>
      <c r="D7" s="5" t="inlineStr">
        <is>
          <t>MAR</t>
        </is>
      </c>
      <c r="E7" s="5" t="inlineStr">
        <is>
          <t>APR</t>
        </is>
      </c>
      <c r="F7" s="5" t="inlineStr">
        <is>
          <t>MAY</t>
        </is>
      </c>
      <c r="G7" s="5" t="inlineStr">
        <is>
          <t>JUN</t>
        </is>
      </c>
      <c r="H7" s="5" t="inlineStr">
        <is>
          <t>JUL</t>
        </is>
      </c>
      <c r="I7" s="5" t="inlineStr">
        <is>
          <t>AUG</t>
        </is>
      </c>
      <c r="J7" s="5" t="inlineStr">
        <is>
          <t>SEPT</t>
        </is>
      </c>
      <c r="K7" s="5" t="inlineStr">
        <is>
          <t>OCT</t>
        </is>
      </c>
      <c r="L7" s="5" t="inlineStr">
        <is>
          <t>NOV</t>
        </is>
      </c>
      <c r="M7" s="5" t="inlineStr">
        <is>
          <t>DEC</t>
        </is>
      </c>
      <c r="N7" s="5" t="inlineStr">
        <is>
          <t>YR TOTAL</t>
        </is>
      </c>
    </row>
    <row r="8">
      <c r="A8" t="inlineStr">
        <is>
          <t>Supplies (office and operating)</t>
        </is>
      </c>
      <c r="B8" s="4" t="n">
        <v>0</v>
      </c>
      <c r="C8" s="4" t="n">
        <v>0</v>
      </c>
      <c r="D8" s="4" t="n">
        <v>0</v>
      </c>
      <c r="E8" s="4" t="n">
        <v>0</v>
      </c>
      <c r="F8" s="4" t="n">
        <v>0</v>
      </c>
      <c r="G8" s="4" t="n">
        <v>0</v>
      </c>
      <c r="H8" s="4" t="n">
        <v>0</v>
      </c>
      <c r="I8" s="4" t="n">
        <v>0</v>
      </c>
      <c r="J8" s="4" t="n">
        <v>0</v>
      </c>
      <c r="K8" s="4" t="n">
        <v>0</v>
      </c>
      <c r="L8" s="4" t="n">
        <v>0</v>
      </c>
      <c r="M8" s="4" t="n">
        <v>0</v>
      </c>
      <c r="N8" s="25">
        <f>SUM(B8:M8)</f>
        <v/>
      </c>
    </row>
    <row r="9">
      <c r="A9" t="inlineStr">
        <is>
          <t>Office Construction</t>
        </is>
      </c>
      <c r="B9" s="4" t="n">
        <v>0</v>
      </c>
      <c r="C9" s="4" t="n">
        <v>0</v>
      </c>
      <c r="D9" s="4" t="n">
        <v>0</v>
      </c>
      <c r="E9" s="4" t="n">
        <v>0</v>
      </c>
      <c r="F9" s="4" t="n">
        <v>0</v>
      </c>
      <c r="G9" s="4" t="n">
        <v>0</v>
      </c>
      <c r="H9" s="4" t="n">
        <v>0</v>
      </c>
      <c r="I9" s="4" t="n">
        <v>0</v>
      </c>
      <c r="J9" s="4" t="n">
        <v>0</v>
      </c>
      <c r="K9" s="4" t="n">
        <v>0</v>
      </c>
      <c r="L9" s="4" t="n">
        <v>0</v>
      </c>
      <c r="M9" s="4" t="n">
        <v>0</v>
      </c>
      <c r="N9" s="25">
        <f>SUM(B9:M9)</f>
        <v/>
      </c>
    </row>
    <row r="10">
      <c r="A10" t="inlineStr">
        <is>
          <t>Office Interior</t>
        </is>
      </c>
      <c r="B10" s="4" t="n">
        <v>0</v>
      </c>
      <c r="C10" s="4" t="n">
        <v>0</v>
      </c>
      <c r="D10" s="4" t="n">
        <v>0</v>
      </c>
      <c r="E10" s="4" t="n">
        <v>0</v>
      </c>
      <c r="F10" s="4" t="n">
        <v>0</v>
      </c>
      <c r="G10" s="4" t="n">
        <v>0</v>
      </c>
      <c r="H10" s="4" t="n">
        <v>0</v>
      </c>
      <c r="I10" s="4" t="n">
        <v>0</v>
      </c>
      <c r="J10" s="4" t="n">
        <v>0</v>
      </c>
      <c r="K10" s="4" t="n">
        <v>0</v>
      </c>
      <c r="L10" s="4" t="n">
        <v>0</v>
      </c>
      <c r="M10" s="4" t="n">
        <v>0</v>
      </c>
      <c r="N10" s="25">
        <f>SUM(B10:M10)</f>
        <v/>
      </c>
    </row>
    <row r="11">
      <c r="A11" t="inlineStr">
        <is>
          <t>Office Furniture</t>
        </is>
      </c>
      <c r="B11" s="4" t="n">
        <v>0</v>
      </c>
      <c r="C11" s="4" t="n">
        <v>0</v>
      </c>
      <c r="D11" s="4" t="n">
        <v>0</v>
      </c>
      <c r="E11" s="4" t="n">
        <v>0</v>
      </c>
      <c r="F11" s="4" t="n">
        <v>0</v>
      </c>
      <c r="G11" s="4" t="n">
        <v>0</v>
      </c>
      <c r="H11" s="4" t="n">
        <v>0</v>
      </c>
      <c r="I11" s="4" t="n">
        <v>0</v>
      </c>
      <c r="J11" s="4" t="n">
        <v>0</v>
      </c>
      <c r="K11" s="4" t="n">
        <v>0</v>
      </c>
      <c r="L11" s="4" t="n">
        <v>0</v>
      </c>
      <c r="M11" s="4" t="n">
        <v>0</v>
      </c>
      <c r="N11" s="25">
        <f>SUM(B11:M11)</f>
        <v/>
      </c>
    </row>
    <row r="12">
      <c r="A12" t="inlineStr">
        <is>
          <t>Repairs and maintenance</t>
        </is>
      </c>
      <c r="B12" s="4" t="n">
        <v>0</v>
      </c>
      <c r="C12" s="4" t="n">
        <v>0</v>
      </c>
      <c r="D12" s="4" t="n">
        <v>0</v>
      </c>
      <c r="E12" s="4" t="n">
        <v>0</v>
      </c>
      <c r="F12" s="4" t="n">
        <v>0</v>
      </c>
      <c r="G12" s="4" t="n">
        <v>0</v>
      </c>
      <c r="H12" s="4" t="n">
        <v>0</v>
      </c>
      <c r="I12" s="4" t="n">
        <v>0</v>
      </c>
      <c r="J12" s="4" t="n">
        <v>0</v>
      </c>
      <c r="K12" s="4" t="n">
        <v>0</v>
      </c>
      <c r="L12" s="4" t="n">
        <v>0</v>
      </c>
      <c r="M12" s="4" t="n">
        <v>0</v>
      </c>
      <c r="N12" s="25">
        <f>SUM(B12:M12)</f>
        <v/>
      </c>
    </row>
    <row r="13">
      <c r="A13" t="inlineStr">
        <is>
          <t>Advertising</t>
        </is>
      </c>
      <c r="B13" s="21" t="n">
        <v>0</v>
      </c>
      <c r="C13" s="21" t="n">
        <v>0</v>
      </c>
      <c r="D13" s="22" t="n">
        <v>755.98</v>
      </c>
      <c r="E13" s="21" t="n">
        <v>0</v>
      </c>
      <c r="F13" s="22" t="n">
        <v>199</v>
      </c>
      <c r="G13" s="21" t="n">
        <v>0</v>
      </c>
      <c r="H13" s="21" t="n">
        <v>0</v>
      </c>
      <c r="I13" s="21" t="n">
        <v>0</v>
      </c>
      <c r="J13" s="21" t="n">
        <v>0</v>
      </c>
      <c r="K13" s="21" t="n">
        <v>0</v>
      </c>
      <c r="L13" s="21" t="n">
        <v>0</v>
      </c>
      <c r="M13" s="21" t="n">
        <v>0</v>
      </c>
      <c r="N13" s="25">
        <f>SUM(B13:M13)</f>
        <v/>
      </c>
    </row>
    <row r="14">
      <c r="A14" t="inlineStr">
        <is>
          <t>Travel, Meals, and Entertainment</t>
        </is>
      </c>
      <c r="B14" s="21" t="n">
        <v>0</v>
      </c>
      <c r="C14" s="22" t="n">
        <v>20</v>
      </c>
      <c r="D14" s="21" t="n">
        <v>0</v>
      </c>
      <c r="E14" s="21" t="n">
        <v>0</v>
      </c>
      <c r="F14" s="22" t="n">
        <v>20</v>
      </c>
      <c r="G14" s="21" t="n">
        <v>0</v>
      </c>
      <c r="H14" s="22" t="n">
        <v>20</v>
      </c>
      <c r="I14" s="22" t="n">
        <v>20</v>
      </c>
      <c r="J14" s="21" t="n">
        <v>0</v>
      </c>
      <c r="K14" s="22" t="n">
        <v>20</v>
      </c>
      <c r="L14" s="22" t="n">
        <v>53</v>
      </c>
      <c r="M14" s="21" t="n">
        <v>0</v>
      </c>
      <c r="N14" s="25">
        <f>SUM(B14:M14)</f>
        <v/>
      </c>
    </row>
    <row r="15">
      <c r="A15" t="inlineStr">
        <is>
          <t>Accounting and legal</t>
        </is>
      </c>
      <c r="B15" s="4" t="n">
        <v>0</v>
      </c>
      <c r="C15" s="4" t="n">
        <v>0</v>
      </c>
      <c r="D15" s="4" t="n">
        <v>0</v>
      </c>
      <c r="E15" s="4" t="n">
        <v>0</v>
      </c>
      <c r="F15" s="4" t="n">
        <v>0</v>
      </c>
      <c r="G15" s="4" t="n">
        <v>0</v>
      </c>
      <c r="H15" s="4" t="n">
        <v>0</v>
      </c>
      <c r="I15" s="4" t="n">
        <v>0</v>
      </c>
      <c r="J15" s="4" t="n">
        <v>0</v>
      </c>
      <c r="K15" s="4" t="n">
        <v>0</v>
      </c>
      <c r="L15" s="4" t="n">
        <v>0</v>
      </c>
      <c r="M15" s="4" t="n">
        <v>0</v>
      </c>
      <c r="N15" s="25">
        <f>SUM(B15:M15)</f>
        <v/>
      </c>
    </row>
    <row r="16">
      <c r="A16" t="inlineStr">
        <is>
          <t>Cellphone and Internet</t>
        </is>
      </c>
      <c r="B16" s="22" t="n">
        <v>51.12</v>
      </c>
      <c r="C16" s="22" t="n">
        <v>93.26000000000001</v>
      </c>
      <c r="D16" s="22" t="n">
        <v>98.26000000000001</v>
      </c>
      <c r="E16" s="22" t="n">
        <v>98.26000000000001</v>
      </c>
      <c r="F16" s="22" t="n">
        <v>98.26000000000001</v>
      </c>
      <c r="G16" s="22" t="n">
        <v>98.26000000000001</v>
      </c>
      <c r="H16" s="22" t="n">
        <v>98.23</v>
      </c>
      <c r="I16" s="22" t="n">
        <v>98.34</v>
      </c>
      <c r="J16" s="22" t="n">
        <v>98.34</v>
      </c>
      <c r="K16" s="22" t="n">
        <v>98.39</v>
      </c>
      <c r="L16" s="22" t="n">
        <v>98.39</v>
      </c>
      <c r="M16" s="22" t="n">
        <v>97.91</v>
      </c>
      <c r="N16" s="25">
        <f>SUM(B16:M16)</f>
        <v/>
      </c>
    </row>
    <row r="17">
      <c r="A17" t="inlineStr">
        <is>
          <t>Software Fees</t>
        </is>
      </c>
      <c r="B17" s="22" t="n">
        <v>22.17</v>
      </c>
      <c r="C17" s="22" t="n">
        <v>22.17</v>
      </c>
      <c r="D17" s="22" t="n">
        <v>22.17</v>
      </c>
      <c r="E17" s="22" t="n">
        <v>22.17</v>
      </c>
      <c r="F17" s="22" t="n">
        <v>22.17</v>
      </c>
      <c r="G17" s="22" t="n">
        <v>22.17</v>
      </c>
      <c r="H17" s="22" t="n">
        <v>22.17</v>
      </c>
      <c r="I17" s="22" t="n">
        <v>2.17</v>
      </c>
      <c r="J17" s="22" t="n">
        <v>57.17</v>
      </c>
      <c r="K17" s="22" t="n">
        <v>37.17</v>
      </c>
      <c r="L17" s="22" t="n">
        <v>17.17</v>
      </c>
      <c r="M17" s="22" t="n">
        <v>57.17</v>
      </c>
      <c r="N17" s="25">
        <f>SUM(B17:M17)</f>
        <v/>
      </c>
    </row>
    <row r="18">
      <c r="A18" t="inlineStr">
        <is>
          <t>Tech</t>
        </is>
      </c>
      <c r="B18" s="21" t="n">
        <v>0</v>
      </c>
      <c r="C18" s="21" t="n">
        <v>0</v>
      </c>
      <c r="D18" s="21" t="n">
        <v>0</v>
      </c>
      <c r="E18" s="22" t="n">
        <v>20</v>
      </c>
      <c r="F18" s="22" t="n">
        <v>192</v>
      </c>
      <c r="G18" s="21" t="n">
        <v>0</v>
      </c>
      <c r="H18" s="21" t="n">
        <v>0</v>
      </c>
      <c r="I18" s="21" t="n">
        <v>0</v>
      </c>
      <c r="J18" s="21" t="n">
        <v>0</v>
      </c>
      <c r="K18" s="21" t="n">
        <v>0</v>
      </c>
      <c r="L18" s="21" t="n">
        <v>0</v>
      </c>
      <c r="M18" s="21" t="n">
        <v>0</v>
      </c>
      <c r="N18" s="25">
        <f>SUM(B18:M18)</f>
        <v/>
      </c>
    </row>
    <row r="19">
      <c r="A19" t="inlineStr">
        <is>
          <t>Consultant Fees</t>
        </is>
      </c>
      <c r="B19" s="4" t="n">
        <v>0</v>
      </c>
      <c r="C19" s="4" t="n">
        <v>0</v>
      </c>
      <c r="D19" s="4" t="n">
        <v>0</v>
      </c>
      <c r="E19" s="4" t="n">
        <v>0</v>
      </c>
      <c r="F19" s="4" t="n">
        <v>0</v>
      </c>
      <c r="G19" s="4" t="n">
        <v>0</v>
      </c>
      <c r="H19" s="4" t="n">
        <v>0</v>
      </c>
      <c r="I19" s="4" t="n">
        <v>0</v>
      </c>
      <c r="J19" s="4" t="n">
        <v>0</v>
      </c>
      <c r="K19" s="4" t="n">
        <v>0</v>
      </c>
      <c r="L19" s="4" t="n">
        <v>0</v>
      </c>
      <c r="M19" s="4" t="n">
        <v>0</v>
      </c>
      <c r="N19" s="25">
        <f>SUM(B19:M19)</f>
        <v/>
      </c>
    </row>
    <row r="20">
      <c r="A20" s="24" t="inlineStr">
        <is>
          <t>Art Library</t>
        </is>
      </c>
      <c r="B20" s="22" t="n">
        <v>153.44</v>
      </c>
      <c r="C20" s="22" t="n">
        <v>78.47</v>
      </c>
      <c r="D20" s="25" t="n">
        <v>0</v>
      </c>
      <c r="E20" s="22" t="n">
        <v>63.69</v>
      </c>
      <c r="F20" s="25" t="n">
        <v>0</v>
      </c>
      <c r="G20" s="25" t="n">
        <v>0</v>
      </c>
      <c r="H20" s="25" t="n">
        <v>0</v>
      </c>
      <c r="I20" s="25" t="n">
        <v>0</v>
      </c>
      <c r="J20" s="25" t="n">
        <v>0</v>
      </c>
      <c r="K20" s="25" t="n">
        <v>0</v>
      </c>
      <c r="L20" s="25" t="n">
        <v>0</v>
      </c>
      <c r="M20" s="25" t="n">
        <v>0</v>
      </c>
      <c r="N20" s="25">
        <f>SUM(B20:M20)</f>
        <v/>
      </c>
    </row>
    <row r="21">
      <c r="A21" t="inlineStr">
        <is>
          <t>Inventory / Art purchases (prefer Art Sales COGS — avoid double count)</t>
        </is>
      </c>
      <c r="B21" s="4" t="n">
        <v>0</v>
      </c>
      <c r="C21" s="4" t="n">
        <v>0</v>
      </c>
      <c r="D21" s="4" t="n">
        <v>0</v>
      </c>
      <c r="E21" s="4" t="n">
        <v>0</v>
      </c>
      <c r="F21" s="4" t="n">
        <v>0</v>
      </c>
      <c r="G21" s="4" t="n">
        <v>0</v>
      </c>
      <c r="H21" s="4" t="n">
        <v>0</v>
      </c>
      <c r="I21" s="4" t="n">
        <v>0</v>
      </c>
      <c r="J21" s="4" t="n">
        <v>0</v>
      </c>
      <c r="K21" s="4" t="n">
        <v>0</v>
      </c>
      <c r="L21" s="4" t="n">
        <v>0</v>
      </c>
      <c r="M21" s="4" t="n">
        <v>0</v>
      </c>
      <c r="N21" s="25">
        <f>SUM(B21:M21)</f>
        <v/>
      </c>
    </row>
    <row r="22">
      <c r="A22" t="inlineStr">
        <is>
          <t>Business Expense (Mercury category rollup)</t>
        </is>
      </c>
      <c r="B22" t="n">
        <v>0</v>
      </c>
      <c r="C22" t="n">
        <v>0</v>
      </c>
      <c r="D22" t="n">
        <v>0</v>
      </c>
      <c r="E22" t="n">
        <v>0</v>
      </c>
      <c r="F22" t="n">
        <v>0</v>
      </c>
      <c r="G22" t="n">
        <v>0</v>
      </c>
      <c r="H22" s="3" t="n">
        <v>334.17</v>
      </c>
      <c r="I22" t="n">
        <v>0</v>
      </c>
      <c r="J22" t="n">
        <v>0</v>
      </c>
      <c r="K22" s="3" t="n">
        <v>8658.629999999999</v>
      </c>
      <c r="L22" s="3" t="n">
        <v>8000</v>
      </c>
      <c r="M22" s="3" t="n">
        <v>8146.75</v>
      </c>
      <c r="N22" s="25">
        <f>SUM(B22:M22)</f>
        <v/>
      </c>
    </row>
    <row r="23">
      <c r="A23" t="inlineStr">
        <is>
          <t>Utilities</t>
        </is>
      </c>
      <c r="B23" s="4" t="n">
        <v>0</v>
      </c>
      <c r="C23" s="4" t="n">
        <v>0</v>
      </c>
      <c r="D23" s="4" t="n">
        <v>0</v>
      </c>
      <c r="E23" s="4" t="n">
        <v>0</v>
      </c>
      <c r="F23" s="4" t="n">
        <v>0</v>
      </c>
      <c r="G23" s="4" t="n">
        <v>0</v>
      </c>
      <c r="H23" s="4" t="n">
        <v>0</v>
      </c>
      <c r="I23" s="4" t="n">
        <v>0</v>
      </c>
      <c r="J23" s="4" t="n">
        <v>0</v>
      </c>
      <c r="K23" s="4" t="n">
        <v>0</v>
      </c>
      <c r="L23" s="4" t="n">
        <v>0</v>
      </c>
      <c r="M23" s="4" t="n">
        <v>0</v>
      </c>
      <c r="N23" s="25">
        <f>SUM(B23:M23)</f>
        <v/>
      </c>
    </row>
    <row r="24">
      <c r="A24" t="inlineStr">
        <is>
          <t>Insurance</t>
        </is>
      </c>
      <c r="B24" s="4" t="n">
        <v>0</v>
      </c>
      <c r="C24" s="4" t="n">
        <v>0</v>
      </c>
      <c r="D24" s="4" t="n">
        <v>0</v>
      </c>
      <c r="E24" s="4" t="n">
        <v>0</v>
      </c>
      <c r="F24" s="4" t="n">
        <v>0</v>
      </c>
      <c r="G24" s="4" t="n">
        <v>0</v>
      </c>
      <c r="H24" s="4" t="n">
        <v>0</v>
      </c>
      <c r="I24" s="4" t="n">
        <v>0</v>
      </c>
      <c r="J24" s="4" t="n">
        <v>0</v>
      </c>
      <c r="K24" s="4" t="n">
        <v>0</v>
      </c>
      <c r="L24" s="4" t="n">
        <v>0</v>
      </c>
      <c r="M24" s="4" t="n">
        <v>0</v>
      </c>
      <c r="N24" s="25">
        <f>SUM(B24:M24)</f>
        <v/>
      </c>
    </row>
    <row r="25">
      <c r="A25" t="inlineStr">
        <is>
          <t>TOTAL EXPENSES</t>
        </is>
      </c>
      <c r="B25" s="25">
        <f>SUM(B8:B24)</f>
        <v/>
      </c>
      <c r="C25" s="25">
        <f>SUM(C8:C24)</f>
        <v/>
      </c>
      <c r="D25" s="25">
        <f>SUM(D8:D24)</f>
        <v/>
      </c>
      <c r="E25" s="25">
        <f>SUM(E8:E24)</f>
        <v/>
      </c>
      <c r="F25" s="25">
        <f>SUM(F8:F24)</f>
        <v/>
      </c>
      <c r="G25" s="25">
        <f>SUM(G8:G24)</f>
        <v/>
      </c>
      <c r="H25" s="25">
        <f>SUM(H8:H24)</f>
        <v/>
      </c>
      <c r="I25" s="25">
        <f>SUM(I8:I24)</f>
        <v/>
      </c>
      <c r="J25" s="25">
        <f>SUM(J8:J24)</f>
        <v/>
      </c>
      <c r="K25" s="25">
        <f>SUM(K8:K24)</f>
        <v/>
      </c>
      <c r="L25" s="25">
        <f>SUM(L8:L24)</f>
        <v/>
      </c>
      <c r="M25" s="25">
        <f>SUM(M8:M24)</f>
        <v/>
      </c>
      <c r="N25" s="25">
        <f>SUM(N8:N24)</f>
        <v/>
      </c>
    </row>
    <row r="26"/>
    <row r="27">
      <c r="A27" t="inlineStr">
        <is>
          <t>YEAR TO DATE LESS EXPENSES</t>
        </is>
      </c>
      <c r="B27" s="25">
        <f>B5-B25</f>
        <v/>
      </c>
      <c r="C27" s="25">
        <f>C5-C25</f>
        <v/>
      </c>
      <c r="D27" s="25">
        <f>D5-D25</f>
        <v/>
      </c>
      <c r="E27" s="25">
        <f>E5-E25</f>
        <v/>
      </c>
      <c r="F27" s="25">
        <f>F5-F25</f>
        <v/>
      </c>
      <c r="G27" s="25">
        <f>G5-G25</f>
        <v/>
      </c>
      <c r="H27" s="25">
        <f>H5-H25</f>
        <v/>
      </c>
      <c r="I27" s="25">
        <f>I5-I25</f>
        <v/>
      </c>
      <c r="J27" s="25">
        <f>J5-J25</f>
        <v/>
      </c>
      <c r="K27" s="25">
        <f>K5-K25</f>
        <v/>
      </c>
      <c r="L27" s="25">
        <f>L5-L25</f>
        <v/>
      </c>
      <c r="M27" s="25">
        <f>M5-M25</f>
        <v/>
      </c>
      <c r="N27" s="25">
        <f>N5-N25</f>
        <v/>
      </c>
    </row>
    <row r="28"/>
    <row r="29">
      <c r="A29" s="4" t="inlineStr">
        <is>
          <t>COGS for art objects = Cost column on Art Sales and Purchases tab (not this rollup).</t>
        </is>
      </c>
    </row>
    <row r="30"/>
    <row r="31"/>
    <row r="32"/>
    <row r="33"/>
    <row r="34"/>
    <row r="35"/>
    <row r="36"/>
    <row r="37"/>
    <row r="38"/>
    <row r="39"/>
    <row r="41">
      <c r="A41" s="26" t="inlineStr">
        <is>
          <t>CC answers 2026-09-18: Canva CONFIRMED Software Fees; Park Chicago $100 + Field Museum $53 → Travel. Coinbase golf/voids still excluded; Soldier Field parking $57 HOLD. Frame Up / LAMA / Hindman are Art Sales inventory, not this P&amp;L. TruGreen is 524 yard. Not tax advice.</t>
        </is>
      </c>
    </row>
    <row r="42"/>
    <row r="43">
      <c r="A43" s="26" t="inlineStr">
        <is>
          <t>Checking inflows 2026-09-18: GCM BOM PAYMEN $21500.00 → Consultant (ties 1099-NEC). JAKE C / SEFOF reimbursements $5214.69 EXCLUDED. ASK: EPGC LLC vs personal 1099. Bear Creek / UTMA not on this tab. Not tax advice.</t>
        </is>
      </c>
    </row>
    <row r="44"/>
  </sheetData>
  <mergeCells count="2">
    <mergeCell ref="A41:N42"/>
    <mergeCell ref="A43:N4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33"/>
  <sheetViews>
    <sheetView workbookViewId="0">
      <selection activeCell="A1" sqref="A1"/>
    </sheetView>
  </sheetViews>
  <sheetFormatPr baseColWidth="8" defaultRowHeight="15"/>
  <cols>
    <col width="40" customWidth="1" min="1" max="1"/>
    <col width="18" customWidth="1" min="2" max="2"/>
    <col width="14" customWidth="1" min="3" max="3"/>
    <col width="14" customWidth="1" min="4" max="4"/>
    <col width="18" customWidth="1" min="5" max="5"/>
    <col width="12" customWidth="1" min="6" max="6"/>
    <col width="12" customWidth="1" min="7" max="7"/>
    <col width="12" customWidth="1" min="8" max="8"/>
    <col width="10" customWidth="1" min="9" max="9"/>
  </cols>
  <sheetData>
    <row r="1">
      <c r="A1" s="7" t="inlineStr">
        <is>
          <t>Sales 2025 — COGS = Cost column; Net Income = Sale Price − Cost</t>
        </is>
      </c>
    </row>
    <row r="2">
      <c r="A2" s="5" t="inlineStr">
        <is>
          <t>Object</t>
        </is>
      </c>
      <c r="B2" s="5" t="inlineStr">
        <is>
          <t>From</t>
        </is>
      </c>
      <c r="C2" s="5" t="inlineStr">
        <is>
          <t>Cost (COGS)</t>
        </is>
      </c>
      <c r="D2" s="5" t="inlineStr">
        <is>
          <t>Purchase Date</t>
        </is>
      </c>
      <c r="E2" s="5" t="inlineStr">
        <is>
          <t>To</t>
        </is>
      </c>
      <c r="F2" s="5" t="inlineStr">
        <is>
          <t>Sale Price</t>
        </is>
      </c>
      <c r="G2" s="5" t="inlineStr">
        <is>
          <t>Sale Date</t>
        </is>
      </c>
      <c r="H2" s="5" t="inlineStr">
        <is>
          <t>Net Income</t>
        </is>
      </c>
      <c r="I2" s="5" t="inlineStr">
        <is>
          <t>ROI</t>
        </is>
      </c>
    </row>
    <row r="3">
      <c r="A3" t="inlineStr">
        <is>
          <t>A Group of 10 Engraved Gems</t>
        </is>
      </c>
      <c r="B3" t="inlineStr">
        <is>
          <t>Erdal Dere</t>
        </is>
      </c>
      <c r="C3" s="3" t="n">
        <v>1000</v>
      </c>
      <c r="E3" t="inlineStr">
        <is>
          <t>Harlan J. Berk</t>
        </is>
      </c>
      <c r="F3" s="4" t="n"/>
      <c r="G3" s="8" t="n">
        <v>45695</v>
      </c>
      <c r="H3">
        <f>IF(OR(F3="",C3=""),"",F3-C3)</f>
        <v/>
      </c>
      <c r="I3">
        <f>IF(OR(H3="",C3=0),"",H3/C3)</f>
        <v/>
      </c>
    </row>
    <row r="4">
      <c r="A4" t="inlineStr">
        <is>
          <t>A Greek Amber(?) Ram's Head Protome</t>
        </is>
      </c>
      <c r="B4" t="inlineStr">
        <is>
          <t>Erdal Dere</t>
        </is>
      </c>
      <c r="C4" s="3" t="n">
        <v>300</v>
      </c>
      <c r="E4" t="inlineStr">
        <is>
          <t>Harlan J. Berk</t>
        </is>
      </c>
      <c r="F4" s="4" t="n"/>
      <c r="G4" s="8" t="n">
        <v>45695</v>
      </c>
      <c r="H4">
        <f>IF(OR(F4="",C4=""),"",F4-C4)</f>
        <v/>
      </c>
      <c r="I4">
        <f>IF(OR(H4="",C4=0),"",H4/C4)</f>
        <v/>
      </c>
    </row>
    <row r="5">
      <c r="A5" t="inlineStr">
        <is>
          <t>A Stone Cylinder Seal</t>
        </is>
      </c>
      <c r="B5" t="inlineStr">
        <is>
          <t>Estate Sale</t>
        </is>
      </c>
      <c r="C5" s="3" t="n">
        <v>300</v>
      </c>
      <c r="E5" t="inlineStr">
        <is>
          <t>Harlan J. Berk</t>
        </is>
      </c>
      <c r="F5" s="4" t="n"/>
      <c r="G5" s="8" t="n">
        <v>45695</v>
      </c>
      <c r="H5">
        <f>IF(OR(F5="",C5=""),"",F5-C5)</f>
        <v/>
      </c>
      <c r="I5">
        <f>IF(OR(H5="",C5=0),"",H5/C5)</f>
        <v/>
      </c>
    </row>
    <row r="6">
      <c r="A6" t="inlineStr">
        <is>
          <t>Commission on Cypriot Head</t>
        </is>
      </c>
      <c r="B6" t="inlineStr">
        <is>
          <t>Asher Edelman</t>
        </is>
      </c>
      <c r="C6" s="3" t="n">
        <v>1000</v>
      </c>
      <c r="E6" t="inlineStr">
        <is>
          <t>Harlan J. Berk</t>
        </is>
      </c>
      <c r="F6" s="4" t="n"/>
      <c r="G6" s="8" t="n">
        <v>45695</v>
      </c>
      <c r="H6">
        <f>IF(OR(F6="",C6=""),"",F6-C6)</f>
        <v/>
      </c>
      <c r="I6">
        <f>IF(OR(H6="",C6=0),"",H6/C6)</f>
        <v/>
      </c>
    </row>
    <row r="7">
      <c r="A7" t="inlineStr">
        <is>
          <t>Commission on Seal Collection</t>
        </is>
      </c>
      <c r="B7" t="inlineStr">
        <is>
          <t>Erdal Dere</t>
        </is>
      </c>
      <c r="C7" s="3" t="n">
        <v>1000</v>
      </c>
      <c r="E7" t="inlineStr">
        <is>
          <t>Harlan J. Berk</t>
        </is>
      </c>
      <c r="F7" s="4" t="n"/>
      <c r="G7" s="8" t="n">
        <v>45695</v>
      </c>
      <c r="H7">
        <f>IF(OR(F7="",C7=""),"",F7-C7)</f>
        <v/>
      </c>
      <c r="I7">
        <f>IF(OR(H7="",C7=0),"",H7/C7)</f>
        <v/>
      </c>
    </row>
    <row r="8">
      <c r="A8" t="inlineStr">
        <is>
          <t>Scythian Faience Horse Plaque</t>
        </is>
      </c>
      <c r="B8" t="inlineStr">
        <is>
          <t>Estate Sale</t>
        </is>
      </c>
      <c r="C8" s="3" t="n">
        <v>1000</v>
      </c>
      <c r="E8" t="inlineStr">
        <is>
          <t>Harlan J. Berk</t>
        </is>
      </c>
      <c r="F8" s="4" t="n"/>
      <c r="G8" s="8" t="n">
        <v>45695</v>
      </c>
      <c r="H8">
        <f>IF(OR(F8="",C8=""),"",F8-C8)</f>
        <v/>
      </c>
      <c r="I8">
        <f>IF(OR(H8="",C8=0),"",H8/C8)</f>
        <v/>
      </c>
    </row>
    <row r="9">
      <c r="A9" t="inlineStr">
        <is>
          <t>Syro-Hittite Terracotta Figure</t>
        </is>
      </c>
      <c r="B9" t="inlineStr">
        <is>
          <t>Estate Sale</t>
        </is>
      </c>
      <c r="C9" s="3" t="n">
        <v>600</v>
      </c>
      <c r="E9" t="inlineStr">
        <is>
          <t>Harlan J. Berk</t>
        </is>
      </c>
      <c r="F9" s="4" t="n"/>
      <c r="G9" s="8" t="n">
        <v>45695</v>
      </c>
      <c r="H9">
        <f>IF(OR(F9="",C9=""),"",F9-C9)</f>
        <v/>
      </c>
      <c r="I9">
        <f>IF(OR(H9="",C9=0),"",H9/C9)</f>
        <v/>
      </c>
    </row>
    <row r="10">
      <c r="A10" t="inlineStr">
        <is>
          <t>A Group of 6 Roman Oil Lamps</t>
        </is>
      </c>
      <c r="B10" t="inlineStr">
        <is>
          <t>Estate Sale</t>
        </is>
      </c>
      <c r="C10" s="3" t="n">
        <v>600</v>
      </c>
      <c r="E10" t="inlineStr">
        <is>
          <t>Harlan J. Berk</t>
        </is>
      </c>
      <c r="F10" s="4" t="n"/>
      <c r="G10" s="8" t="n">
        <v>45695</v>
      </c>
      <c r="H10">
        <f>IF(OR(F10="",C10=""),"",F10-C10)</f>
        <v/>
      </c>
      <c r="I10">
        <f>IF(OR(H10="",C10=0),"",H10/C10)</f>
        <v/>
      </c>
    </row>
    <row r="11">
      <c r="A11" t="inlineStr">
        <is>
          <t>A Cypriot Limestine Head</t>
        </is>
      </c>
      <c r="B11" t="inlineStr">
        <is>
          <t>Estate Sale</t>
        </is>
      </c>
      <c r="C11" s="3" t="n">
        <v>1000</v>
      </c>
      <c r="E11" t="inlineStr">
        <is>
          <t>Harlan J. Berk</t>
        </is>
      </c>
      <c r="F11" s="4" t="n"/>
      <c r="G11" s="8" t="n">
        <v>45695</v>
      </c>
      <c r="H11">
        <f>IF(OR(F11="",C11=""),"",F11-C11)</f>
        <v/>
      </c>
      <c r="I11">
        <f>IF(OR(H11="",C11=0),"",H11/C11)</f>
        <v/>
      </c>
    </row>
    <row r="12">
      <c r="A12" t="inlineStr">
        <is>
          <t>A Roman Marble Torso</t>
        </is>
      </c>
      <c r="B12" t="inlineStr">
        <is>
          <t>William Pearlstein</t>
        </is>
      </c>
      <c r="C12" s="3" t="n">
        <v>4000</v>
      </c>
      <c r="E12" t="inlineStr">
        <is>
          <t>Harlan J. Berk</t>
        </is>
      </c>
      <c r="F12" s="4" t="n"/>
      <c r="G12" s="8" t="n">
        <v>45695</v>
      </c>
      <c r="H12">
        <f>IF(OR(F12="",C12=""),"",F12-C12)</f>
        <v/>
      </c>
      <c r="I12">
        <f>IF(OR(H12="",C12=0),"",H12/C12)</f>
        <v/>
      </c>
    </row>
    <row r="13">
      <c r="A13" t="inlineStr">
        <is>
          <t>Cypriot Bichrome Juglet</t>
        </is>
      </c>
      <c r="B13" t="inlineStr">
        <is>
          <t>Live Auctioneers</t>
        </is>
      </c>
      <c r="C13" s="3" t="n">
        <v>600</v>
      </c>
      <c r="E13" t="inlineStr">
        <is>
          <t>Harlan J. Berk</t>
        </is>
      </c>
      <c r="F13" s="4" t="n"/>
      <c r="G13" s="8" t="n">
        <v>45695</v>
      </c>
      <c r="H13">
        <f>IF(OR(F13="",C13=""),"",F13-C13)</f>
        <v/>
      </c>
      <c r="I13">
        <f>IF(OR(H13="",C13=0),"",H13/C13)</f>
        <v/>
      </c>
    </row>
    <row r="14">
      <c r="A14" t="inlineStr">
        <is>
          <t>An Attic Black-Figured Fragment</t>
        </is>
      </c>
      <c r="B14" t="inlineStr">
        <is>
          <t>Hindman</t>
        </is>
      </c>
      <c r="C14" s="3" t="n">
        <v>334.44</v>
      </c>
      <c r="D14" s="8" t="n">
        <v>45071</v>
      </c>
      <c r="E14" t="inlineStr">
        <is>
          <t>Harlan J. Berk</t>
        </is>
      </c>
      <c r="F14" s="4" t="n"/>
      <c r="G14" s="8" t="n">
        <v>45695</v>
      </c>
      <c r="H14">
        <f>IF(OR(F14="",C14=""),"",F14-C14)</f>
        <v/>
      </c>
      <c r="I14">
        <f>IF(OR(H14="",C14=0),"",H14/C14)</f>
        <v/>
      </c>
    </row>
    <row r="15">
      <c r="A15" t="inlineStr">
        <is>
          <t>A Luristan Bronze Ibex</t>
        </is>
      </c>
      <c r="B15" t="inlineStr">
        <is>
          <t>Hindman</t>
        </is>
      </c>
      <c r="C15" s="3" t="n">
        <v>234.44</v>
      </c>
      <c r="D15" s="8" t="n">
        <v>45071</v>
      </c>
      <c r="E15" t="inlineStr">
        <is>
          <t>Harlan J. Berk</t>
        </is>
      </c>
      <c r="F15" s="4" t="n"/>
      <c r="G15" s="8" t="n">
        <v>45695</v>
      </c>
      <c r="H15">
        <f>IF(OR(F15="",C15=""),"",F15-C15)</f>
        <v/>
      </c>
      <c r="I15">
        <f>IF(OR(H15="",C15=0),"",H15/C15)</f>
        <v/>
      </c>
    </row>
    <row r="16">
      <c r="A16" t="inlineStr">
        <is>
          <t>An Egyptian Swivel Ring with Scarab</t>
        </is>
      </c>
      <c r="B16" t="inlineStr">
        <is>
          <t>Live Auctioneers</t>
        </is>
      </c>
      <c r="C16" s="3" t="n">
        <v>2228.76</v>
      </c>
      <c r="E16" t="inlineStr">
        <is>
          <t>Harlan J. Berk</t>
        </is>
      </c>
      <c r="F16" s="4" t="n"/>
      <c r="G16" s="8" t="n">
        <v>45695</v>
      </c>
      <c r="H16">
        <f>IF(OR(F16="",C16=""),"",F16-C16)</f>
        <v/>
      </c>
      <c r="I16">
        <f>IF(OR(H16="",C16=0),"",H16/C16)</f>
        <v/>
      </c>
    </row>
    <row r="17">
      <c r="A17" t="inlineStr">
        <is>
          <t>A Canosan Terracotta Horse</t>
        </is>
      </c>
      <c r="B17" t="inlineStr">
        <is>
          <t>Hindman</t>
        </is>
      </c>
      <c r="C17" s="3" t="n">
        <v>1000</v>
      </c>
      <c r="E17" t="inlineStr">
        <is>
          <t>Harlan J. Berk</t>
        </is>
      </c>
      <c r="F17" s="4" t="n"/>
      <c r="G17" s="8" t="n">
        <v>45695</v>
      </c>
      <c r="H17">
        <f>IF(OR(F17="",C17=""),"",F17-C17)</f>
        <v/>
      </c>
      <c r="I17">
        <f>IF(OR(H17="",C17=0),"",H17/C17)</f>
        <v/>
      </c>
    </row>
    <row r="18">
      <c r="A18" t="inlineStr">
        <is>
          <t>An Attic Black-Figured Column-Krater</t>
        </is>
      </c>
      <c r="B18" t="inlineStr">
        <is>
          <t>Antiquarium/Benningson</t>
        </is>
      </c>
      <c r="C18" s="3" t="n">
        <v>4500</v>
      </c>
      <c r="D18" s="8" t="n">
        <v>45275</v>
      </c>
      <c r="E18" t="inlineStr">
        <is>
          <t>Harlan J. Berk</t>
        </is>
      </c>
      <c r="F18" s="4" t="n"/>
      <c r="G18" s="8" t="n">
        <v>45695</v>
      </c>
      <c r="H18">
        <f>IF(OR(F18="",C18=""),"",F18-C18)</f>
        <v/>
      </c>
      <c r="I18">
        <f>IF(OR(H18="",C18=0),"",H18/C18)</f>
        <v/>
      </c>
    </row>
    <row r="19">
      <c r="A19" t="inlineStr">
        <is>
          <t>Roman Marble Base with Foot</t>
        </is>
      </c>
      <c r="B19" t="inlineStr">
        <is>
          <t>Arte Primitivo</t>
        </is>
      </c>
      <c r="C19" s="3" t="n">
        <v>500</v>
      </c>
      <c r="E19" t="inlineStr">
        <is>
          <t>Harlan J. Berk</t>
        </is>
      </c>
      <c r="F19" s="4" t="n"/>
      <c r="G19" s="8" t="n">
        <v>45695</v>
      </c>
      <c r="H19">
        <f>IF(OR(F19="",C19=""),"",F19-C19)</f>
        <v/>
      </c>
      <c r="I19">
        <f>IF(OR(H19="",C19=0),"",H19/C19)</f>
        <v/>
      </c>
    </row>
    <row r="20">
      <c r="A20" t="inlineStr">
        <is>
          <t>Neolithic Flint Celt</t>
        </is>
      </c>
      <c r="B20" t="inlineStr">
        <is>
          <t>Arte Primitivo</t>
        </is>
      </c>
      <c r="C20" s="3" t="n">
        <v>195.78</v>
      </c>
      <c r="D20" s="8" t="n">
        <v>44908</v>
      </c>
      <c r="E20" t="inlineStr">
        <is>
          <t>Harlan J. Berk</t>
        </is>
      </c>
      <c r="F20" s="4" t="n"/>
      <c r="G20" s="8" t="n">
        <v>45695</v>
      </c>
      <c r="H20">
        <f>IF(OR(F20="",C20=""),"",F20-C20)</f>
        <v/>
      </c>
      <c r="I20">
        <f>IF(OR(H20="",C20=0),"",H20/C20)</f>
        <v/>
      </c>
    </row>
    <row r="21">
      <c r="A21" t="inlineStr">
        <is>
          <t>Neolithic Danish Chert Adze</t>
        </is>
      </c>
      <c r="B21" t="inlineStr">
        <is>
          <t>Live Auctioneers</t>
        </is>
      </c>
      <c r="C21" s="3" t="n">
        <v>311.25</v>
      </c>
      <c r="D21" s="8" t="n">
        <v>44284</v>
      </c>
      <c r="E21" t="inlineStr">
        <is>
          <t>Harlan J. Berk</t>
        </is>
      </c>
      <c r="F21" s="4" t="n"/>
      <c r="G21" s="8" t="n">
        <v>45695</v>
      </c>
      <c r="H21">
        <f>IF(OR(F21="",C21=""),"",F21-C21)</f>
        <v/>
      </c>
      <c r="I21">
        <f>IF(OR(H21="",C21=0),"",H21/C21)</f>
        <v/>
      </c>
    </row>
    <row r="22">
      <c r="A22" t="inlineStr">
        <is>
          <t>Three Lots from Lithics Sale</t>
        </is>
      </c>
      <c r="B22" t="inlineStr">
        <is>
          <t>Hindman</t>
        </is>
      </c>
      <c r="C22" s="3" t="n">
        <v>2240.27</v>
      </c>
      <c r="D22" s="8" t="n">
        <v>45356</v>
      </c>
      <c r="E22" t="inlineStr">
        <is>
          <t>Harlan J. Berk</t>
        </is>
      </c>
      <c r="F22" s="4" t="n"/>
      <c r="G22" s="8" t="n">
        <v>45695</v>
      </c>
      <c r="H22">
        <f>IF(OR(F22="",C22=""),"",F22-C22)</f>
        <v/>
      </c>
      <c r="I22">
        <f>IF(OR(H22="",C22=0),"",H22/C22)</f>
        <v/>
      </c>
    </row>
    <row r="23">
      <c r="C23" s="3">
        <f>SUM(C51:C70)</f>
        <v/>
      </c>
      <c r="F23" t="n">
        <v>30000</v>
      </c>
      <c r="H23">
        <f>IF(OR(F23="",C23=""),"",F23-C23)</f>
        <v/>
      </c>
      <c r="I23">
        <f>IF(OR(H23="",C23=0),"",H23/C23)</f>
        <v/>
      </c>
    </row>
    <row r="24">
      <c r="A24" t="inlineStr">
        <is>
          <t>Total</t>
        </is>
      </c>
      <c r="C24">
        <f>SUM(C3:C23)</f>
        <v/>
      </c>
      <c r="F24">
        <f>SUM(F3:F23)</f>
        <v/>
      </c>
      <c r="H24">
        <f>SUM(H3:H23)</f>
        <v/>
      </c>
    </row>
    <row r="26">
      <c r="A26" s="4" t="inlineStr">
        <is>
          <t>Yellow Sale Price = still need buyer invoices. Green Cost = COGS already entered.</t>
        </is>
      </c>
    </row>
    <row r="28">
      <c r="A28" s="4" t="inlineStr">
        <is>
          <t>2025 CC inventory (CONFIRMED category — NOT in Cost total until object is identified)</t>
        </is>
      </c>
    </row>
    <row r="29">
      <c r="A29" t="inlineStr">
        <is>
          <t>Los Angeles Modern Auctions (inventory purchase)</t>
        </is>
      </c>
      <c r="B29" t="inlineStr">
        <is>
          <t>Sapphire 5423</t>
        </is>
      </c>
      <c r="C29" s="21" t="n">
        <v>6821.06</v>
      </c>
      <c r="D29" t="inlineStr">
        <is>
          <t>2025-07-24</t>
        </is>
      </c>
    </row>
    <row r="30">
      <c r="A30" t="inlineStr">
        <is>
          <t>Hindman LLC (inventory purchase)</t>
        </is>
      </c>
      <c r="B30" t="inlineStr">
        <is>
          <t>Sapphire 5423</t>
        </is>
      </c>
      <c r="C30" s="21" t="n">
        <v>282.24</v>
      </c>
      <c r="D30" t="inlineStr">
        <is>
          <t>2025-04-03</t>
        </is>
      </c>
    </row>
    <row r="31">
      <c r="A31" t="inlineStr">
        <is>
          <t>Hindman LLC (inventory purchase)</t>
        </is>
      </c>
      <c r="B31" t="inlineStr">
        <is>
          <t>Sapphire 5423</t>
        </is>
      </c>
      <c r="C31" s="21" t="n">
        <v>403.51</v>
      </c>
      <c r="D31" t="inlineStr">
        <is>
          <t>2025-07-29</t>
        </is>
      </c>
    </row>
    <row r="32">
      <c r="A32" s="4" t="inlineStr">
        <is>
          <t>The Great Frame Up (inventory framing)</t>
        </is>
      </c>
      <c r="B32" t="inlineStr">
        <is>
          <t>Sapphire 5423</t>
        </is>
      </c>
      <c r="C32" s="21" t="n">
        <v>536.41</v>
      </c>
      <c r="D32" t="inlineStr">
        <is>
          <t>2025-02-16</t>
        </is>
      </c>
    </row>
    <row r="33">
      <c r="A33" s="4" t="inlineStr">
        <is>
          <t>User 2026-09-18: these are inventory, not EPGC operating expense. Do not add into Cost (COGS) total until the object is named — avoid double count vs Mercury.</t>
        </is>
      </c>
    </row>
  </sheetData>
  <mergeCells count="1">
    <mergeCell ref="A33:I3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21"/>
  <sheetViews>
    <sheetView workbookViewId="0">
      <selection activeCell="A1" sqref="A1"/>
    </sheetView>
  </sheetViews>
  <sheetFormatPr baseColWidth="8" defaultRowHeight="15"/>
  <cols>
    <col width="22" customWidth="1" min="1" max="1"/>
    <col width="14" customWidth="1" min="2" max="2"/>
    <col width="14" customWidth="1" min="3" max="3"/>
    <col width="22" customWidth="1" min="4" max="4"/>
    <col width="14" customWidth="1" min="5" max="5"/>
    <col width="8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9" t="inlineStr">
        <is>
          <t>GCM / Gates Capital 2025 — board fees vs reimbursements (not tax advice)</t>
        </is>
      </c>
    </row>
    <row r="2" ht="36" customHeight="1">
      <c r="A2" s="26" t="inlineStr">
        <is>
          <t>BOM PAYMEN $21500.00 = Form 1099-NEC $21,500 → EPGC Consultant + this tab. JAKE C / SEFOF reimbursements $5214.69 EXCLUDED. CPA: confirm EPGC LLC vs personal 1099/Sch C.</t>
        </is>
      </c>
    </row>
    <row r="4">
      <c r="A4" s="10" t="inlineStr">
        <is>
          <t>LINE</t>
        </is>
      </c>
      <c r="B4" s="10" t="inlineStr">
        <is>
          <t>JAN</t>
        </is>
      </c>
      <c r="C4" s="10" t="inlineStr">
        <is>
          <t>FEB</t>
        </is>
      </c>
      <c r="D4" s="10" t="inlineStr">
        <is>
          <t>MAR</t>
        </is>
      </c>
      <c r="E4" s="10" t="inlineStr">
        <is>
          <t>APR</t>
        </is>
      </c>
      <c r="F4" s="10" t="inlineStr">
        <is>
          <t>MAY</t>
        </is>
      </c>
      <c r="G4" s="10" t="inlineStr">
        <is>
          <t>JUN</t>
        </is>
      </c>
      <c r="H4" s="10" t="inlineStr">
        <is>
          <t>JUL</t>
        </is>
      </c>
      <c r="I4" s="10" t="inlineStr">
        <is>
          <t>AUG</t>
        </is>
      </c>
      <c r="J4" s="10" t="inlineStr">
        <is>
          <t>SEP</t>
        </is>
      </c>
      <c r="K4" s="10" t="inlineStr">
        <is>
          <t>OCT</t>
        </is>
      </c>
      <c r="L4" s="10" t="inlineStr">
        <is>
          <t>NOV</t>
        </is>
      </c>
      <c r="M4" s="10" t="inlineStr">
        <is>
          <t>DEC</t>
        </is>
      </c>
      <c r="N4" s="10" t="inlineStr">
        <is>
          <t>YR TOTAL</t>
        </is>
      </c>
    </row>
    <row r="5">
      <c r="A5" t="inlineStr">
        <is>
          <t>Board fee (BOM PAYMEN → Consultant)</t>
        </is>
      </c>
      <c r="B5" s="49" t="n">
        <v>0</v>
      </c>
      <c r="C5" s="12" t="n">
        <v>4100</v>
      </c>
      <c r="D5" s="49" t="n">
        <v>0</v>
      </c>
      <c r="E5" s="12" t="n">
        <v>9200</v>
      </c>
      <c r="F5" s="49" t="n">
        <v>0</v>
      </c>
      <c r="G5" s="49" t="n">
        <v>0</v>
      </c>
      <c r="H5" s="49" t="n">
        <v>0</v>
      </c>
      <c r="I5" s="49" t="n">
        <v>0</v>
      </c>
      <c r="J5" s="12" t="n">
        <v>4100</v>
      </c>
      <c r="K5" s="49" t="n">
        <v>0</v>
      </c>
      <c r="L5" s="12" t="n">
        <v>4100</v>
      </c>
      <c r="M5" s="49" t="n">
        <v>0</v>
      </c>
      <c r="N5" s="12">
        <f>SUM(B5:M5)</f>
        <v/>
      </c>
    </row>
    <row r="6">
      <c r="A6" t="inlineStr">
        <is>
          <t>Reimbursements (EXCLUDED from income)</t>
        </is>
      </c>
      <c r="B6" s="16" t="n">
        <v>0</v>
      </c>
      <c r="C6" s="16" t="n">
        <v>1150.99</v>
      </c>
      <c r="D6" s="16" t="n">
        <v>0</v>
      </c>
      <c r="E6" s="16" t="n">
        <v>0</v>
      </c>
      <c r="F6" s="16" t="n">
        <v>609.02</v>
      </c>
      <c r="G6" s="16" t="n">
        <v>0</v>
      </c>
      <c r="H6" s="16" t="n">
        <v>1717.41</v>
      </c>
      <c r="I6" s="16" t="n">
        <v>0</v>
      </c>
      <c r="J6" s="16" t="n">
        <v>0</v>
      </c>
      <c r="K6" s="16" t="n">
        <v>0</v>
      </c>
      <c r="L6" s="16" t="n">
        <v>1737.27</v>
      </c>
      <c r="M6" s="16" t="n">
        <v>0</v>
      </c>
      <c r="N6" s="16">
        <f>SUM(B6:M6)</f>
        <v/>
      </c>
    </row>
    <row r="8">
      <c r="A8" s="29" t="inlineStr">
        <is>
          <t>Transaction register</t>
        </is>
      </c>
    </row>
    <row r="9">
      <c r="A9" s="10" t="inlineStr">
        <is>
          <t>Date</t>
        </is>
      </c>
      <c r="B9" s="10" t="inlineStr">
        <is>
          <t>Account</t>
        </is>
      </c>
      <c r="C9" s="10" t="inlineStr">
        <is>
          <t>Amount</t>
        </is>
      </c>
      <c r="D9" s="10" t="inlineStr">
        <is>
          <t>Bucket</t>
        </is>
      </c>
      <c r="E9" s="10" t="inlineStr">
        <is>
          <t>Status</t>
        </is>
      </c>
      <c r="F9" s="10" t="inlineStr">
        <is>
          <t>Memo</t>
        </is>
      </c>
    </row>
    <row r="10">
      <c r="A10" s="11" t="inlineStr">
        <is>
          <t>2025-02-12</t>
        </is>
      </c>
      <c r="B10" s="11" t="inlineStr">
        <is>
          <t>9922</t>
        </is>
      </c>
      <c r="C10" s="12" t="n">
        <v>4100</v>
      </c>
      <c r="D10" s="11" t="inlineStr">
        <is>
          <t>Consultant / 1099</t>
        </is>
      </c>
      <c r="E10" s="11" t="inlineStr">
        <is>
          <t>APPLIED</t>
        </is>
      </c>
      <c r="F10" s="11" t="inlineStr">
        <is>
          <t>BOM PAYMEN</t>
        </is>
      </c>
    </row>
    <row r="11">
      <c r="A11" s="11" t="inlineStr">
        <is>
          <t>2025-04-18</t>
        </is>
      </c>
      <c r="B11" s="11" t="inlineStr">
        <is>
          <t>9922</t>
        </is>
      </c>
      <c r="C11" s="12" t="n">
        <v>9200</v>
      </c>
      <c r="D11" s="11" t="inlineStr">
        <is>
          <t>Consultant / 1099</t>
        </is>
      </c>
      <c r="E11" s="11" t="inlineStr">
        <is>
          <t>APPLIED</t>
        </is>
      </c>
      <c r="F11" s="11" t="inlineStr">
        <is>
          <t>BOM PAYMEN</t>
        </is>
      </c>
    </row>
    <row r="12">
      <c r="A12" s="11" t="inlineStr">
        <is>
          <t>2025-09-13</t>
        </is>
      </c>
      <c r="B12" s="11" t="inlineStr">
        <is>
          <t>9922</t>
        </is>
      </c>
      <c r="C12" s="12" t="n">
        <v>4100</v>
      </c>
      <c r="D12" s="11" t="inlineStr">
        <is>
          <t>Consultant / 1099</t>
        </is>
      </c>
      <c r="E12" s="11" t="inlineStr">
        <is>
          <t>APPLIED</t>
        </is>
      </c>
      <c r="F12" s="11" t="inlineStr">
        <is>
          <t>BOM PAYMEN</t>
        </is>
      </c>
    </row>
    <row r="13">
      <c r="A13" s="11" t="inlineStr">
        <is>
          <t>2025-11-13</t>
        </is>
      </c>
      <c r="B13" s="11" t="inlineStr">
        <is>
          <t>9922</t>
        </is>
      </c>
      <c r="C13" s="12" t="n">
        <v>4100</v>
      </c>
      <c r="D13" s="11" t="inlineStr">
        <is>
          <t>Consultant / 1099</t>
        </is>
      </c>
      <c r="E13" s="11" t="inlineStr">
        <is>
          <t>APPLIED</t>
        </is>
      </c>
      <c r="F13" s="11" t="inlineStr">
        <is>
          <t>BOM PAYMEN</t>
        </is>
      </c>
    </row>
    <row r="14">
      <c r="A14" s="13" t="inlineStr">
        <is>
          <t>2025-02-18</t>
        </is>
      </c>
      <c r="B14" s="13" t="inlineStr">
        <is>
          <t>9922</t>
        </is>
      </c>
      <c r="C14" s="16" t="n">
        <v>1150.99</v>
      </c>
      <c r="D14" s="13" t="inlineStr">
        <is>
          <t>Reimbursement</t>
        </is>
      </c>
      <c r="E14" s="13" t="inlineStr">
        <is>
          <t>EXCLUDED</t>
        </is>
      </c>
      <c r="F14" s="13" t="inlineStr">
        <is>
          <t>PMT INFO: BOARD MEETING EXPENSES</t>
        </is>
      </c>
    </row>
    <row r="15">
      <c r="A15" s="13" t="inlineStr">
        <is>
          <t>2025-05-22</t>
        </is>
      </c>
      <c r="B15" s="13" t="inlineStr">
        <is>
          <t>9922</t>
        </is>
      </c>
      <c r="C15" s="16" t="n">
        <v>609.02</v>
      </c>
      <c r="D15" s="13" t="inlineStr">
        <is>
          <t>Reimbursement</t>
        </is>
      </c>
      <c r="E15" s="13" t="inlineStr">
        <is>
          <t>EXCLUDED</t>
        </is>
      </c>
      <c r="F15" s="13" t="inlineStr">
        <is>
          <t>JAKE C — no PMT INFO on statement; odd cents, not BOM — treated as reimburse</t>
        </is>
      </c>
    </row>
    <row r="16">
      <c r="A16" s="13" t="inlineStr">
        <is>
          <t>2025-11-05</t>
        </is>
      </c>
      <c r="B16" s="13" t="inlineStr">
        <is>
          <t>9922</t>
        </is>
      </c>
      <c r="C16" s="16" t="n">
        <v>1273.82</v>
      </c>
      <c r="D16" s="13" t="inlineStr">
        <is>
          <t>Reimbursement</t>
        </is>
      </c>
      <c r="E16" s="13" t="inlineStr">
        <is>
          <t>EXCLUDED</t>
        </is>
      </c>
      <c r="F16" s="13" t="inlineStr">
        <is>
          <t>Monarch tag Reimburse; statement JAKE C (not BOM)</t>
        </is>
      </c>
    </row>
    <row r="17">
      <c r="A17" s="13" t="inlineStr">
        <is>
          <t>2025-07-25</t>
        </is>
      </c>
      <c r="B17" s="13" t="inlineStr">
        <is>
          <t>8507</t>
        </is>
      </c>
      <c r="C17" s="16" t="n">
        <v>462.48</v>
      </c>
      <c r="D17" s="13" t="inlineStr">
        <is>
          <t>Reimbursement</t>
        </is>
      </c>
      <c r="E17" s="13" t="inlineStr">
        <is>
          <t>EXCLUDED</t>
        </is>
      </c>
      <c r="F17" s="13" t="inlineStr">
        <is>
          <t>SEFOF WHARTON EXPENSES — not on the two BoA folders</t>
        </is>
      </c>
    </row>
    <row r="18">
      <c r="A18" s="13" t="inlineStr">
        <is>
          <t>2025-07-31</t>
        </is>
      </c>
      <c r="B18" s="13" t="inlineStr">
        <is>
          <t>8507</t>
        </is>
      </c>
      <c r="C18" s="16" t="n">
        <v>1254.93</v>
      </c>
      <c r="D18" s="13" t="inlineStr">
        <is>
          <t>Reimbursement</t>
        </is>
      </c>
      <c r="E18" s="13" t="inlineStr">
        <is>
          <t>EXCLUDED</t>
        </is>
      </c>
      <c r="F18" s="13" t="inlineStr">
        <is>
          <t>SEFOF ANNUAL CONFERENCE EXPENSES</t>
        </is>
      </c>
    </row>
    <row r="19">
      <c r="A19" s="13" t="inlineStr">
        <is>
          <t>2025-11-05</t>
        </is>
      </c>
      <c r="B19" s="13" t="inlineStr">
        <is>
          <t>8507</t>
        </is>
      </c>
      <c r="C19" s="16" t="n">
        <v>463.45</v>
      </c>
      <c r="D19" s="13" t="inlineStr">
        <is>
          <t>Reimbursement</t>
        </is>
      </c>
      <c r="E19" s="13" t="inlineStr">
        <is>
          <t>EXCLUDED</t>
        </is>
      </c>
      <c r="F19" s="13" t="inlineStr">
        <is>
          <t>SEFOF REIMBURSE EXPENSES FOR EDUCATION COMMITTEE</t>
        </is>
      </c>
    </row>
    <row r="21">
      <c r="A21" s="43" t="inlineStr">
        <is>
          <t>1099-NEC Gates Capital Management LLC TIN 84-1331261 box 1 = $21,500. BOM sum ties. Reimbursements are not on the 1099.</t>
        </is>
      </c>
    </row>
  </sheetData>
  <mergeCells count="3">
    <mergeCell ref="A21:F21"/>
    <mergeCell ref="A2:N2"/>
    <mergeCell ref="A1:N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sheetData>
    <row r="1">
      <c r="A1" t="inlineStr">
        <is>
          <t>W-2 / Paychecks 2025</t>
        </is>
      </c>
    </row>
    <row r="2">
      <c r="A2" t="inlineStr">
        <is>
          <t>Income</t>
        </is>
      </c>
      <c r="B2" t="inlineStr">
        <is>
          <t>Q1</t>
        </is>
      </c>
      <c r="C2" t="inlineStr">
        <is>
          <t>Q2</t>
        </is>
      </c>
      <c r="D2" t="inlineStr">
        <is>
          <t>Q3</t>
        </is>
      </c>
      <c r="E2" t="inlineStr">
        <is>
          <t>Q4</t>
        </is>
      </c>
    </row>
    <row r="3">
      <c r="A3" t="inlineStr">
        <is>
          <t>Monarch net deposits (Hindman+Freeman)</t>
        </is>
      </c>
      <c r="B3" s="3" t="n">
        <v>17527.97</v>
      </c>
      <c r="C3" s="3" t="n">
        <v>17664.52</v>
      </c>
      <c r="D3" s="3" t="n">
        <v>17664.52</v>
      </c>
      <c r="E3" s="3" t="n">
        <v>17760.99</v>
      </c>
    </row>
    <row r="4">
      <c r="A4" t="inlineStr">
        <is>
          <t>Form W-2 Box 1 wages</t>
        </is>
      </c>
      <c r="E4" s="4" t="n"/>
    </row>
    <row r="5">
      <c r="A5" t="inlineStr">
        <is>
          <t>Total Monarch deposits</t>
        </is>
      </c>
      <c r="E5" s="3" t="n">
        <v>70618</v>
      </c>
    </row>
    <row r="7">
      <c r="A7" t="inlineStr">
        <is>
          <t>Use Form W-2 PDF in Drive 07 for the return. Monarch is cash deposits only.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Megan's Income 2025</t>
        </is>
      </c>
    </row>
    <row r="2">
      <c r="A2" s="4" t="inlineStr">
        <is>
          <t>TBD — fill if applicable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Fidelity SEP IRA</t>
        </is>
      </c>
    </row>
    <row r="2">
      <c r="A2" t="inlineStr">
        <is>
          <t>ML UTMA EMMA</t>
        </is>
      </c>
    </row>
    <row r="3">
      <c r="A3" t="inlineStr">
        <is>
          <t>ML UTMA PHOEBE</t>
        </is>
      </c>
    </row>
    <row r="5">
      <c r="A5" t="inlineStr">
        <is>
          <t>UTMA brokerage PDF on file in Drive 07</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6" customWidth="1" min="1" max="1"/>
    <col width="28" customWidth="1" min="2" max="2"/>
  </cols>
  <sheetData>
    <row r="1">
      <c r="A1" s="7" t="inlineStr">
        <is>
          <t>524 Home Sale</t>
        </is>
      </c>
    </row>
    <row r="3">
      <c r="A3" t="inlineStr">
        <is>
          <t>Item</t>
        </is>
      </c>
      <c r="B3" t="inlineStr">
        <is>
          <t>Amount</t>
        </is>
      </c>
      <c r="C3" t="inlineStr">
        <is>
          <t>Status</t>
        </is>
      </c>
    </row>
    <row r="4">
      <c r="A4" t="inlineStr">
        <is>
          <t>Sale date</t>
        </is>
      </c>
      <c r="B4" s="3" t="inlineStr">
        <is>
          <t>2025-12-18</t>
        </is>
      </c>
      <c r="C4" t="inlineStr">
        <is>
          <t>LOCKED</t>
        </is>
      </c>
    </row>
    <row r="5">
      <c r="A5" t="inlineStr">
        <is>
          <t>Sale price</t>
        </is>
      </c>
      <c r="B5" s="3" t="n">
        <v>600000</v>
      </c>
      <c r="C5" t="inlineStr">
        <is>
          <t>LOCKED</t>
        </is>
      </c>
    </row>
    <row r="6">
      <c r="A6" t="inlineStr">
        <is>
          <t>Net to seller</t>
        </is>
      </c>
      <c r="B6" s="3" t="n">
        <v>216844.96</v>
      </c>
      <c r="C6" t="inlineStr">
        <is>
          <t>LOCKED</t>
        </is>
      </c>
    </row>
    <row r="7">
      <c r="A7" t="inlineStr">
        <is>
          <t>USB payoff</t>
        </is>
      </c>
      <c r="B7" s="3" t="n">
        <v>340911.17</v>
      </c>
      <c r="C7" t="inlineStr">
        <is>
          <t>LOCKED</t>
        </is>
      </c>
    </row>
    <row r="8">
      <c r="A8" t="inlineStr">
        <is>
          <t>Commission Living Well</t>
        </is>
      </c>
      <c r="B8" s="3" t="n">
        <v>15000</v>
      </c>
      <c r="C8" t="inlineStr">
        <is>
          <t>LOCKED</t>
        </is>
      </c>
    </row>
    <row r="9">
      <c r="A9" t="inlineStr">
        <is>
          <t>Unit 2 basis (2023 4562)</t>
        </is>
      </c>
      <c r="B9" s="3" t="n">
        <v>203434</v>
      </c>
      <c r="C9" t="inlineStr">
        <is>
          <t>LOCKED</t>
        </is>
      </c>
    </row>
    <row r="10">
      <c r="A10" t="inlineStr">
        <is>
          <t>Unit 2 dep 2023</t>
        </is>
      </c>
      <c r="B10" s="3" t="n">
        <v>7090</v>
      </c>
      <c r="C10" t="inlineStr">
        <is>
          <t>LOCKED</t>
        </is>
      </c>
    </row>
    <row r="11">
      <c r="A11" t="inlineStr">
        <is>
          <t>Unit 2 dep 2024</t>
        </is>
      </c>
      <c r="B11" s="4" t="inlineStr">
        <is>
          <t>TBD — 2024 Form 1040</t>
        </is>
      </c>
      <c r="C11" t="inlineStr">
        <is>
          <t>TBD</t>
        </is>
      </c>
    </row>
    <row r="12">
      <c r="A12" t="inlineStr">
        <is>
          <t>Unit 2 dep 2025 stub</t>
        </is>
      </c>
      <c r="B12" s="4" t="inlineStr">
        <is>
          <t>TBD — CPA</t>
        </is>
      </c>
      <c r="C12" t="inlineStr">
        <is>
          <t>TBD</t>
        </is>
      </c>
    </row>
    <row r="13">
      <c r="A13" t="inlineStr">
        <is>
          <t>Sec 121 allocation %</t>
        </is>
      </c>
      <c r="B13" s="4" t="inlineStr">
        <is>
          <t>TBD — CPA</t>
        </is>
      </c>
      <c r="C13" t="inlineStr">
        <is>
          <t>TBD</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12" customWidth="1" min="3" max="3"/>
    <col width="12" customWidth="1" min="4" max="4"/>
  </cols>
  <sheetData>
    <row r="1">
      <c r="A1" s="7" t="inlineStr">
        <is>
          <t>827 Grove CapEx</t>
        </is>
      </c>
    </row>
    <row r="3">
      <c r="A3" t="inlineStr">
        <is>
          <t>Item</t>
        </is>
      </c>
      <c r="B3" t="inlineStr">
        <is>
          <t>Amount</t>
        </is>
      </c>
      <c r="C3" t="inlineStr">
        <is>
          <t>Status</t>
        </is>
      </c>
    </row>
    <row r="4">
      <c r="A4" t="inlineStr">
        <is>
          <t>Purchase close</t>
        </is>
      </c>
      <c r="B4" s="3" t="inlineStr">
        <is>
          <t>2025-12-18</t>
        </is>
      </c>
      <c r="C4" t="inlineStr">
        <is>
          <t>LOCKED</t>
        </is>
      </c>
    </row>
    <row r="5">
      <c r="A5" t="inlineStr">
        <is>
          <t>Purchase price</t>
        </is>
      </c>
      <c r="B5" s="3" t="n">
        <v>670000</v>
      </c>
      <c r="C5" t="inlineStr">
        <is>
          <t>LOCKED</t>
        </is>
      </c>
    </row>
    <row r="6">
      <c r="A6" t="inlineStr">
        <is>
          <t>TY2025 CapEx for return</t>
        </is>
      </c>
      <c r="B6" s="3" t="n">
        <v>53660</v>
      </c>
      <c r="C6" t="inlineStr">
        <is>
          <t>LOCKED</t>
        </is>
      </c>
    </row>
    <row r="7">
      <c r="A7" t="inlineStr">
        <is>
          <t>TY2026 CapEx</t>
        </is>
      </c>
      <c r="B7" s="3" t="n">
        <v>268532</v>
      </c>
      <c r="C7" t="inlineStr">
        <is>
          <t>LOCKED</t>
        </is>
      </c>
    </row>
    <row r="8">
      <c r="A8" t="inlineStr">
        <is>
          <t>CapEx UNKNOWN</t>
        </is>
      </c>
      <c r="B8" s="4" t="n">
        <v>9401.93</v>
      </c>
      <c r="C8" t="inlineStr">
        <is>
          <t>TBD</t>
        </is>
      </c>
    </row>
    <row r="9">
      <c r="A9" t="inlineStr">
        <is>
          <t>Radon on CD</t>
        </is>
      </c>
      <c r="B9" s="4" t="n">
        <v>2550</v>
      </c>
      <c r="C9" t="inlineStr">
        <is>
          <t>TBD</t>
        </is>
      </c>
    </row>
    <row r="11">
      <c r="A11" s="51" t="inlineStr">
        <is>
          <t>Prime HD / Lowe’s / IKEA — 827 N Grove the house 1/3 (NOT Grove Collaborative supplies)</t>
        </is>
      </c>
    </row>
    <row r="12">
      <c r="A12" s="10" t="inlineStr">
        <is>
          <t>Date</t>
        </is>
      </c>
      <c r="B12" s="10" t="inlineStr">
        <is>
          <t>Merchant</t>
        </is>
      </c>
      <c r="C12" s="10" t="inlineStr">
        <is>
          <t>Full txn</t>
        </is>
      </c>
      <c r="D12" s="10" t="inlineStr">
        <is>
          <t>Grove 1/3</t>
        </is>
      </c>
    </row>
    <row r="13">
      <c r="A13" s="48" t="inlineStr">
        <is>
          <t>2025-02-16</t>
        </is>
      </c>
      <c r="B13" s="48" t="inlineStr">
        <is>
          <t>THE HOME DEPOT #1901</t>
        </is>
      </c>
      <c r="C13" s="49" t="n">
        <v>34.01</v>
      </c>
      <c r="D13" s="36" t="n">
        <v>11.33</v>
      </c>
    </row>
    <row r="14">
      <c r="A14" s="48" t="inlineStr">
        <is>
          <t>2025-02-17</t>
        </is>
      </c>
      <c r="B14" s="48" t="inlineStr">
        <is>
          <t>IKEA BOLINGBROOK</t>
        </is>
      </c>
      <c r="C14" s="49" t="n">
        <v>299.37</v>
      </c>
      <c r="D14" s="36" t="n">
        <v>99.79000000000001</v>
      </c>
    </row>
    <row r="15">
      <c r="A15" s="48" t="inlineStr">
        <is>
          <t>2025-02-18</t>
        </is>
      </c>
      <c r="B15" s="48" t="inlineStr">
        <is>
          <t>IKEA 471245314</t>
        </is>
      </c>
      <c r="C15" s="49" t="n">
        <v>65.98</v>
      </c>
      <c r="D15" s="36" t="n">
        <v>21.99</v>
      </c>
    </row>
    <row r="16">
      <c r="A16" s="48" t="inlineStr">
        <is>
          <t>2025-03-23</t>
        </is>
      </c>
      <c r="B16" s="48" t="inlineStr">
        <is>
          <t>LOWES #01845</t>
        </is>
      </c>
      <c r="C16" s="49" t="n">
        <v>55.69</v>
      </c>
      <c r="D16" s="36" t="n">
        <v>18.56</v>
      </c>
    </row>
    <row r="17">
      <c r="A17" s="48" t="inlineStr">
        <is>
          <t>2025-04-20</t>
        </is>
      </c>
      <c r="B17" s="48" t="inlineStr">
        <is>
          <t>THE HOME DEPOT #1901</t>
        </is>
      </c>
      <c r="C17" s="49" t="n">
        <v>236.36</v>
      </c>
      <c r="D17" s="36" t="n">
        <v>78.78</v>
      </c>
    </row>
    <row r="18">
      <c r="A18" s="48" t="inlineStr">
        <is>
          <t>2025-04-20</t>
        </is>
      </c>
      <c r="B18" s="48" t="inlineStr">
        <is>
          <t>THE HOME DEPOT #1901</t>
        </is>
      </c>
      <c r="C18" s="49" t="n">
        <v>1.07</v>
      </c>
      <c r="D18" s="36" t="n">
        <v>0.35</v>
      </c>
    </row>
    <row r="19">
      <c r="A19" s="48" t="inlineStr">
        <is>
          <t>2025-07-06</t>
        </is>
      </c>
      <c r="B19" s="48" t="inlineStr">
        <is>
          <t>THE HOME DEPOT #1901</t>
        </is>
      </c>
      <c r="C19" s="49" t="n">
        <v>305.94</v>
      </c>
      <c r="D19" s="36" t="n">
        <v>101.98</v>
      </c>
    </row>
    <row r="20">
      <c r="A20" s="48" t="inlineStr">
        <is>
          <t>2025-09-01</t>
        </is>
      </c>
      <c r="B20" s="48" t="inlineStr">
        <is>
          <t>LOWES #01845</t>
        </is>
      </c>
      <c r="C20" s="49" t="n">
        <v>209.19</v>
      </c>
      <c r="D20" s="36" t="n">
        <v>69.73</v>
      </c>
    </row>
    <row r="21">
      <c r="A21" s="48" t="inlineStr">
        <is>
          <t>2025-10-11</t>
        </is>
      </c>
      <c r="B21" s="48" t="inlineStr">
        <is>
          <t>THE HOME DEPOT #1901</t>
        </is>
      </c>
      <c r="C21" s="49" t="n">
        <v>410.88</v>
      </c>
      <c r="D21" s="36" t="n">
        <v>136.96</v>
      </c>
    </row>
    <row r="22">
      <c r="A22" s="48" t="inlineStr">
        <is>
          <t>2025-11-02</t>
        </is>
      </c>
      <c r="B22" s="48" t="inlineStr">
        <is>
          <t>THE HOME DEPOT #1901</t>
        </is>
      </c>
      <c r="C22" s="49" t="n">
        <v>193.97</v>
      </c>
      <c r="D22" s="36" t="n">
        <v>64.65000000000001</v>
      </c>
    </row>
    <row r="23">
      <c r="B23" s="29" t="inlineStr">
        <is>
          <t>Grove 1/3 total</t>
        </is>
      </c>
      <c r="D23" s="52" t="n">
        <v>604.12</v>
      </c>
    </row>
    <row r="25">
      <c r="A25" s="26" t="inlineStr">
        <is>
          <t>CPA: this 1/3 is pre-close hardware/furniture for 827 N Grove the house (close 2025-12-18). This is NOT Grove Collaborative. Do NOT fold into locked TY2025 CapEx $53,660 (the 2025-12-19 contractor payments) until you say so. May be additional 827 basis / CapEx / personal — FLAG.</t>
        </is>
      </c>
    </row>
    <row r="26"/>
  </sheetData>
  <mergeCells count="2">
    <mergeCell ref="A25:D26"/>
    <mergeCell ref="A11:D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48" customWidth="1" min="1" max="1"/>
    <col width="42" customWidth="1" min="2" max="2"/>
    <col width="42" customWidth="1" min="3" max="3"/>
  </cols>
  <sheetData>
    <row r="1">
      <c r="A1" s="9" t="inlineStr">
        <is>
          <t>Childcare — Form 2441 (Emma + Phoebe)</t>
        </is>
      </c>
    </row>
    <row r="2">
      <c r="A2" t="inlineStr">
        <is>
          <t>Organizational only — not tax advice. CPA allocates Aug prepaid across children and care months.</t>
        </is>
      </c>
    </row>
    <row r="4">
      <c r="A4" s="5" t="inlineStr">
        <is>
          <t>Item</t>
        </is>
      </c>
      <c r="B4" s="5" t="inlineStr">
        <is>
          <t>Value</t>
        </is>
      </c>
      <c r="C4" s="5" t="inlineStr">
        <is>
          <t>Status</t>
        </is>
      </c>
    </row>
    <row r="5">
      <c r="A5" s="27" t="inlineStr">
        <is>
          <t>Provider legal name (Form 2441 Part I)</t>
        </is>
      </c>
      <c r="B5" s="27" t="inlineStr">
        <is>
          <t>La Casa Montessori School</t>
        </is>
      </c>
      <c r="C5" s="27" t="inlineStr">
        <is>
          <t>LOCKED</t>
        </is>
      </c>
    </row>
    <row r="6">
      <c r="A6" s="27" t="inlineStr">
        <is>
          <t>Provider EIN</t>
        </is>
      </c>
      <c r="B6" s="27" t="inlineStr">
        <is>
          <t>45-5289483</t>
        </is>
      </c>
      <c r="C6" s="27" t="inlineStr">
        <is>
          <t>LOCKED</t>
        </is>
      </c>
    </row>
    <row r="7">
      <c r="A7" s="27" t="inlineStr">
        <is>
          <t>Street address</t>
        </is>
      </c>
      <c r="B7" s="27" t="inlineStr">
        <is>
          <t>608 Harrison St</t>
        </is>
      </c>
      <c r="C7" s="27" t="inlineStr">
        <is>
          <t>LOCKED</t>
        </is>
      </c>
    </row>
    <row r="8">
      <c r="A8" s="27" t="inlineStr">
        <is>
          <t>City, state, ZIP</t>
        </is>
      </c>
      <c r="B8" s="27" t="inlineStr">
        <is>
          <t>Oak Park, IL 60304</t>
        </is>
      </c>
      <c r="C8" s="27" t="inlineStr">
        <is>
          <t>LOCKED</t>
        </is>
      </c>
    </row>
    <row r="9">
      <c r="A9" s="27" t="inlineStr">
        <is>
          <t>Billing platform</t>
        </is>
      </c>
      <c r="B9" s="27" t="inlineStr">
        <is>
          <t>BrightWheel (not the EIN holder)</t>
        </is>
      </c>
      <c r="C9" s="27" t="inlineStr">
        <is>
          <t>LOCKED</t>
        </is>
      </c>
    </row>
    <row r="10">
      <c r="A10" s="27" t="inlineStr">
        <is>
          <t>Children</t>
        </is>
      </c>
      <c r="B10" s="27" t="inlineStr">
        <is>
          <t>Emma Coley; Phoebe Coley</t>
        </is>
      </c>
      <c r="C10" s="27" t="inlineStr">
        <is>
          <t>LOCKED</t>
        </is>
      </c>
    </row>
    <row r="11">
      <c r="A11" s="27" t="inlineStr">
        <is>
          <t>BrightWheel invoice cash TY2025</t>
        </is>
      </c>
      <c r="B11" s="28" t="n">
        <v>30668.55</v>
      </c>
      <c r="C11" s="27" t="inlineStr">
        <is>
          <t>LOCKED</t>
        </is>
      </c>
    </row>
    <row r="12">
      <c r="A12" s="27" t="inlineStr">
        <is>
          <t>Aug 4 prepaid both kids (CPA allocates)</t>
        </is>
      </c>
      <c r="B12" s="28" t="n">
        <v>23361.05</v>
      </c>
      <c r="C12" s="27" t="inlineStr">
        <is>
          <t>LOCKED</t>
        </is>
      </c>
    </row>
    <row r="13">
      <c r="A13" s="27" t="inlineStr">
        <is>
          <t>Kids Empire Villa Park</t>
        </is>
      </c>
      <c r="B13" s="27" t="inlineStr">
        <is>
          <t>EXCLUDED 233.28</t>
        </is>
      </c>
      <c r="C13" s="27" t="inlineStr">
        <is>
          <t>LOCKED</t>
        </is>
      </c>
    </row>
    <row r="14">
      <c r="A14" s="27" t="inlineStr">
        <is>
          <t>Babysitting Zelle</t>
        </is>
      </c>
      <c r="B14" s="27" t="inlineStr">
        <is>
          <t>EXCLUDED 100.00</t>
        </is>
      </c>
      <c r="C14" s="27" t="inlineStr">
        <is>
          <t>LOCKED</t>
        </is>
      </c>
    </row>
    <row r="16">
      <c r="A16" s="29" t="inlineStr">
        <is>
          <t>Form 2441 Part I (copy onto return)</t>
        </is>
      </c>
    </row>
    <row r="17">
      <c r="A17" s="11" t="inlineStr">
        <is>
          <t>Name</t>
        </is>
      </c>
      <c r="B17" s="11" t="inlineStr">
        <is>
          <t>La Casa Montessori School</t>
        </is>
      </c>
      <c r="C17" s="11" t="n"/>
    </row>
    <row r="18">
      <c r="A18" s="11" t="inlineStr">
        <is>
          <t>Address</t>
        </is>
      </c>
      <c r="B18" s="11" t="inlineStr">
        <is>
          <t>608 Harrison St, Oak Park, IL 60304</t>
        </is>
      </c>
      <c r="C18" s="11" t="n"/>
    </row>
    <row r="19">
      <c r="A19" s="11" t="inlineStr">
        <is>
          <t>Identifying number (EIN)</t>
        </is>
      </c>
      <c r="B19" s="11" t="inlineStr">
        <is>
          <t>45-5289483</t>
        </is>
      </c>
      <c r="C19" s="11" t="n"/>
    </row>
    <row r="20">
      <c r="A20" s="11" t="inlineStr">
        <is>
          <t>Amount paid (provider invoices)</t>
        </is>
      </c>
      <c r="B20" s="30" t="n">
        <v>30668.55</v>
      </c>
      <c r="C20" s="11" t="inlineStr">
        <is>
          <t>CPA splits Emma vs Phoebe / months from Aug prepaid</t>
        </is>
      </c>
    </row>
    <row r="22" ht="48" customHeight="1">
      <c r="A22" s="26" t="inlineStr">
        <is>
          <t>User provided EIN 455289483 and address 608 Harrison St, Oak Park 60304 (2026-09-18). EIN formatted 45-5289483 for Form 2441. Public records match this EIN+address to La Casa Montessori School. BrightWheel is the tuition portal only. Aug $23,361.05 prepaid covers both girls — CPA allocates. Not tax advice.</t>
        </is>
      </c>
    </row>
    <row r="23"/>
    <row r="24"/>
  </sheetData>
  <mergeCells count="3">
    <mergeCell ref="A1:C1"/>
    <mergeCell ref="A2:C2"/>
    <mergeCell ref="A22:C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2026-09-18T01:28:40Z</dcterms:created>
  <dcterms:modified xsi:type="dcterms:W3CDTF">2026-09-18T20:04:31Z</dcterms:modified>
</cp:coreProperties>
</file>