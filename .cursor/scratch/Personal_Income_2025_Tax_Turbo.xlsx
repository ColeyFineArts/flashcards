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SOURCE_2025" sheetId="1" state="visible" r:id="rId1"/>
    <sheet name="CC_LEDGER" sheetId="2" state="visible" r:id="rId2"/>
    <sheet name="ASK" sheetId="3" state="visible" r:id="rId3"/>
    <sheet name="Income" sheetId="4" state="visible" r:id="rId4"/>
    <sheet name="524 Ferdinand Ave, Unit 2" sheetId="5" state="visible" r:id="rId5"/>
    <sheet name="524 Ferdinand Ave, Unit 1" sheetId="6" state="visible" r:id="rId6"/>
    <sheet name="216 N. Oak Park Ave" sheetId="7" state="visible" r:id="rId7"/>
    <sheet name="EPGC LLC" sheetId="8" state="visible" r:id="rId8"/>
    <sheet name="Art Sales and Purchases" sheetId="9" state="visible" r:id="rId9"/>
    <sheet name="GCM" sheetId="10" state="visible" r:id="rId10"/>
    <sheet name="Hindman W2" sheetId="11" state="visible" r:id="rId11"/>
    <sheet name="Megan T4" sheetId="12" state="visible" r:id="rId12"/>
    <sheet name="Investments" sheetId="13" state="visible" r:id="rId13"/>
    <sheet name="524 Home Sale" sheetId="14" state="visible" r:id="rId14"/>
    <sheet name="827 Grove CapEx" sheetId="15" state="visible" r:id="rId15"/>
    <sheet name="Childcare 2441" sheetId="16" state="visible" r:id="rId16"/>
  </sheets>
  <definedNames>
    <definedName name="_xlnm._FilterDatabase" localSheetId="1" hidden="1">'CC_LEDGER'!$A$3:$H$66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&quot;$&quot;#,##0.00"/>
  </numFmts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  <color rgb="001F4E79"/>
      <sz val="12"/>
    </font>
    <font>
      <b val="1"/>
      <color rgb="001F4E79"/>
    </font>
    <font/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2" fillId="5" borderId="1" pivotButton="0" quotePrefix="0" xfId="0"/>
    <xf numFmtId="0" fontId="0" fillId="6" borderId="1" pivotButton="0" quotePrefix="0" xfId="0"/>
    <xf numFmtId="2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  <xf numFmtId="2" fontId="0" fillId="4" borderId="1" pivotButton="0" quotePrefix="0" xfId="0"/>
    <xf numFmtId="2" fontId="0" fillId="7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0" pivotButton="0" quotePrefix="0" xfId="0"/>
    <xf numFmtId="0" fontId="0" fillId="6" borderId="0" pivotButton="0" quotePrefix="0" xfId="0"/>
    <xf numFmtId="165" fontId="0" fillId="6" borderId="0" pivotButton="0" quotePrefix="0" xfId="0"/>
    <xf numFmtId="2" fontId="0" fillId="4" borderId="0" pivotButton="0" quotePrefix="0" xfId="0"/>
    <xf numFmtId="2" fontId="0" fillId="6" borderId="0" pivotButton="0" quotePrefix="0" xfId="0"/>
    <xf numFmtId="0" fontId="0" fillId="4" borderId="0" applyAlignment="1" pivotButton="0" quotePrefix="0" xfId="0">
      <alignment wrapText="1"/>
    </xf>
    <xf numFmtId="0" fontId="5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  <xf numFmtId="0" fontId="0" fillId="6" borderId="1" applyAlignment="1" pivotButton="0" quotePrefix="0" xfId="0">
      <alignment vertical="center" wrapText="1"/>
    </xf>
    <xf numFmtId="165" fontId="0" fillId="6" borderId="1" applyAlignment="1" pivotButton="0" quotePrefix="0" xfId="0">
      <alignment vertical="center" wrapText="1"/>
    </xf>
    <xf numFmtId="0" fontId="7" fillId="0" borderId="0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PERSONAL INCOME 2025 — TAX TURBO (CPA workbook)</t>
        </is>
      </c>
    </row>
    <row r="2">
      <c r="A2" t="inlineStr">
        <is>
          <t>Same tab model as prior Personal Income.xlsx: Income, property P&amp;Ls with monthly EXPENSES, EPGC, Art Sales (COGS=Cost).</t>
        </is>
      </c>
    </row>
    <row r="3">
      <c r="A3" t="inlineStr">
        <is>
          <t>Green = filled from Monarch/platform/docs. Yellow = TBD for you/CPA. Not tax advice.</t>
        </is>
      </c>
    </row>
    <row r="4">
      <c r="A4" t="inlineStr">
        <is>
          <t>Status checklist on Drive is NOT this workbook — open these tabs for expenses &amp; COGS.</t>
        </is>
      </c>
    </row>
    <row r="6">
      <c r="A6" t="inlineStr">
        <is>
          <t>Tab</t>
        </is>
      </c>
      <c r="B6" t="inlineStr">
        <is>
          <t>Contents</t>
        </is>
      </c>
    </row>
    <row r="7">
      <c r="A7" t="inlineStr">
        <is>
          <t>Income</t>
        </is>
      </c>
      <c r="B7" t="inlineStr">
        <is>
          <t>Year summary Projected/Actual including 2025</t>
        </is>
      </c>
    </row>
    <row r="8">
      <c r="A8" t="inlineStr">
        <is>
          <t>524 Ferdinand Ave, Unit 2</t>
        </is>
      </c>
      <c r="B8" t="inlineStr">
        <is>
          <t>STR monthly income + expense lines (fees/utilities/etc.)</t>
        </is>
      </c>
    </row>
    <row r="9">
      <c r="A9" t="inlineStr">
        <is>
          <t>524 Ferdinand Ave, Unit 1</t>
        </is>
      </c>
      <c r="B9" t="inlineStr">
        <is>
          <t>Residence portion through sale 12/18 — mostly TBD</t>
        </is>
      </c>
    </row>
    <row r="10">
      <c r="A10" t="inlineStr">
        <is>
          <t>216 N. Oak Park Ave</t>
        </is>
      </c>
      <c r="B10" t="inlineStr">
        <is>
          <t>LTR P&amp;L — HOA + mortgage cash prefilled</t>
        </is>
      </c>
    </row>
    <row r="11">
      <c r="A11" t="inlineStr">
        <is>
          <t>EPGC LLC</t>
        </is>
      </c>
      <c r="B11" t="inlineStr">
        <is>
          <t>Business income/expenses monthly + COGS note</t>
        </is>
      </c>
    </row>
    <row r="12">
      <c r="A12" t="inlineStr">
        <is>
          <t>Art Sales and Purchases</t>
        </is>
      </c>
      <c r="B12" t="inlineStr">
        <is>
          <t>Object-level Cost (COGS) / Sale Price / Net</t>
        </is>
      </c>
    </row>
    <row r="13">
      <c r="A13" t="inlineStr">
        <is>
          <t>GCM / Hindman W2 / Megan T4</t>
        </is>
      </c>
      <c r="B13" t="inlineStr">
        <is>
          <t>Board 1099 + W-2 deposit stubs</t>
        </is>
      </c>
    </row>
    <row r="14">
      <c r="A14" t="inlineStr">
        <is>
          <t>524 Home Sale / 827 Grove CapEx / Childcare 2441</t>
        </is>
      </c>
      <c r="B14" t="inlineStr">
        <is>
          <t>Event helpers</t>
        </is>
      </c>
    </row>
    <row r="16">
      <c r="A16" t="inlineStr">
        <is>
          <t>CC starting point (folder 07)</t>
        </is>
      </c>
      <c r="B16" t="inlineStr">
        <is>
          <t>Coinbase 6108 + BoA 4469 → EPGC where prior Excel categories match. Sapphire 5423 AT&amp;T cellphone → EPGC. Prime 2351 + Sapphire HOME → 524 U1/U2. Green cells = applied. HOLD/ASK on CC_LEDGER. Not all EPGC is on Coinbase/BoA.</t>
        </is>
      </c>
    </row>
    <row r="18">
      <c r="A18" t="inlineStr">
        <is>
          <t>Childcare Form 2441 Part I</t>
        </is>
      </c>
      <c r="B18" s="19" t="inlineStr">
        <is>
          <t>La Casa Montessori School; EIN 45-5289483; 608 Harrison St, Oak Park, IL 60304 — LOCKED 2026-09-18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5" customWidth="1" min="3" max="3"/>
    <col width="12" customWidth="1" min="4" max="4"/>
    <col width="28" customWidth="1" min="5" max="5"/>
    <col width="18" customWidth="1" min="6" max="6"/>
    <col width="12" customWidth="1" min="7" max="7"/>
    <col width="70" customWidth="1" min="8" max="8"/>
  </cols>
  <sheetData>
    <row r="1">
      <c r="A1" s="9" t="inlineStr">
        <is>
          <t>2025 credit-card starting-point ledger (folder 07) — not tax advice</t>
        </is>
      </c>
    </row>
    <row r="3">
      <c r="A3" s="10" t="inlineStr">
        <is>
          <t>Card</t>
        </is>
      </c>
      <c r="B3" s="10" t="inlineStr">
        <is>
          <t>Date</t>
        </is>
      </c>
      <c r="C3" s="10" t="inlineStr">
        <is>
          <t>Merchant / item</t>
        </is>
      </c>
      <c r="D3" s="10" t="inlineStr">
        <is>
          <t>Amount</t>
        </is>
      </c>
      <c r="E3" s="10" t="inlineStr">
        <is>
          <t>Prior-Excel category</t>
        </is>
      </c>
      <c r="F3" s="10" t="inlineStr">
        <is>
          <t>Tab</t>
        </is>
      </c>
      <c r="G3" s="10" t="inlineStr">
        <is>
          <t>Status</t>
        </is>
      </c>
      <c r="H3" s="10" t="inlineStr">
        <is>
          <t>Note</t>
        </is>
      </c>
    </row>
    <row r="4">
      <c r="A4" s="11" t="inlineStr">
        <is>
          <t>BoA 4469</t>
        </is>
      </c>
      <c r="B4" s="11" t="inlineStr">
        <is>
          <t>2025-01-31</t>
        </is>
      </c>
      <c r="C4" s="11" t="inlineStr">
        <is>
          <t>OPENAI CHATGPT</t>
        </is>
      </c>
      <c r="D4" s="12" t="n">
        <v>20</v>
      </c>
      <c r="E4" s="11" t="inlineStr">
        <is>
          <t>Software Fees</t>
        </is>
      </c>
      <c r="F4" s="11" t="inlineStr">
        <is>
          <t>EPGC LLC</t>
        </is>
      </c>
      <c r="G4" s="11" t="inlineStr">
        <is>
          <t>APPLIED</t>
        </is>
      </c>
      <c r="H4" s="11" t="inlineStr">
        <is>
          <t>Matches 2024 Software Fees pattern</t>
        </is>
      </c>
    </row>
    <row r="5">
      <c r="A5" s="11" t="inlineStr">
        <is>
          <t>BoA 4469</t>
        </is>
      </c>
      <c r="B5" s="11" t="inlineStr">
        <is>
          <t>2025-02-28</t>
        </is>
      </c>
      <c r="C5" s="11" t="inlineStr">
        <is>
          <t>OPENAI CHATGPT</t>
        </is>
      </c>
      <c r="D5" s="12" t="n">
        <v>20</v>
      </c>
      <c r="E5" s="11" t="inlineStr">
        <is>
          <t>Software Fees</t>
        </is>
      </c>
      <c r="F5" s="11" t="inlineStr">
        <is>
          <t>EPGC LLC</t>
        </is>
      </c>
      <c r="G5" s="11" t="inlineStr">
        <is>
          <t>APPLIED</t>
        </is>
      </c>
      <c r="H5" s="11" t="inlineStr"/>
    </row>
    <row r="6">
      <c r="A6" s="11" t="inlineStr">
        <is>
          <t>BoA 4469</t>
        </is>
      </c>
      <c r="B6" s="11" t="inlineStr">
        <is>
          <t>2025-03-31</t>
        </is>
      </c>
      <c r="C6" s="11" t="inlineStr">
        <is>
          <t>OPENAI CHATGPT</t>
        </is>
      </c>
      <c r="D6" s="12" t="n">
        <v>20</v>
      </c>
      <c r="E6" s="11" t="inlineStr">
        <is>
          <t>Software Fees</t>
        </is>
      </c>
      <c r="F6" s="11" t="inlineStr">
        <is>
          <t>EPGC LLC</t>
        </is>
      </c>
      <c r="G6" s="11" t="inlineStr">
        <is>
          <t>APPLIED</t>
        </is>
      </c>
      <c r="H6" s="11" t="inlineStr"/>
    </row>
    <row r="7">
      <c r="A7" s="11" t="inlineStr">
        <is>
          <t>BoA 4469</t>
        </is>
      </c>
      <c r="B7" s="11" t="inlineStr">
        <is>
          <t>2025-04-30</t>
        </is>
      </c>
      <c r="C7" s="11" t="inlineStr">
        <is>
          <t>OPENAI CHATGPT</t>
        </is>
      </c>
      <c r="D7" s="12" t="n">
        <v>20</v>
      </c>
      <c r="E7" s="11" t="inlineStr">
        <is>
          <t>Software Fees</t>
        </is>
      </c>
      <c r="F7" s="11" t="inlineStr">
        <is>
          <t>EPGC LLC</t>
        </is>
      </c>
      <c r="G7" s="11" t="inlineStr">
        <is>
          <t>APPLIED</t>
        </is>
      </c>
      <c r="H7" s="11" t="inlineStr"/>
    </row>
    <row r="8">
      <c r="A8" s="11" t="inlineStr">
        <is>
          <t>BoA 4469</t>
        </is>
      </c>
      <c r="B8" s="11" t="inlineStr">
        <is>
          <t>2025-05-31</t>
        </is>
      </c>
      <c r="C8" s="11" t="inlineStr">
        <is>
          <t>OPENAI CHATGPT</t>
        </is>
      </c>
      <c r="D8" s="12" t="n">
        <v>20</v>
      </c>
      <c r="E8" s="11" t="inlineStr">
        <is>
          <t>Software Fees</t>
        </is>
      </c>
      <c r="F8" s="11" t="inlineStr">
        <is>
          <t>EPGC LLC</t>
        </is>
      </c>
      <c r="G8" s="11" t="inlineStr">
        <is>
          <t>APPLIED</t>
        </is>
      </c>
      <c r="H8" s="11" t="inlineStr"/>
    </row>
    <row r="9">
      <c r="A9" s="11" t="inlineStr">
        <is>
          <t>BoA 4469</t>
        </is>
      </c>
      <c r="B9" s="11" t="inlineStr">
        <is>
          <t>2025-06-30</t>
        </is>
      </c>
      <c r="C9" s="11" t="inlineStr">
        <is>
          <t>OPENAI CHATGPT</t>
        </is>
      </c>
      <c r="D9" s="12" t="n">
        <v>20</v>
      </c>
      <c r="E9" s="11" t="inlineStr">
        <is>
          <t>Software Fees</t>
        </is>
      </c>
      <c r="F9" s="11" t="inlineStr">
        <is>
          <t>EPGC LLC</t>
        </is>
      </c>
      <c r="G9" s="11" t="inlineStr">
        <is>
          <t>APPLIED</t>
        </is>
      </c>
      <c r="H9" s="11" t="inlineStr"/>
    </row>
    <row r="10">
      <c r="A10" s="11" t="inlineStr">
        <is>
          <t>BoA 4469</t>
        </is>
      </c>
      <c r="B10" s="11" t="inlineStr">
        <is>
          <t>2025-07-31</t>
        </is>
      </c>
      <c r="C10" s="11" t="inlineStr">
        <is>
          <t>OPENAI CHATGPT</t>
        </is>
      </c>
      <c r="D10" s="12" t="n">
        <v>20</v>
      </c>
      <c r="E10" s="11" t="inlineStr">
        <is>
          <t>Software Fees</t>
        </is>
      </c>
      <c r="F10" s="11" t="inlineStr">
        <is>
          <t>EPGC LLC</t>
        </is>
      </c>
      <c r="G10" s="11" t="inlineStr">
        <is>
          <t>APPLIED</t>
        </is>
      </c>
      <c r="H10" s="11" t="inlineStr"/>
    </row>
    <row r="11">
      <c r="A11" s="11" t="inlineStr">
        <is>
          <t>BoA 4469</t>
        </is>
      </c>
      <c r="B11" s="11" t="inlineStr">
        <is>
          <t>2025-09-01</t>
        </is>
      </c>
      <c r="C11" s="11" t="inlineStr">
        <is>
          <t>OPENAI CHATGPT</t>
        </is>
      </c>
      <c r="D11" s="12" t="n">
        <v>20</v>
      </c>
      <c r="E11" s="11" t="inlineStr">
        <is>
          <t>Software Fees</t>
        </is>
      </c>
      <c r="F11" s="11" t="inlineStr">
        <is>
          <t>EPGC LLC</t>
        </is>
      </c>
      <c r="G11" s="11" t="inlineStr">
        <is>
          <t>APPLIED</t>
        </is>
      </c>
      <c r="H11" s="11" t="inlineStr">
        <is>
          <t>Cash Sep (Aug period)</t>
        </is>
      </c>
    </row>
    <row r="12">
      <c r="A12" s="11" t="inlineStr">
        <is>
          <t>BoA 4469</t>
        </is>
      </c>
      <c r="B12" s="11" t="inlineStr">
        <is>
          <t>2025-09-30</t>
        </is>
      </c>
      <c r="C12" s="11" t="inlineStr">
        <is>
          <t>OPENAI CHATGPT</t>
        </is>
      </c>
      <c r="D12" s="12" t="n">
        <v>20</v>
      </c>
      <c r="E12" s="11" t="inlineStr">
        <is>
          <t>Software Fees</t>
        </is>
      </c>
      <c r="F12" s="11" t="inlineStr">
        <is>
          <t>EPGC LLC</t>
        </is>
      </c>
      <c r="G12" s="11" t="inlineStr">
        <is>
          <t>APPLIED</t>
        </is>
      </c>
      <c r="H12" s="11" t="inlineStr"/>
    </row>
    <row r="13">
      <c r="A13" s="11" t="inlineStr">
        <is>
          <t>BoA 4469</t>
        </is>
      </c>
      <c r="B13" s="11" t="inlineStr">
        <is>
          <t>2025-10-31</t>
        </is>
      </c>
      <c r="C13" s="11" t="inlineStr">
        <is>
          <t>OPENAI CHATGPT</t>
        </is>
      </c>
      <c r="D13" s="12" t="n">
        <v>20</v>
      </c>
      <c r="E13" s="11" t="inlineStr">
        <is>
          <t>Software Fees</t>
        </is>
      </c>
      <c r="F13" s="11" t="inlineStr">
        <is>
          <t>EPGC LLC</t>
        </is>
      </c>
      <c r="G13" s="11" t="inlineStr">
        <is>
          <t>APPLIED</t>
        </is>
      </c>
      <c r="H13" s="11" t="inlineStr"/>
    </row>
    <row r="14">
      <c r="A14" s="11" t="inlineStr">
        <is>
          <t>BoA 4469</t>
        </is>
      </c>
      <c r="B14" s="11" t="inlineStr">
        <is>
          <t>2025-12-01</t>
        </is>
      </c>
      <c r="C14" s="11" t="inlineStr">
        <is>
          <t>OPENAI CHATGPT</t>
        </is>
      </c>
      <c r="D14" s="12" t="n">
        <v>20</v>
      </c>
      <c r="E14" s="11" t="inlineStr">
        <is>
          <t>Software Fees</t>
        </is>
      </c>
      <c r="F14" s="11" t="inlineStr">
        <is>
          <t>EPGC LLC</t>
        </is>
      </c>
      <c r="G14" s="11" t="inlineStr">
        <is>
          <t>APPLIED</t>
        </is>
      </c>
      <c r="H14" s="11" t="inlineStr">
        <is>
          <t>Cash Dec (Nov period)</t>
        </is>
      </c>
    </row>
    <row r="15">
      <c r="A15" s="11" t="inlineStr">
        <is>
          <t>BoA 4469</t>
        </is>
      </c>
      <c r="B15" s="11" t="inlineStr">
        <is>
          <t>2025-12-31</t>
        </is>
      </c>
      <c r="C15" s="11" t="inlineStr">
        <is>
          <t>OPENAI CHATGPT</t>
        </is>
      </c>
      <c r="D15" s="12" t="n">
        <v>20</v>
      </c>
      <c r="E15" s="11" t="inlineStr">
        <is>
          <t>Software Fees</t>
        </is>
      </c>
      <c r="F15" s="11" t="inlineStr">
        <is>
          <t>EPGC LLC</t>
        </is>
      </c>
      <c r="G15" s="11" t="inlineStr">
        <is>
          <t>APPLIED</t>
        </is>
      </c>
      <c r="H15" s="11" t="inlineStr"/>
    </row>
    <row r="16">
      <c r="A16" s="11" t="inlineStr">
        <is>
          <t>BoA 4469</t>
        </is>
      </c>
      <c r="B16" s="11" t="inlineStr">
        <is>
          <t>2025-01-13</t>
        </is>
      </c>
      <c r="C16" s="11" t="inlineStr">
        <is>
          <t>GOOGLE One</t>
        </is>
      </c>
      <c r="D16" s="12" t="n">
        <v>2.17</v>
      </c>
      <c r="E16" s="11" t="inlineStr">
        <is>
          <t>Software Fees</t>
        </is>
      </c>
      <c r="F16" s="11" t="inlineStr">
        <is>
          <t>EPGC LLC</t>
        </is>
      </c>
      <c r="G16" s="11" t="inlineStr">
        <is>
          <t>APPLIED</t>
        </is>
      </c>
      <c r="H16" s="11" t="inlineStr">
        <is>
          <t>x12 months</t>
        </is>
      </c>
    </row>
    <row r="17">
      <c r="A17" s="11" t="inlineStr">
        <is>
          <t>BoA 4469</t>
        </is>
      </c>
      <c r="B17" s="11" t="inlineStr">
        <is>
          <t>2025-03-18</t>
        </is>
      </c>
      <c r="C17" s="11" t="inlineStr">
        <is>
          <t>Tailor Brands</t>
        </is>
      </c>
      <c r="D17" s="12" t="n">
        <v>300</v>
      </c>
      <c r="E17" s="11" t="inlineStr">
        <is>
          <t>Advertising</t>
        </is>
      </c>
      <c r="F17" s="11" t="inlineStr">
        <is>
          <t>EPGC LLC</t>
        </is>
      </c>
      <c r="G17" s="11" t="inlineStr">
        <is>
          <t>APPLIED</t>
        </is>
      </c>
      <c r="H17" s="11" t="inlineStr">
        <is>
          <t>Brand/logo — prior Advertising</t>
        </is>
      </c>
    </row>
    <row r="18">
      <c r="A18" s="11" t="inlineStr">
        <is>
          <t>BoA 4469</t>
        </is>
      </c>
      <c r="B18" s="11" t="inlineStr">
        <is>
          <t>2025-03-28</t>
        </is>
      </c>
      <c r="C18" s="11" t="inlineStr">
        <is>
          <t>Tailor Brands</t>
        </is>
      </c>
      <c r="D18" s="12" t="n">
        <v>227.99</v>
      </c>
      <c r="E18" s="11" t="inlineStr">
        <is>
          <t>Advertising</t>
        </is>
      </c>
      <c r="F18" s="11" t="inlineStr">
        <is>
          <t>EPGC LLC</t>
        </is>
      </c>
      <c r="G18" s="11" t="inlineStr">
        <is>
          <t>APPLIED</t>
        </is>
      </c>
      <c r="H18" s="11" t="inlineStr"/>
    </row>
    <row r="19">
      <c r="A19" s="11" t="inlineStr">
        <is>
          <t>BoA 4469</t>
        </is>
      </c>
      <c r="B19" s="11" t="inlineStr">
        <is>
          <t>2025-03-28</t>
        </is>
      </c>
      <c r="C19" s="11" t="inlineStr">
        <is>
          <t>Tailor Brands</t>
        </is>
      </c>
      <c r="D19" s="12" t="n">
        <v>227.99</v>
      </c>
      <c r="E19" s="11" t="inlineStr">
        <is>
          <t>Advertising</t>
        </is>
      </c>
      <c r="F19" s="11" t="inlineStr">
        <is>
          <t>EPGC LLC</t>
        </is>
      </c>
      <c r="G19" s="11" t="inlineStr">
        <is>
          <t>APPLIED</t>
        </is>
      </c>
      <c r="H19" s="11" t="inlineStr"/>
    </row>
    <row r="20">
      <c r="A20" s="11" t="inlineStr">
        <is>
          <t>BoA 4469</t>
        </is>
      </c>
      <c r="B20" s="11" t="inlineStr">
        <is>
          <t>2025-05-08</t>
        </is>
      </c>
      <c r="C20" s="11" t="inlineStr">
        <is>
          <t>Tailor Brands</t>
        </is>
      </c>
      <c r="D20" s="12" t="n">
        <v>199</v>
      </c>
      <c r="E20" s="11" t="inlineStr">
        <is>
          <t>Advertising</t>
        </is>
      </c>
      <c r="F20" s="11" t="inlineStr">
        <is>
          <t>EPGC LLC</t>
        </is>
      </c>
      <c r="G20" s="11" t="inlineStr">
        <is>
          <t>APPLIED</t>
        </is>
      </c>
      <c r="H20" s="11" t="inlineStr"/>
    </row>
    <row r="21">
      <c r="A21" s="11" t="inlineStr">
        <is>
          <t>BoA 4469</t>
        </is>
      </c>
      <c r="B21" s="11" t="inlineStr">
        <is>
          <t>2025-02-07</t>
        </is>
      </c>
      <c r="C21" s="11" t="inlineStr">
        <is>
          <t>Blurb</t>
        </is>
      </c>
      <c r="D21" s="12" t="n">
        <v>47.13</v>
      </c>
      <c r="E21" s="11" t="inlineStr">
        <is>
          <t>Art Library</t>
        </is>
      </c>
      <c r="F21" s="11" t="inlineStr">
        <is>
          <t>EPGC LLC</t>
        </is>
      </c>
      <c r="G21" s="11" t="inlineStr">
        <is>
          <t>APPLIED</t>
        </is>
      </c>
      <c r="H21" s="11" t="inlineStr">
        <is>
          <t>Prior Art Library / Abebooks pattern</t>
        </is>
      </c>
    </row>
    <row r="22">
      <c r="A22" s="11" t="inlineStr">
        <is>
          <t>BoA 4469</t>
        </is>
      </c>
      <c r="B22" s="11" t="inlineStr">
        <is>
          <t>2025-02-25</t>
        </is>
      </c>
      <c r="C22" s="11" t="inlineStr">
        <is>
          <t>Abebooks</t>
        </is>
      </c>
      <c r="D22" s="12" t="n">
        <v>31.34</v>
      </c>
      <c r="E22" s="11" t="inlineStr">
        <is>
          <t>Art Library</t>
        </is>
      </c>
      <c r="F22" s="11" t="inlineStr">
        <is>
          <t>EPGC LLC</t>
        </is>
      </c>
      <c r="G22" s="11" t="inlineStr">
        <is>
          <t>APPLIED</t>
        </is>
      </c>
      <c r="H22" s="11" t="inlineStr"/>
    </row>
    <row r="23">
      <c r="A23" s="11" t="inlineStr">
        <is>
          <t>BoA 4469</t>
        </is>
      </c>
      <c r="B23" s="11" t="inlineStr">
        <is>
          <t>2025-04-02</t>
        </is>
      </c>
      <c r="C23" s="11" t="inlineStr">
        <is>
          <t>Abebooks</t>
        </is>
      </c>
      <c r="D23" s="12" t="n">
        <v>13.7</v>
      </c>
      <c r="E23" s="11" t="inlineStr">
        <is>
          <t>Art Library</t>
        </is>
      </c>
      <c r="F23" s="11" t="inlineStr">
        <is>
          <t>EPGC LLC</t>
        </is>
      </c>
      <c r="G23" s="11" t="inlineStr">
        <is>
          <t>APPLIED</t>
        </is>
      </c>
      <c r="H23" s="11" t="inlineStr"/>
    </row>
    <row r="24">
      <c r="A24" s="11" t="inlineStr">
        <is>
          <t>BoA 4469</t>
        </is>
      </c>
      <c r="B24" s="11" t="inlineStr">
        <is>
          <t>2025-03-27</t>
        </is>
      </c>
      <c r="C24" s="11" t="inlineStr">
        <is>
          <t>TruGreen</t>
        </is>
      </c>
      <c r="D24" s="12" t="n">
        <v>60.95</v>
      </c>
      <c r="E24" s="11" t="inlineStr">
        <is>
          <t>EXTERIOR REPAIRS / yard</t>
        </is>
      </c>
      <c r="F24" s="11" t="inlineStr">
        <is>
          <t>524 Unit 2</t>
        </is>
      </c>
      <c r="G24" s="11" t="inlineStr">
        <is>
          <t>APPLIED</t>
        </is>
      </c>
      <c r="H24" s="11" t="inlineStr">
        <is>
          <t>NOT EPGC — 2024 Unit 2 YARD SERVICE</t>
        </is>
      </c>
    </row>
    <row r="25">
      <c r="A25" s="11" t="inlineStr">
        <is>
          <t>BoA 4469</t>
        </is>
      </c>
      <c r="B25" s="11" t="inlineStr">
        <is>
          <t>2025-04-25</t>
        </is>
      </c>
      <c r="C25" s="11" t="inlineStr">
        <is>
          <t>TruGreen</t>
        </is>
      </c>
      <c r="D25" s="12" t="n">
        <v>60.95</v>
      </c>
      <c r="E25" s="11" t="inlineStr">
        <is>
          <t>EXTERIOR REPAIRS / yard</t>
        </is>
      </c>
      <c r="F25" s="11" t="inlineStr">
        <is>
          <t>524 Unit 2</t>
        </is>
      </c>
      <c r="G25" s="11" t="inlineStr">
        <is>
          <t>APPLIED</t>
        </is>
      </c>
      <c r="H25" s="11" t="inlineStr"/>
    </row>
    <row r="26">
      <c r="A26" s="11" t="inlineStr">
        <is>
          <t>BoA 4469</t>
        </is>
      </c>
      <c r="B26" s="11" t="inlineStr">
        <is>
          <t>2025-05-30</t>
        </is>
      </c>
      <c r="C26" s="11" t="inlineStr">
        <is>
          <t>TruGreen</t>
        </is>
      </c>
      <c r="D26" s="12" t="n">
        <v>60.95</v>
      </c>
      <c r="E26" s="11" t="inlineStr">
        <is>
          <t>EXTERIOR REPAIRS / yard</t>
        </is>
      </c>
      <c r="F26" s="11" t="inlineStr">
        <is>
          <t>524 Unit 2</t>
        </is>
      </c>
      <c r="G26" s="11" t="inlineStr">
        <is>
          <t>APPLIED</t>
        </is>
      </c>
      <c r="H26" s="11" t="inlineStr"/>
    </row>
    <row r="27">
      <c r="A27" s="11" t="inlineStr">
        <is>
          <t>BoA 4469</t>
        </is>
      </c>
      <c r="B27" s="11" t="inlineStr">
        <is>
          <t>2025-06-27</t>
        </is>
      </c>
      <c r="C27" s="11" t="inlineStr">
        <is>
          <t>TruGreen</t>
        </is>
      </c>
      <c r="D27" s="12" t="n">
        <v>60.95</v>
      </c>
      <c r="E27" s="11" t="inlineStr">
        <is>
          <t>EXTERIOR REPAIRS / yard</t>
        </is>
      </c>
      <c r="F27" s="11" t="inlineStr">
        <is>
          <t>524 Unit 2</t>
        </is>
      </c>
      <c r="G27" s="11" t="inlineStr">
        <is>
          <t>APPLIED</t>
        </is>
      </c>
      <c r="H27" s="11" t="inlineStr"/>
    </row>
    <row r="28">
      <c r="A28" s="11" t="inlineStr">
        <is>
          <t>BoA 4469</t>
        </is>
      </c>
      <c r="B28" s="11" t="inlineStr">
        <is>
          <t>2025-07-21</t>
        </is>
      </c>
      <c r="C28" s="11" t="inlineStr">
        <is>
          <t>TruGreen</t>
        </is>
      </c>
      <c r="D28" s="12" t="n">
        <v>60.95</v>
      </c>
      <c r="E28" s="11" t="inlineStr">
        <is>
          <t>EXTERIOR REPAIRS / yard</t>
        </is>
      </c>
      <c r="F28" s="11" t="inlineStr">
        <is>
          <t>524 Unit 2</t>
        </is>
      </c>
      <c r="G28" s="11" t="inlineStr">
        <is>
          <t>APPLIED</t>
        </is>
      </c>
      <c r="H28" s="11" t="inlineStr"/>
    </row>
    <row r="29">
      <c r="A29" s="11" t="inlineStr">
        <is>
          <t>BoA 4469</t>
        </is>
      </c>
      <c r="B29" s="11" t="inlineStr">
        <is>
          <t>2025-08-14</t>
        </is>
      </c>
      <c r="C29" s="11" t="inlineStr">
        <is>
          <t>TruGreen</t>
        </is>
      </c>
      <c r="D29" s="12" t="n">
        <v>60.95</v>
      </c>
      <c r="E29" s="11" t="inlineStr">
        <is>
          <t>EXTERIOR REPAIRS / yard</t>
        </is>
      </c>
      <c r="F29" s="11" t="inlineStr">
        <is>
          <t>524 Unit 2</t>
        </is>
      </c>
      <c r="G29" s="11" t="inlineStr">
        <is>
          <t>APPLIED</t>
        </is>
      </c>
      <c r="H29" s="11" t="inlineStr"/>
    </row>
    <row r="30">
      <c r="A30" s="11" t="inlineStr">
        <is>
          <t>BoA 4469</t>
        </is>
      </c>
      <c r="B30" s="11" t="inlineStr">
        <is>
          <t>2025-09-27</t>
        </is>
      </c>
      <c r="C30" s="11" t="inlineStr">
        <is>
          <t>TruGreen</t>
        </is>
      </c>
      <c r="D30" s="12" t="n">
        <v>249</v>
      </c>
      <c r="E30" s="11" t="inlineStr">
        <is>
          <t>EXTERIOR REPAIRS / yard</t>
        </is>
      </c>
      <c r="F30" s="11" t="inlineStr">
        <is>
          <t>524 Unit 2</t>
        </is>
      </c>
      <c r="G30" s="11" t="inlineStr">
        <is>
          <t>APPLIED</t>
        </is>
      </c>
      <c r="H30" s="11" t="inlineStr">
        <is>
          <t>Larger fall treatment</t>
        </is>
      </c>
    </row>
    <row r="31">
      <c r="A31" s="11" t="inlineStr">
        <is>
          <t>BoA 4469</t>
        </is>
      </c>
      <c r="B31" s="11" t="inlineStr">
        <is>
          <t>2025-10-10</t>
        </is>
      </c>
      <c r="C31" s="11" t="inlineStr">
        <is>
          <t>TruGreen</t>
        </is>
      </c>
      <c r="D31" s="12" t="n">
        <v>60.95</v>
      </c>
      <c r="E31" s="11" t="inlineStr">
        <is>
          <t>EXTERIOR REPAIRS / yard</t>
        </is>
      </c>
      <c r="F31" s="11" t="inlineStr">
        <is>
          <t>524 Unit 2</t>
        </is>
      </c>
      <c r="G31" s="11" t="inlineStr">
        <is>
          <t>APPLIED</t>
        </is>
      </c>
      <c r="H31" s="11" t="inlineStr"/>
    </row>
    <row r="32">
      <c r="A32" s="13" t="inlineStr">
        <is>
          <t>BoA 4469</t>
        </is>
      </c>
      <c r="B32" s="13" t="inlineStr">
        <is>
          <t>various</t>
        </is>
      </c>
      <c r="C32" s="13" t="inlineStr">
        <is>
          <t>DoorDash / dining / RH restaurant / Salt Shed / barber / Pete's / Monarch Money</t>
        </is>
      </c>
      <c r="D32" s="13" t="n">
        <v>0</v>
      </c>
      <c r="E32" s="13" t="inlineStr">
        <is>
          <t>personal</t>
        </is>
      </c>
      <c r="F32" s="13" t="inlineStr">
        <is>
          <t>—</t>
        </is>
      </c>
      <c r="G32" s="13" t="inlineStr">
        <is>
          <t>EXCLUDED</t>
        </is>
      </c>
      <c r="H32" s="13" t="inlineStr">
        <is>
          <t>BoA dining $3,780.82 + personal services not EPGC</t>
        </is>
      </c>
    </row>
    <row r="33">
      <c r="A33" s="14" t="inlineStr">
        <is>
          <t>BoA 4469</t>
        </is>
      </c>
      <c r="B33" s="14" t="inlineStr">
        <is>
          <t>various</t>
        </is>
      </c>
      <c r="C33" s="14" t="inlineStr">
        <is>
          <t>PARK CHICAGO MOBILE x5</t>
        </is>
      </c>
      <c r="D33" s="15" t="n">
        <v>100</v>
      </c>
      <c r="E33" s="14" t="inlineStr">
        <is>
          <t>Travel?</t>
        </is>
      </c>
      <c r="F33" s="14" t="inlineStr">
        <is>
          <t>EPGC LLC</t>
        </is>
      </c>
      <c r="G33" s="14" t="inlineStr">
        <is>
          <t>HOLD</t>
        </is>
      </c>
      <c r="H33" s="14" t="inlineStr">
        <is>
          <t>Could be gallery/auction parking — confirm</t>
        </is>
      </c>
    </row>
    <row r="34">
      <c r="A34" s="13" t="inlineStr">
        <is>
          <t>Coinbase 6108</t>
        </is>
      </c>
      <c r="B34" s="13" t="inlineStr">
        <is>
          <t>2025-11-29</t>
        </is>
      </c>
      <c r="C34" s="13" t="inlineStr">
        <is>
          <t>Parennial Golf</t>
        </is>
      </c>
      <c r="D34" s="16" t="n">
        <v>1856.24</v>
      </c>
      <c r="E34" s="13" t="inlineStr">
        <is>
          <t>personal</t>
        </is>
      </c>
      <c r="F34" s="13" t="inlineStr">
        <is>
          <t>—</t>
        </is>
      </c>
      <c r="G34" s="13" t="inlineStr">
        <is>
          <t>EXCLUDED</t>
        </is>
      </c>
      <c r="H34" s="13" t="inlineStr">
        <is>
          <t>CSV has almost no EPGC spend</t>
        </is>
      </c>
    </row>
    <row r="35">
      <c r="A35" s="13" t="inlineStr">
        <is>
          <t>Coinbase 6108</t>
        </is>
      </c>
      <c r="B35" s="13" t="inlineStr">
        <is>
          <t>2025-11-01</t>
        </is>
      </c>
      <c r="C35" s="13" t="inlineStr">
        <is>
          <t>Field Museum + Soldier Field parking</t>
        </is>
      </c>
      <c r="D35" s="16" t="n">
        <v>110</v>
      </c>
      <c r="E35" s="13" t="inlineStr">
        <is>
          <t>personal</t>
        </is>
      </c>
      <c r="F35" s="13" t="inlineStr">
        <is>
          <t>—</t>
        </is>
      </c>
      <c r="G35" s="13" t="inlineStr">
        <is>
          <t>EXCLUDED</t>
        </is>
      </c>
      <c r="H35" s="13" t="inlineStr"/>
    </row>
    <row r="36">
      <c r="A36" s="13" t="inlineStr">
        <is>
          <t>Coinbase 6108</t>
        </is>
      </c>
      <c r="B36" s="13" t="inlineStr">
        <is>
          <t>2025-09-30</t>
        </is>
      </c>
      <c r="C36" s="13" t="inlineStr">
        <is>
          <t>Coinbase</t>
        </is>
      </c>
      <c r="D36" s="16" t="n">
        <v>49.99</v>
      </c>
      <c r="E36" s="13" t="inlineStr">
        <is>
          <t>personal</t>
        </is>
      </c>
      <c r="F36" s="13" t="inlineStr">
        <is>
          <t>—</t>
        </is>
      </c>
      <c r="G36" s="13" t="inlineStr">
        <is>
          <t>EXCLUDED</t>
        </is>
      </c>
      <c r="H36" s="13" t="inlineStr"/>
    </row>
    <row r="37">
      <c r="A37" s="13" t="inlineStr">
        <is>
          <t>Coinbase 6108</t>
        </is>
      </c>
      <c r="B37" s="13" t="inlineStr">
        <is>
          <t>2025-12-15</t>
        </is>
      </c>
      <c r="C37" s="13" t="inlineStr">
        <is>
          <t>Freeman's $1 voided x3</t>
        </is>
      </c>
      <c r="D37" s="13" t="n">
        <v>0</v>
      </c>
      <c r="E37" s="13" t="inlineStr">
        <is>
          <t>void</t>
        </is>
      </c>
      <c r="F37" s="13" t="inlineStr">
        <is>
          <t>—</t>
        </is>
      </c>
      <c r="G37" s="13" t="inlineStr">
        <is>
          <t>EXCLUDED</t>
        </is>
      </c>
      <c r="H37" s="13" t="inlineStr">
        <is>
          <t>Voids / payments not expenses</t>
        </is>
      </c>
    </row>
    <row r="38">
      <c r="A38" s="11" t="inlineStr">
        <is>
          <t>Sapphire 5423</t>
        </is>
      </c>
      <c r="B38" s="11" t="inlineStr">
        <is>
          <t>2025-01..12</t>
        </is>
      </c>
      <c r="C38" s="11" t="inlineStr">
        <is>
          <t>ATT* BILL PAYMENT (cellphone)</t>
        </is>
      </c>
      <c r="D38" s="12" t="n">
        <v>1127.02</v>
      </c>
      <c r="E38" s="11" t="inlineStr">
        <is>
          <t>Cellphone and Internet</t>
        </is>
      </c>
      <c r="F38" s="11" t="inlineStr">
        <is>
          <t>EPGC LLC</t>
        </is>
      </c>
      <c r="G38" s="11" t="inlineStr">
        <is>
          <t>APPLIED</t>
        </is>
      </c>
      <c r="H38" s="11" t="inlineStr">
        <is>
          <t>User: AT&amp;T cellphone can be charged to EPGC</t>
        </is>
      </c>
    </row>
    <row r="39">
      <c r="A39" s="11" t="inlineStr">
        <is>
          <t>Sapphire 5423</t>
        </is>
      </c>
      <c r="B39" s="11" t="inlineStr">
        <is>
          <t>2025-04-27</t>
        </is>
      </c>
      <c r="C39" s="11" t="inlineStr">
        <is>
          <t>Squarespace INV179625580</t>
        </is>
      </c>
      <c r="D39" s="12" t="n">
        <v>20</v>
      </c>
      <c r="E39" s="11" t="inlineStr">
        <is>
          <t>Tech</t>
        </is>
      </c>
      <c r="F39" s="11" t="inlineStr">
        <is>
          <t>EPGC LLC</t>
        </is>
      </c>
      <c r="G39" s="11" t="inlineStr">
        <is>
          <t>APPLIED</t>
        </is>
      </c>
      <c r="H39" s="11" t="inlineStr">
        <is>
          <t>Matches 2024 Tech $20</t>
        </is>
      </c>
    </row>
    <row r="40">
      <c r="A40" s="11" t="inlineStr">
        <is>
          <t>Sapphire 5423</t>
        </is>
      </c>
      <c r="B40" s="11" t="inlineStr">
        <is>
          <t>2025-05-08</t>
        </is>
      </c>
      <c r="C40" s="11" t="inlineStr">
        <is>
          <t>Squarespace INV181162020</t>
        </is>
      </c>
      <c r="D40" s="12" t="n">
        <v>192</v>
      </c>
      <c r="E40" s="11" t="inlineStr">
        <is>
          <t>Tech</t>
        </is>
      </c>
      <c r="F40" s="11" t="inlineStr">
        <is>
          <t>EPGC LLC</t>
        </is>
      </c>
      <c r="G40" s="11" t="inlineStr">
        <is>
          <t>APPLIED</t>
        </is>
      </c>
      <c r="H40" s="11" t="inlineStr">
        <is>
          <t>Matches 2024 Tech $192</t>
        </is>
      </c>
    </row>
    <row r="41">
      <c r="A41" s="11" t="inlineStr">
        <is>
          <t>Sapphire 5423</t>
        </is>
      </c>
      <c r="B41" s="11" t="inlineStr">
        <is>
          <t>2025-04-14</t>
        </is>
      </c>
      <c r="C41" s="11" t="inlineStr">
        <is>
          <t>WW Norton</t>
        </is>
      </c>
      <c r="D41" s="12" t="n">
        <v>49.99</v>
      </c>
      <c r="E41" s="11" t="inlineStr">
        <is>
          <t>Art Library</t>
        </is>
      </c>
      <c r="F41" s="11" t="inlineStr">
        <is>
          <t>EPGC LLC</t>
        </is>
      </c>
      <c r="G41" s="11" t="inlineStr">
        <is>
          <t>APPLIED</t>
        </is>
      </c>
      <c r="H41" s="11" t="inlineStr">
        <is>
          <t>Art/reference book</t>
        </is>
      </c>
    </row>
    <row r="42">
      <c r="A42" s="11" t="inlineStr">
        <is>
          <t>Sapphire 5423</t>
        </is>
      </c>
      <c r="B42" s="11" t="inlineStr">
        <is>
          <t>2025-03-22</t>
        </is>
      </c>
      <c r="C42" s="11" t="inlineStr">
        <is>
          <t>Schauer Hardware</t>
        </is>
      </c>
      <c r="D42" s="12" t="n">
        <v>52.78</v>
      </c>
      <c r="E42" s="11" t="inlineStr">
        <is>
          <t>INTERIOR MAINTENANCE</t>
        </is>
      </c>
      <c r="F42" s="11" t="inlineStr">
        <is>
          <t>524 Unit 2</t>
        </is>
      </c>
      <c r="G42" s="11" t="inlineStr">
        <is>
          <t>APPLIED</t>
        </is>
      </c>
      <c r="H42" s="11" t="inlineStr">
        <is>
          <t>Forest Park hardware — 524</t>
        </is>
      </c>
    </row>
    <row r="43">
      <c r="A43" s="11" t="inlineStr">
        <is>
          <t>Sapphire 5423</t>
        </is>
      </c>
      <c r="B43" s="11" t="inlineStr">
        <is>
          <t>2025-04-10</t>
        </is>
      </c>
      <c r="C43" s="11" t="inlineStr">
        <is>
          <t>Rubio Monocoat</t>
        </is>
      </c>
      <c r="D43" s="12" t="n">
        <v>85.78</v>
      </c>
      <c r="E43" s="11" t="inlineStr">
        <is>
          <t>INTERIOR MAINTENANCE</t>
        </is>
      </c>
      <c r="F43" s="11" t="inlineStr">
        <is>
          <t>524 Unit 2</t>
        </is>
      </c>
      <c r="G43" s="11" t="inlineStr">
        <is>
          <t>APPLIED</t>
        </is>
      </c>
      <c r="H43" s="11" t="inlineStr">
        <is>
          <t>Wood finish</t>
        </is>
      </c>
    </row>
    <row r="44">
      <c r="A44" s="11" t="inlineStr">
        <is>
          <t>Sapphire 5423</t>
        </is>
      </c>
      <c r="B44" s="11" t="inlineStr">
        <is>
          <t>2025-04-26</t>
        </is>
      </c>
      <c r="C44" s="11" t="inlineStr">
        <is>
          <t>Schauer Hardware</t>
        </is>
      </c>
      <c r="D44" s="12" t="n">
        <v>45.62</v>
      </c>
      <c r="E44" s="11" t="inlineStr">
        <is>
          <t>INTERIOR MAINTENANCE</t>
        </is>
      </c>
      <c r="F44" s="11" t="inlineStr">
        <is>
          <t>524 Unit 2</t>
        </is>
      </c>
      <c r="G44" s="11" t="inlineStr">
        <is>
          <t>APPLIED</t>
        </is>
      </c>
      <c r="H44" s="11" t="inlineStr"/>
    </row>
    <row r="45">
      <c r="A45" s="11" t="inlineStr">
        <is>
          <t>Sapphire 5423</t>
        </is>
      </c>
      <c r="B45" s="11" t="inlineStr">
        <is>
          <t>2025-05-04</t>
        </is>
      </c>
      <c r="C45" s="11" t="inlineStr">
        <is>
          <t>Alsip Nursery</t>
        </is>
      </c>
      <c r="D45" s="12" t="n">
        <v>384.25</v>
      </c>
      <c r="E45" s="11" t="inlineStr">
        <is>
          <t>EXTERIOR REPAIRS / yard</t>
        </is>
      </c>
      <c r="F45" s="11" t="inlineStr">
        <is>
          <t>524 Unit 2</t>
        </is>
      </c>
      <c r="G45" s="11" t="inlineStr">
        <is>
          <t>APPLIED</t>
        </is>
      </c>
      <c r="H45" s="11" t="inlineStr">
        <is>
          <t>Yard — 2024 Unit 2 YARD SERVICE</t>
        </is>
      </c>
    </row>
    <row r="46">
      <c r="A46" s="14" t="inlineStr">
        <is>
          <t>Sapphire 5423</t>
        </is>
      </c>
      <c r="B46" s="14" t="inlineStr">
        <is>
          <t>2025-07-24</t>
        </is>
      </c>
      <c r="C46" s="14" t="inlineStr">
        <is>
          <t>Los Angeles Modern Auctions</t>
        </is>
      </c>
      <c r="D46" s="15" t="n">
        <v>6821.06</v>
      </c>
      <c r="E46" s="14" t="inlineStr">
        <is>
          <t>Inventory COGS</t>
        </is>
      </c>
      <c r="F46" s="14" t="inlineStr">
        <is>
          <t>Art Sales</t>
        </is>
      </c>
      <c r="G46" s="14" t="inlineStr">
        <is>
          <t>HOLD-COGS</t>
        </is>
      </c>
      <c r="H46" s="14" t="inlineStr">
        <is>
          <t>Purchase — not EPGC P&amp;L; add object when identified</t>
        </is>
      </c>
    </row>
    <row r="47">
      <c r="A47" s="14" t="inlineStr">
        <is>
          <t>Sapphire 5423</t>
        </is>
      </c>
      <c r="B47" s="14" t="inlineStr">
        <is>
          <t>2025-04-03</t>
        </is>
      </c>
      <c r="C47" s="14" t="inlineStr">
        <is>
          <t>Hindman LLC</t>
        </is>
      </c>
      <c r="D47" s="15" t="n">
        <v>282.24</v>
      </c>
      <c r="E47" s="14" t="inlineStr">
        <is>
          <t>Inventory COGS</t>
        </is>
      </c>
      <c r="F47" s="14" t="inlineStr">
        <is>
          <t>Art Sales</t>
        </is>
      </c>
      <c r="G47" s="14" t="inlineStr">
        <is>
          <t>HOLD-COGS</t>
        </is>
      </c>
      <c r="H47" s="14" t="inlineStr"/>
    </row>
    <row r="48">
      <c r="A48" s="14" t="inlineStr">
        <is>
          <t>Sapphire 5423</t>
        </is>
      </c>
      <c r="B48" s="14" t="inlineStr">
        <is>
          <t>2025-07-29</t>
        </is>
      </c>
      <c r="C48" s="14" t="inlineStr">
        <is>
          <t>Hindman LLC</t>
        </is>
      </c>
      <c r="D48" s="15" t="n">
        <v>403.51</v>
      </c>
      <c r="E48" s="14" t="inlineStr">
        <is>
          <t>Inventory COGS</t>
        </is>
      </c>
      <c r="F48" s="14" t="inlineStr">
        <is>
          <t>Art Sales</t>
        </is>
      </c>
      <c r="G48" s="14" t="inlineStr">
        <is>
          <t>HOLD-COGS</t>
        </is>
      </c>
      <c r="H48" s="14" t="inlineStr"/>
    </row>
    <row r="49">
      <c r="A49" s="14" t="inlineStr">
        <is>
          <t>Sapphire 5423</t>
        </is>
      </c>
      <c r="B49" s="14" t="inlineStr">
        <is>
          <t>2025-02-16</t>
        </is>
      </c>
      <c r="C49" s="14" t="inlineStr">
        <is>
          <t>The Great Frame Up</t>
        </is>
      </c>
      <c r="D49" s="15" t="n">
        <v>536.41</v>
      </c>
      <c r="E49" s="14" t="inlineStr">
        <is>
          <t>framing?</t>
        </is>
      </c>
      <c r="F49" s="14" t="inlineStr">
        <is>
          <t>EPGC / personal</t>
        </is>
      </c>
      <c r="G49" s="14" t="inlineStr">
        <is>
          <t>HOLD</t>
        </is>
      </c>
      <c r="H49" s="14" t="inlineStr">
        <is>
          <t>Could be inventory framing or personal</t>
        </is>
      </c>
    </row>
    <row r="50">
      <c r="A50" s="11" t="inlineStr">
        <is>
          <t>Prime 2351</t>
        </is>
      </c>
      <c r="B50" s="11" t="inlineStr">
        <is>
          <t>2025-01..11</t>
        </is>
      </c>
      <c r="C50" s="11" t="inlineStr">
        <is>
          <t>ATT*BILL PAYMENT $45 then $50</t>
        </is>
      </c>
      <c r="D50" s="12" t="n">
        <v>530</v>
      </c>
      <c r="E50" s="11" t="inlineStr">
        <is>
          <t>INTERNET</t>
        </is>
      </c>
      <c r="F50" s="11" t="inlineStr">
        <is>
          <t>524 Unit 2</t>
        </is>
      </c>
      <c r="G50" s="11" t="inlineStr">
        <is>
          <t>APPLIED</t>
        </is>
      </c>
      <c r="H50" s="11" t="inlineStr">
        <is>
          <t>2024 Unit 2 internet was $50/mo; one house bill</t>
        </is>
      </c>
    </row>
    <row r="51">
      <c r="A51" s="11" t="inlineStr">
        <is>
          <t>Prime 2351</t>
        </is>
      </c>
      <c r="B51" s="11" t="inlineStr">
        <is>
          <t>2025 Nicor smaller</t>
        </is>
      </c>
      <c r="C51" s="11" t="inlineStr">
        <is>
          <t>NICOR GAS BILL (smaller of pair)</t>
        </is>
      </c>
      <c r="D51" s="12" t="n">
        <v>324.42</v>
      </c>
      <c r="E51" s="11" t="inlineStr">
        <is>
          <t>GAS</t>
        </is>
      </c>
      <c r="F51" s="11" t="inlineStr">
        <is>
          <t>524 Unit 2</t>
        </is>
      </c>
      <c r="G51" s="11" t="inlineStr">
        <is>
          <t>APPLIED</t>
        </is>
      </c>
      <c r="H51" s="11" t="inlineStr">
        <is>
          <t>Matches 2024 Unit 2 gas $21–62</t>
        </is>
      </c>
    </row>
    <row r="52">
      <c r="A52" s="11" t="inlineStr">
        <is>
          <t>Prime 2351</t>
        </is>
      </c>
      <c r="B52" s="11" t="inlineStr">
        <is>
          <t>2025 Nicor larger</t>
        </is>
      </c>
      <c r="C52" s="11" t="inlineStr">
        <is>
          <t>NICOR GAS BILL (larger of pair)</t>
        </is>
      </c>
      <c r="D52" s="12" t="n">
        <v>846.7</v>
      </c>
      <c r="E52" s="11" t="inlineStr">
        <is>
          <t>GAS</t>
        </is>
      </c>
      <c r="F52" s="11" t="inlineStr">
        <is>
          <t>524 Unit 1</t>
        </is>
      </c>
      <c r="G52" s="11" t="inlineStr">
        <is>
          <t>APPLIED</t>
        </is>
      </c>
      <c r="H52" s="11" t="inlineStr">
        <is>
          <t>Seasonal heating — residence meter</t>
        </is>
      </c>
    </row>
    <row r="53">
      <c r="A53" s="11" t="inlineStr">
        <is>
          <t>Prime 2351</t>
        </is>
      </c>
      <c r="B53" s="11" t="inlineStr">
        <is>
          <t>bi-monthly</t>
        </is>
      </c>
      <c r="C53" s="11" t="inlineStr">
        <is>
          <t>VILLAGE OF FOREST PARK</t>
        </is>
      </c>
      <c r="D53" s="12" t="n">
        <v>1148.93</v>
      </c>
      <c r="E53" s="11" t="inlineStr">
        <is>
          <t>VILLAGE WATER AND REFUSE</t>
        </is>
      </c>
      <c r="F53" s="11" t="inlineStr">
        <is>
          <t>U1 50% / U2 50%</t>
        </is>
      </c>
      <c r="G53" s="11" t="inlineStr">
        <is>
          <t>APPLIED</t>
        </is>
      </c>
      <c r="H53" s="11" t="inlineStr">
        <is>
          <t>One building bill; 2023 sat on Unit 1, 2024 year-total on Unit 2</t>
        </is>
      </c>
    </row>
    <row r="54">
      <c r="A54" s="11" t="inlineStr">
        <is>
          <t>Prime 2351</t>
        </is>
      </c>
      <c r="B54" s="11" t="inlineStr">
        <is>
          <t>Grove 8 orders</t>
        </is>
      </c>
      <c r="C54" s="11" t="inlineStr">
        <is>
          <t>GROVE COLLABORATIVE</t>
        </is>
      </c>
      <c r="D54" s="12" t="n">
        <v>791.21</v>
      </c>
      <c r="E54" s="11" t="inlineStr">
        <is>
          <t>SUPPLIES</t>
        </is>
      </c>
      <c r="F54" s="11" t="inlineStr">
        <is>
          <t>524 Unit 2</t>
        </is>
      </c>
      <c r="G54" s="11" t="inlineStr">
        <is>
          <t>APPLIED</t>
        </is>
      </c>
      <c r="H54" s="11" t="inlineStr">
        <is>
          <t>User example; Aug tagged Business in Monarch</t>
        </is>
      </c>
    </row>
    <row r="55">
      <c r="A55" s="11" t="inlineStr">
        <is>
          <t>Prime 2351</t>
        </is>
      </c>
      <c r="B55" s="11" t="inlineStr">
        <is>
          <t>2025-01-03</t>
        </is>
      </c>
      <c r="C55" s="11" t="inlineStr">
        <is>
          <t>Schauer Hardware</t>
        </is>
      </c>
      <c r="D55" s="12" t="n">
        <v>7.46</v>
      </c>
      <c r="E55" s="11" t="inlineStr">
        <is>
          <t>INTERIOR MAINTENANCE</t>
        </is>
      </c>
      <c r="F55" s="11" t="inlineStr">
        <is>
          <t>524 Unit 2</t>
        </is>
      </c>
      <c r="G55" s="11" t="inlineStr">
        <is>
          <t>APPLIED</t>
        </is>
      </c>
      <c r="H55" s="11" t="inlineStr"/>
    </row>
    <row r="56">
      <c r="A56" s="11" t="inlineStr">
        <is>
          <t>Prime 2351</t>
        </is>
      </c>
      <c r="B56" s="11" t="inlineStr">
        <is>
          <t>2025-10-18</t>
        </is>
      </c>
      <c r="C56" s="11" t="inlineStr">
        <is>
          <t>Schauer Hardware</t>
        </is>
      </c>
      <c r="D56" s="12" t="n">
        <v>45.6</v>
      </c>
      <c r="E56" s="11" t="inlineStr">
        <is>
          <t>INTERIOR MAINTENANCE</t>
        </is>
      </c>
      <c r="F56" s="11" t="inlineStr">
        <is>
          <t>524 Unit 2</t>
        </is>
      </c>
      <c r="G56" s="11" t="inlineStr">
        <is>
          <t>APPLIED</t>
        </is>
      </c>
      <c r="H56" s="11" t="inlineStr"/>
    </row>
    <row r="57">
      <c r="A57" s="11" t="inlineStr">
        <is>
          <t>Prime 2351</t>
        </is>
      </c>
      <c r="B57" s="11" t="inlineStr">
        <is>
          <t>2025-11-08</t>
        </is>
      </c>
      <c r="C57" s="11" t="inlineStr">
        <is>
          <t>Schauer Hardware</t>
        </is>
      </c>
      <c r="D57" s="12" t="n">
        <v>2.75</v>
      </c>
      <c r="E57" s="11" t="inlineStr">
        <is>
          <t>INTERIOR MAINTENANCE</t>
        </is>
      </c>
      <c r="F57" s="11" t="inlineStr">
        <is>
          <t>524 Unit 2</t>
        </is>
      </c>
      <c r="G57" s="11" t="inlineStr">
        <is>
          <t>APPLIED</t>
        </is>
      </c>
      <c r="H57" s="11" t="inlineStr"/>
    </row>
    <row r="58">
      <c r="A58" s="11" t="inlineStr">
        <is>
          <t>Prime 2351</t>
        </is>
      </c>
      <c r="B58" s="11" t="inlineStr">
        <is>
          <t>2025-11-13</t>
        </is>
      </c>
      <c r="C58" s="11" t="inlineStr">
        <is>
          <t>Schauer Hardware</t>
        </is>
      </c>
      <c r="D58" s="12" t="n">
        <v>9.880000000000001</v>
      </c>
      <c r="E58" s="11" t="inlineStr">
        <is>
          <t>INTERIOR MAINTENANCE</t>
        </is>
      </c>
      <c r="F58" s="11" t="inlineStr">
        <is>
          <t>524 Unit 2</t>
        </is>
      </c>
      <c r="G58" s="11" t="inlineStr">
        <is>
          <t>APPLIED</t>
        </is>
      </c>
      <c r="H58" s="11" t="inlineStr"/>
    </row>
    <row r="59">
      <c r="A59" s="11" t="inlineStr">
        <is>
          <t>Prime 2351</t>
        </is>
      </c>
      <c r="B59" s="11" t="inlineStr">
        <is>
          <t>2025-03-15</t>
        </is>
      </c>
      <c r="C59" s="11" t="inlineStr">
        <is>
          <t>Aquasana Water Filters</t>
        </is>
      </c>
      <c r="D59" s="12" t="n">
        <v>73.23999999999999</v>
      </c>
      <c r="E59" s="11" t="inlineStr">
        <is>
          <t>EQUIPMENT</t>
        </is>
      </c>
      <c r="F59" s="11" t="inlineStr">
        <is>
          <t>524 Unit 2</t>
        </is>
      </c>
      <c r="G59" s="11" t="inlineStr">
        <is>
          <t>APPLIED</t>
        </is>
      </c>
      <c r="H59" s="11" t="inlineStr">
        <is>
          <t>STR water filter</t>
        </is>
      </c>
    </row>
    <row r="60">
      <c r="A60" s="11" t="inlineStr">
        <is>
          <t>Prime 2351</t>
        </is>
      </c>
      <c r="B60" s="11" t="inlineStr">
        <is>
          <t>2025-09-19</t>
        </is>
      </c>
      <c r="C60" s="11" t="inlineStr">
        <is>
          <t>Aquasana Water Filters</t>
        </is>
      </c>
      <c r="D60" s="12" t="n">
        <v>82.27</v>
      </c>
      <c r="E60" s="11" t="inlineStr">
        <is>
          <t>EQUIPMENT</t>
        </is>
      </c>
      <c r="F60" s="11" t="inlineStr">
        <is>
          <t>524 Unit 2</t>
        </is>
      </c>
      <c r="G60" s="11" t="inlineStr">
        <is>
          <t>APPLIED</t>
        </is>
      </c>
      <c r="H60" s="11" t="inlineStr"/>
    </row>
    <row r="61">
      <c r="A61" s="11" t="inlineStr">
        <is>
          <t>Prime 2351</t>
        </is>
      </c>
      <c r="B61" s="11" t="inlineStr">
        <is>
          <t>2025-01-31</t>
        </is>
      </c>
      <c r="C61" s="11" t="inlineStr">
        <is>
          <t>Abebooks x2</t>
        </is>
      </c>
      <c r="D61" s="12" t="n">
        <v>153.44</v>
      </c>
      <c r="E61" s="11" t="inlineStr">
        <is>
          <t>Art Library</t>
        </is>
      </c>
      <c r="F61" s="11" t="inlineStr">
        <is>
          <t>EPGC LLC</t>
        </is>
      </c>
      <c r="G61" s="11" t="inlineStr">
        <is>
          <t>APPLIED</t>
        </is>
      </c>
      <c r="H61" s="11" t="inlineStr">
        <is>
          <t>On Prime not BoA — still EPGC library</t>
        </is>
      </c>
    </row>
    <row r="62">
      <c r="A62" s="11" t="inlineStr">
        <is>
          <t>Prime 2351</t>
        </is>
      </c>
      <c r="B62" s="11" t="inlineStr">
        <is>
          <t>2025-09..12</t>
        </is>
      </c>
      <c r="C62" s="11" t="inlineStr">
        <is>
          <t>Canva $15 x4</t>
        </is>
      </c>
      <c r="D62" s="12" t="n">
        <v>60</v>
      </c>
      <c r="E62" s="11" t="inlineStr">
        <is>
          <t>Software Fees</t>
        </is>
      </c>
      <c r="F62" s="11" t="inlineStr">
        <is>
          <t>EPGC LLC</t>
        </is>
      </c>
      <c r="G62" s="11" t="inlineStr">
        <is>
          <t>APPLIED</t>
        </is>
      </c>
      <c r="H62" s="11" t="inlineStr">
        <is>
          <t>Starting point — confirm not personal</t>
        </is>
      </c>
    </row>
    <row r="63">
      <c r="A63" s="11" t="inlineStr">
        <is>
          <t>Prime 2351</t>
        </is>
      </c>
      <c r="B63" s="11" t="inlineStr">
        <is>
          <t>Feb-Aug</t>
        </is>
      </c>
      <c r="C63" s="11" t="inlineStr">
        <is>
          <t>STATE FARM INSURANCE</t>
        </is>
      </c>
      <c r="D63" s="12" t="n">
        <v>2124.79</v>
      </c>
      <c r="E63" s="11" t="inlineStr">
        <is>
          <t>INSURANCE</t>
        </is>
      </c>
      <c r="F63" s="11" t="inlineStr">
        <is>
          <t>U1/U2</t>
        </is>
      </c>
      <c r="G63" s="11" t="inlineStr">
        <is>
          <t>APPLIED</t>
        </is>
      </c>
      <c r="H63" s="11" t="inlineStr">
        <is>
          <t>Feb two policies; Mar-Aug combined 50/50; none after Aug on this card</t>
        </is>
      </c>
    </row>
    <row r="64">
      <c r="A64" s="14" t="inlineStr">
        <is>
          <t>Prime 2351</t>
        </is>
      </c>
      <c r="B64" s="14" t="inlineStr">
        <is>
          <t>HOME</t>
        </is>
      </c>
      <c r="C64" s="14" t="inlineStr">
        <is>
          <t>Home Depot / Lowe's / IKEA / Extra Space</t>
        </is>
      </c>
      <c r="D64" s="15" t="n">
        <v>3732.32</v>
      </c>
      <c r="E64" s="14" t="inlineStr">
        <is>
          <t>repairs vs personal</t>
        </is>
      </c>
      <c r="F64" s="14" t="inlineStr">
        <is>
          <t>524?</t>
        </is>
      </c>
      <c r="G64" s="14" t="inlineStr">
        <is>
          <t>HOLD</t>
        </is>
      </c>
      <c r="H64" s="14" t="inlineStr">
        <is>
          <t>Store HD/Lowes/IKEA not dumped into P&amp;L until confirmed</t>
        </is>
      </c>
    </row>
    <row r="65">
      <c r="A65" s="11" t="inlineStr">
        <is>
          <t>Checking 0203</t>
        </is>
      </c>
      <c r="B65" s="11" t="inlineStr">
        <is>
          <t>monthly</t>
        </is>
      </c>
      <c r="C65" s="11" t="inlineStr">
        <is>
          <t>ComEd Jacob Coley</t>
        </is>
      </c>
      <c r="D65" s="12" t="n">
        <v>829.15</v>
      </c>
      <c r="E65" s="11" t="inlineStr">
        <is>
          <t>ELECTRIC</t>
        </is>
      </c>
      <c r="F65" s="11" t="inlineStr">
        <is>
          <t>524 Unit 2</t>
        </is>
      </c>
      <c r="G65" s="11" t="inlineStr">
        <is>
          <t>APPLIED</t>
        </is>
      </c>
      <c r="H65" s="11" t="inlineStr">
        <is>
          <t>Not on CC — Monarch Adv Plus; smaller account</t>
        </is>
      </c>
    </row>
    <row r="66">
      <c r="A66" s="11" t="inlineStr">
        <is>
          <t>Checking 0203</t>
        </is>
      </c>
      <c r="B66" s="11" t="inlineStr">
        <is>
          <t>monthly</t>
        </is>
      </c>
      <c r="C66" s="11" t="inlineStr">
        <is>
          <t>ComEd Megan Gerrard</t>
        </is>
      </c>
      <c r="D66" s="12" t="n">
        <v>1565.26</v>
      </c>
      <c r="E66" s="11" t="inlineStr">
        <is>
          <t>ELECTRIC</t>
        </is>
      </c>
      <c r="F66" s="11" t="inlineStr">
        <is>
          <t>524 Unit 1</t>
        </is>
      </c>
      <c r="G66" s="11" t="inlineStr">
        <is>
          <t>APPLIED</t>
        </is>
      </c>
      <c r="H66" s="11" t="inlineStr">
        <is>
          <t>Not on CC — larger account</t>
        </is>
      </c>
    </row>
    <row r="68">
      <c r="A68" t="inlineStr">
        <is>
          <t>STATUS: APPLIED = in monthly P&amp;L (green). EXCLUDED = personal / void. HOLD = confirm before P&amp;L. HOLD-COGS = inventory not operating expense.</t>
        </is>
      </c>
    </row>
  </sheetData>
  <autoFilter ref="A3:H66"/>
  <mergeCells count="2">
    <mergeCell ref="A68:H6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9" t="inlineStr">
        <is>
          <t>Starting-point flags — confirm or leave for CPA (do not block the packet)</t>
        </is>
      </c>
    </row>
    <row r="3">
      <c r="A3" s="5" t="inlineStr">
        <is>
          <t>Item</t>
        </is>
      </c>
      <c r="B3" s="5" t="inlineStr">
        <is>
          <t>What I applied / what to confirm</t>
        </is>
      </c>
    </row>
    <row r="4" ht="48" customHeight="1">
      <c r="A4" s="17" t="inlineStr">
        <is>
          <t>Nicor meters</t>
        </is>
      </c>
      <c r="B4" s="17" t="inlineStr">
        <is>
          <t>Smaller Nicor (~$23–40) applied to Unit 2 because 2024 Unit 2 gas was $21–62. Larger seasonal bill applied to Unit 1. Swap if meters are reversed.</t>
        </is>
      </c>
    </row>
    <row r="5" ht="48" customHeight="1">
      <c r="A5" s="17" t="inlineStr">
        <is>
          <t>Prime AT&amp;T $45–50</t>
        </is>
      </c>
      <c r="B5" s="17" t="inlineStr">
        <is>
          <t>Applied 100% to Unit 2 INTERNET (2024 Unit 2 was $50/mo). 2023 Unit 1 was $45/mo — this may be house-wide. Split if both units used it.</t>
        </is>
      </c>
    </row>
    <row r="6" ht="48" customHeight="1">
      <c r="A6" s="17" t="inlineStr">
        <is>
          <t>Village water</t>
        </is>
      </c>
      <c r="B6" s="17" t="inlineStr">
        <is>
          <t>One Forest Park bill, 50/50 U1/U2. 2023 monthly sat on Unit 1; 2024 year-total $1,769 sat on Unit 2.</t>
        </is>
      </c>
    </row>
    <row r="7" ht="48" customHeight="1">
      <c r="A7" s="17" t="inlineStr">
        <is>
          <t>State Farm</t>
        </is>
      </c>
      <c r="B7" s="17" t="inlineStr">
        <is>
          <t>Feb 145.25 → U2 and 157.53 → U1; Mar–Aug combined premium 50/50. No Sep–Dec on Prime — other account?</t>
        </is>
      </c>
    </row>
    <row r="8" ht="48" customHeight="1">
      <c r="A8" s="17" t="inlineStr">
        <is>
          <t>Home Depot / Lowe's / IKEA</t>
        </is>
      </c>
      <c r="B8" s="17" t="inlineStr">
        <is>
          <t>Prime HOME $3,732 includes HD.com $1,185.80 (Mar), HD $410 (Oct), Lowe's $209 (Sep), IKEA $365. Held out of P&amp;L.</t>
        </is>
      </c>
    </row>
    <row r="9" ht="48" customHeight="1">
      <c r="A9" s="17" t="inlineStr">
        <is>
          <t>Canva $15 Sep–Dec</t>
        </is>
      </c>
      <c r="B9" s="17" t="inlineStr">
        <is>
          <t>Applied to EPGC Software Fees as a starting point. Move to personal if Megan/kids.</t>
        </is>
      </c>
    </row>
    <row r="10" ht="48" customHeight="1">
      <c r="A10" s="17" t="inlineStr">
        <is>
          <t>Park Chicago $100</t>
        </is>
      </c>
      <c r="B10" s="17" t="inlineStr">
        <is>
          <t>Five $20 BoA charges. Held — EPGC travel vs personal.</t>
        </is>
      </c>
    </row>
    <row r="11" ht="48" customHeight="1">
      <c r="A11" s="17" t="inlineStr">
        <is>
          <t>Great Frame Up $536.41</t>
        </is>
      </c>
      <c r="B11" s="17" t="inlineStr">
        <is>
          <t>Sapphire Feb. Held — inventory framing vs personal.</t>
        </is>
      </c>
    </row>
    <row r="12" ht="48" customHeight="1">
      <c r="A12" s="17" t="inlineStr">
        <is>
          <t>LAMA $6,821.06 + Hindman $685.75</t>
        </is>
      </c>
      <c r="B12" s="17" t="inlineStr">
        <is>
          <t>Inventory purchases on Sapphire. Not EPGC operating expense; identify objects for Art Sales COGS.</t>
        </is>
      </c>
    </row>
    <row r="13" ht="48" customHeight="1">
      <c r="A13" s="17" t="inlineStr">
        <is>
          <t>Electric</t>
        </is>
      </c>
      <c r="B13" s="17" t="inlineStr">
        <is>
          <t>ComEd is on checking, not these cards. Jacob → Unit 2, Megan → Unit 1. Confirm meters.</t>
        </is>
      </c>
    </row>
    <row r="14" ht="48" customHeight="1">
      <c r="A14" s="17" t="inlineStr">
        <is>
          <t>Coinbase 6108</t>
        </is>
      </c>
      <c r="B14" s="17" t="inlineStr">
        <is>
          <t>CSV is payments/voids/golf/museum. No EPGC operating expenses applied.</t>
        </is>
      </c>
    </row>
    <row r="15" ht="48" customHeight="1">
      <c r="A15" s="17" t="inlineStr">
        <is>
          <t>TruGreen / Alsip / Good Earth</t>
        </is>
      </c>
      <c r="B15" s="17" t="inlineStr">
        <is>
          <t>All on Unit 2 exterior/yard (2024 YARD SERVICE was on Unit 2). Split with Unit 1 if shared grounds should follow §121.</t>
        </is>
      </c>
    </row>
    <row r="18">
      <c r="A18" s="5" t="inlineStr">
        <is>
          <t>Applied totals</t>
        </is>
      </c>
      <c r="B18" s="18" t="n"/>
    </row>
    <row r="19">
      <c r="A19" s="19" t="inlineStr">
        <is>
          <t>EPGC Cellphone (Sapphire AT&amp;T)</t>
        </is>
      </c>
      <c r="B19" s="20" t="n">
        <v>1127.02</v>
      </c>
    </row>
    <row r="20">
      <c r="A20" s="19" t="inlineStr">
        <is>
          <t>EPGC Software (ChatGPT + Google One + Canva)</t>
        </is>
      </c>
      <c r="B20" s="20" t="n">
        <v>326.04</v>
      </c>
    </row>
    <row r="21">
      <c r="A21" s="19" t="inlineStr">
        <is>
          <t>EPGC Tech (Squarespace)</t>
        </is>
      </c>
      <c r="B21" s="20" t="n">
        <v>212</v>
      </c>
    </row>
    <row r="22">
      <c r="A22" s="19" t="inlineStr">
        <is>
          <t>EPGC Advertising (Tailor Brands)</t>
        </is>
      </c>
      <c r="B22" s="20" t="n">
        <v>954.98</v>
      </c>
    </row>
    <row r="23">
      <c r="A23" s="19" t="inlineStr">
        <is>
          <t>EPGC Art Library</t>
        </is>
      </c>
      <c r="B23" s="20" t="n">
        <v>295.6</v>
      </c>
    </row>
    <row r="24">
      <c r="A24" s="19" t="inlineStr">
        <is>
          <t>Unit 2 GAS (Nicor smaller)</t>
        </is>
      </c>
      <c r="B24" s="20" t="n">
        <v>324.42</v>
      </c>
    </row>
    <row r="25">
      <c r="A25" s="19" t="inlineStr">
        <is>
          <t>Unit 1 GAS (Nicor larger)</t>
        </is>
      </c>
      <c r="B25" s="20" t="n">
        <v>846.7</v>
      </c>
    </row>
    <row r="26">
      <c r="A26" s="19" t="inlineStr">
        <is>
          <t>Unit 2 ELECTRIC (ComEd Jacob)</t>
        </is>
      </c>
      <c r="B26" s="20" t="n">
        <v>829.15</v>
      </c>
    </row>
    <row r="27">
      <c r="A27" s="19" t="inlineStr">
        <is>
          <t>Unit 1 ELECTRIC (ComEd Megan)</t>
        </is>
      </c>
      <c r="B27" s="20" t="n">
        <v>1565.26</v>
      </c>
    </row>
    <row r="28">
      <c r="A28" s="19" t="inlineStr">
        <is>
          <t>Unit 2 INTERNET (Prime ATT)</t>
        </is>
      </c>
      <c r="B28" s="20" t="n">
        <v>530</v>
      </c>
    </row>
    <row r="29">
      <c r="A29" s="19" t="inlineStr">
        <is>
          <t>Unit 2 WATER 50%</t>
        </is>
      </c>
      <c r="B29" s="20" t="n">
        <v>574.49</v>
      </c>
    </row>
    <row r="30">
      <c r="A30" s="19" t="inlineStr">
        <is>
          <t>Unit 1 WATER 50%</t>
        </is>
      </c>
      <c r="B30" s="20" t="n">
        <v>574.4400000000001</v>
      </c>
    </row>
    <row r="31">
      <c r="A31" s="19" t="inlineStr">
        <is>
          <t>Unit 2 INSURANCE</t>
        </is>
      </c>
      <c r="B31" s="20" t="n">
        <v>1056.28</v>
      </c>
    </row>
    <row r="32">
      <c r="A32" s="19" t="inlineStr">
        <is>
          <t>Unit 1 INSURANCE</t>
        </is>
      </c>
      <c r="B32" s="20" t="n">
        <v>1068.51</v>
      </c>
    </row>
    <row r="33">
      <c r="A33" s="19" t="inlineStr">
        <is>
          <t>Unit 2 SUPPLIES (Grove)</t>
        </is>
      </c>
      <c r="B33" s="20" t="n">
        <v>791.21</v>
      </c>
    </row>
    <row r="34">
      <c r="A34" s="19" t="inlineStr">
        <is>
          <t>Unit 2 INTERIOR (Schauer/Rubio)</t>
        </is>
      </c>
      <c r="B34" s="20" t="n">
        <v>249.87</v>
      </c>
    </row>
    <row r="35">
      <c r="A35" s="19" t="inlineStr">
        <is>
          <t>Unit 2 EXTERIOR/YARD (TruGreen/Alsip/Good Earth)</t>
        </is>
      </c>
      <c r="B35" s="20" t="n">
        <v>1195.42</v>
      </c>
    </row>
    <row r="36">
      <c r="A36" s="19" t="inlineStr">
        <is>
          <t>Unit 2 EQUIPMENT (Aquasana)</t>
        </is>
      </c>
      <c r="B36" s="20" t="n">
        <v>155.51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B1" t="n">
        <v>2024</v>
      </c>
      <c r="C1" t="n">
        <v>2024</v>
      </c>
      <c r="D1" t="n">
        <v>2025</v>
      </c>
      <c r="E1" t="n">
        <v>2025</v>
      </c>
    </row>
    <row r="2">
      <c r="B2" s="2" t="inlineStr">
        <is>
          <t>Projected</t>
        </is>
      </c>
      <c r="C2" s="2" t="inlineStr">
        <is>
          <t>Actual</t>
        </is>
      </c>
      <c r="D2" s="2" t="inlineStr">
        <is>
          <t>Projected</t>
        </is>
      </c>
      <c r="E2" s="2" t="inlineStr">
        <is>
          <t>Actual</t>
        </is>
      </c>
    </row>
    <row r="3">
      <c r="A3" t="inlineStr">
        <is>
          <t>Income</t>
        </is>
      </c>
    </row>
    <row r="4">
      <c r="A4" t="inlineStr">
        <is>
          <t>Hindman / Freeman W-2 (Monarch deposits — reconcile to W-2)</t>
        </is>
      </c>
      <c r="B4" t="n">
        <v>110000</v>
      </c>
      <c r="D4" t="n">
        <v>110000</v>
      </c>
      <c r="E4" s="3" t="n">
        <v>70618</v>
      </c>
    </row>
    <row r="5">
      <c r="A5" t="inlineStr">
        <is>
          <t>216 N. Oak Park Ave</t>
        </is>
      </c>
      <c r="B5" t="n">
        <v>1500</v>
      </c>
      <c r="D5" t="n">
        <v>1500</v>
      </c>
      <c r="E5" s="4" t="n">
        <v>0</v>
      </c>
    </row>
    <row r="6">
      <c r="A6" t="inlineStr">
        <is>
          <t>524 Ferdinand Ave #2 (STR platform net)</t>
        </is>
      </c>
      <c r="B6" t="n">
        <v>20000</v>
      </c>
      <c r="D6" t="n">
        <v>17000</v>
      </c>
      <c r="E6" s="3" t="n">
        <v>17086.94</v>
      </c>
    </row>
    <row r="7">
      <c r="A7" t="inlineStr">
        <is>
          <t>GCM / Gates 1099-NEC</t>
        </is>
      </c>
      <c r="B7" t="n">
        <v>16000</v>
      </c>
      <c r="D7" t="n">
        <v>21500</v>
      </c>
      <c r="E7" s="3" t="n">
        <v>21500</v>
      </c>
    </row>
    <row r="8">
      <c r="A8" t="inlineStr">
        <is>
          <t>Art Sales (net — see Art Sales tab)</t>
        </is>
      </c>
      <c r="B8" t="n">
        <v>20000</v>
      </c>
      <c r="D8" t="n">
        <v>20000</v>
      </c>
      <c r="E8" s="4" t="n">
        <v>0</v>
      </c>
    </row>
    <row r="9">
      <c r="A9" t="inlineStr">
        <is>
          <t>Megan's Income</t>
        </is>
      </c>
      <c r="B9" t="n">
        <v>0</v>
      </c>
      <c r="D9" t="n">
        <v>0</v>
      </c>
      <c r="E9" s="4" t="n">
        <v>0</v>
      </c>
    </row>
    <row r="10">
      <c r="A10" t="inlineStr">
        <is>
          <t>EBITDA</t>
        </is>
      </c>
      <c r="B10">
        <f>SUM(B4:B9)</f>
        <v/>
      </c>
      <c r="C10">
        <f>SUM(C4:C9)</f>
        <v/>
      </c>
      <c r="D10">
        <f>SUM(D4:D9)</f>
        <v/>
      </c>
      <c r="E10">
        <f>SUM(E4:E9)</f>
        <v/>
      </c>
    </row>
    <row r="12">
      <c r="A12" t="inlineStr">
        <is>
          <t>Notes: E4 Monarch paycheck cash ≠ W-2 Box 1. E6 PLATFORM STR net LOCKED. E8 Art net yellow until Sale Prices filled (COGS on Art Sales).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O30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B1" t="inlineStr">
        <is>
          <t>PROPERTY ADDRESS</t>
        </is>
      </c>
      <c r="C1" t="inlineStr">
        <is>
          <t>524 Ferdinand Avenue, Unit 2 (STR)</t>
        </is>
      </c>
    </row>
    <row r="2">
      <c r="B2" t="inlineStr">
        <is>
          <t>INCOME</t>
        </is>
      </c>
      <c r="C2" s="5" t="inlineStr">
        <is>
          <t>JAN</t>
        </is>
      </c>
      <c r="D2" s="5" t="inlineStr">
        <is>
          <t>FEB</t>
        </is>
      </c>
      <c r="E2" s="5" t="inlineStr">
        <is>
          <t>MAR</t>
        </is>
      </c>
      <c r="F2" s="5" t="inlineStr">
        <is>
          <t>APR</t>
        </is>
      </c>
      <c r="G2" s="5" t="inlineStr">
        <is>
          <t>MAY</t>
        </is>
      </c>
      <c r="H2" s="5" t="inlineStr">
        <is>
          <t>JUN</t>
        </is>
      </c>
      <c r="I2" s="5" t="inlineStr">
        <is>
          <t>JUL</t>
        </is>
      </c>
      <c r="J2" s="5" t="inlineStr">
        <is>
          <t>AUG</t>
        </is>
      </c>
      <c r="K2" s="5" t="inlineStr">
        <is>
          <t>SEPT</t>
        </is>
      </c>
      <c r="L2" s="5" t="inlineStr">
        <is>
          <t>OCT</t>
        </is>
      </c>
      <c r="M2" s="5" t="inlineStr">
        <is>
          <t>NOV</t>
        </is>
      </c>
      <c r="N2" s="5" t="inlineStr">
        <is>
          <t>DEC</t>
        </is>
      </c>
      <c r="O2" s="5" t="inlineStr">
        <is>
          <t>2025 YR TOTAL</t>
        </is>
      </c>
    </row>
    <row r="3">
      <c r="B3" t="inlineStr">
        <is>
          <t>STR / RENTAL INCOME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s="3" t="n">
        <v>3479.6</v>
      </c>
      <c r="I3" s="3" t="n">
        <v>3180.81</v>
      </c>
      <c r="J3" s="3" t="n">
        <v>1757.5</v>
      </c>
      <c r="K3" s="3" t="n">
        <v>2690.16</v>
      </c>
      <c r="L3" s="3" t="n">
        <v>1261.64</v>
      </c>
      <c r="M3" s="3" t="n">
        <v>1509.84</v>
      </c>
      <c r="N3" t="n">
        <v>0</v>
      </c>
      <c r="O3">
        <f>SUM(C3:N3)</f>
        <v/>
      </c>
    </row>
    <row r="4">
      <c r="B4" t="inlineStr">
        <is>
          <t>OTHER INCOME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>
        <f>SUM(C4:N4)</f>
        <v/>
      </c>
    </row>
    <row r="5">
      <c r="B5" t="inlineStr">
        <is>
          <t>GROSS RENTAL INCOME</t>
        </is>
      </c>
      <c r="C5">
        <f>SUM(C3:C4)</f>
        <v/>
      </c>
      <c r="D5">
        <f>SUM(D3:D4)</f>
        <v/>
      </c>
      <c r="E5">
        <f>SUM(E3:E4)</f>
        <v/>
      </c>
      <c r="F5">
        <f>SUM(F3:F4)</f>
        <v/>
      </c>
      <c r="G5">
        <f>SUM(G3:G4)</f>
        <v/>
      </c>
      <c r="H5">
        <f>SUM(H3:H4)</f>
        <v/>
      </c>
      <c r="I5">
        <f>SUM(I3:I4)</f>
        <v/>
      </c>
      <c r="J5">
        <f>SUM(J3:J4)</f>
        <v/>
      </c>
      <c r="K5">
        <f>SUM(K3:K4)</f>
        <v/>
      </c>
      <c r="L5">
        <f>SUM(L3:L4)</f>
        <v/>
      </c>
      <c r="M5">
        <f>SUM(M3:M4)</f>
        <v/>
      </c>
      <c r="N5">
        <f>SUM(N3:N4)</f>
        <v/>
      </c>
      <c r="O5">
        <f>SUM(C5:N5)</f>
        <v/>
      </c>
    </row>
    <row r="7">
      <c r="B7" t="inlineStr">
        <is>
          <t>EXPENSES</t>
        </is>
      </c>
      <c r="C7" s="5" t="inlineStr">
        <is>
          <t>JAN</t>
        </is>
      </c>
      <c r="D7" s="5" t="inlineStr">
        <is>
          <t>FEB</t>
        </is>
      </c>
      <c r="E7" s="5" t="inlineStr">
        <is>
          <t>MAR</t>
        </is>
      </c>
      <c r="F7" s="5" t="inlineStr">
        <is>
          <t>APR</t>
        </is>
      </c>
      <c r="G7" s="5" t="inlineStr">
        <is>
          <t>MAY</t>
        </is>
      </c>
      <c r="H7" s="5" t="inlineStr">
        <is>
          <t>JUN</t>
        </is>
      </c>
      <c r="I7" s="5" t="inlineStr">
        <is>
          <t>JUL</t>
        </is>
      </c>
      <c r="J7" s="5" t="inlineStr">
        <is>
          <t>AUG</t>
        </is>
      </c>
      <c r="K7" s="5" t="inlineStr">
        <is>
          <t>SEPT</t>
        </is>
      </c>
      <c r="L7" s="5" t="inlineStr">
        <is>
          <t>OCT</t>
        </is>
      </c>
      <c r="M7" s="5" t="inlineStr">
        <is>
          <t>NOV</t>
        </is>
      </c>
      <c r="N7" s="5" t="inlineStr">
        <is>
          <t>DEC</t>
        </is>
      </c>
      <c r="O7" s="5" t="inlineStr">
        <is>
          <t>2025 YR TOTAL</t>
        </is>
      </c>
    </row>
    <row r="8">
      <c r="B8" t="inlineStr">
        <is>
          <t>MARKETING / ADVERTISING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>
        <f>SUM(C8:N8)</f>
        <v/>
      </c>
    </row>
    <row r="9">
      <c r="B9" t="inlineStr">
        <is>
          <t>SERVICE FEES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>
        <f>SUM(C9:N9)</f>
        <v/>
      </c>
    </row>
    <row r="10">
      <c r="B10" t="inlineStr">
        <is>
          <t>REMITTED TAX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>
        <f>SUM(C10:N10)</f>
        <v/>
      </c>
    </row>
    <row r="11">
      <c r="B11" t="inlineStr">
        <is>
          <t>INSURANCE</t>
        </is>
      </c>
      <c r="C11" s="21" t="n">
        <v>0</v>
      </c>
      <c r="D11" s="22" t="n">
        <v>145.25</v>
      </c>
      <c r="E11" s="22" t="n">
        <v>151.38</v>
      </c>
      <c r="F11" s="22" t="n">
        <v>151.38</v>
      </c>
      <c r="G11" s="22" t="n">
        <v>151.38</v>
      </c>
      <c r="H11" s="22" t="n">
        <v>151.38</v>
      </c>
      <c r="I11" s="22" t="n">
        <v>151.38</v>
      </c>
      <c r="J11" s="22" t="n">
        <v>154.13</v>
      </c>
      <c r="K11" s="21" t="n">
        <v>0</v>
      </c>
      <c r="L11" s="21" t="n">
        <v>0</v>
      </c>
      <c r="M11" s="21" t="n">
        <v>0</v>
      </c>
      <c r="N11" s="21" t="n">
        <v>0</v>
      </c>
      <c r="O11">
        <f>SUM(C11:N11)</f>
        <v/>
      </c>
    </row>
    <row r="12">
      <c r="B12" t="inlineStr">
        <is>
          <t>INTERIOR MAINTENANCE</t>
        </is>
      </c>
      <c r="C12" s="22" t="n">
        <v>7.46</v>
      </c>
      <c r="D12" s="21" t="n">
        <v>0</v>
      </c>
      <c r="E12" s="22" t="n">
        <v>52.78</v>
      </c>
      <c r="F12" s="22" t="n">
        <v>131.4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2" t="n">
        <v>45.6</v>
      </c>
      <c r="M12" s="22" t="n">
        <v>12.63</v>
      </c>
      <c r="N12" s="21" t="n">
        <v>0</v>
      </c>
      <c r="O12">
        <f>SUM(C12:N12)</f>
        <v/>
      </c>
    </row>
    <row r="13">
      <c r="B13" t="inlineStr">
        <is>
          <t>EXTERIOR REPAIRS</t>
        </is>
      </c>
      <c r="C13" s="21" t="n">
        <v>0</v>
      </c>
      <c r="D13" s="21" t="n">
        <v>0</v>
      </c>
      <c r="E13" s="22" t="n">
        <v>73.09999999999999</v>
      </c>
      <c r="F13" s="22" t="n">
        <v>60.95</v>
      </c>
      <c r="G13" s="22" t="n">
        <v>445.2</v>
      </c>
      <c r="H13" s="22" t="n">
        <v>60.95</v>
      </c>
      <c r="I13" s="22" t="n">
        <v>160.02</v>
      </c>
      <c r="J13" s="22" t="n">
        <v>77.48999999999999</v>
      </c>
      <c r="K13" s="22" t="n">
        <v>249</v>
      </c>
      <c r="L13" s="22" t="n">
        <v>68.70999999999999</v>
      </c>
      <c r="M13" s="21" t="n">
        <v>0</v>
      </c>
      <c r="N13" s="21" t="n">
        <v>0</v>
      </c>
      <c r="O13">
        <f>SUM(C13:N13)</f>
        <v/>
      </c>
    </row>
    <row r="14">
      <c r="B14" t="inlineStr">
        <is>
          <t>VILLAGE WATER AND REFUSE</t>
        </is>
      </c>
      <c r="C14" s="21" t="n">
        <v>0</v>
      </c>
      <c r="D14" s="22" t="n">
        <v>100.56</v>
      </c>
      <c r="E14" s="21" t="n">
        <v>0</v>
      </c>
      <c r="F14" s="22" t="n">
        <v>90.68000000000001</v>
      </c>
      <c r="G14" s="21" t="n">
        <v>0</v>
      </c>
      <c r="H14" s="22" t="n">
        <v>112.84</v>
      </c>
      <c r="I14" s="21" t="n">
        <v>0</v>
      </c>
      <c r="J14" s="22" t="n">
        <v>137.64</v>
      </c>
      <c r="K14" s="21" t="n">
        <v>0</v>
      </c>
      <c r="L14" s="22" t="n">
        <v>132.77</v>
      </c>
      <c r="M14" s="21" t="n">
        <v>0</v>
      </c>
      <c r="N14" s="21" t="n">
        <v>0</v>
      </c>
      <c r="O14">
        <f>SUM(C14:N14)</f>
        <v/>
      </c>
    </row>
    <row r="15">
      <c r="B15" t="inlineStr">
        <is>
          <t>GAS</t>
        </is>
      </c>
      <c r="C15" s="22" t="n">
        <v>39.7</v>
      </c>
      <c r="D15" s="22" t="n">
        <v>31.37</v>
      </c>
      <c r="E15" s="22" t="n">
        <v>32.09</v>
      </c>
      <c r="F15" s="22" t="n">
        <v>26.31</v>
      </c>
      <c r="G15" s="22" t="n">
        <v>25.41</v>
      </c>
      <c r="H15" s="22" t="n">
        <v>24.17</v>
      </c>
      <c r="I15" s="22" t="n">
        <v>23.53</v>
      </c>
      <c r="J15" s="22" t="n">
        <v>22.7</v>
      </c>
      <c r="K15" s="22" t="n">
        <v>22.71</v>
      </c>
      <c r="L15" s="22" t="n">
        <v>22.72</v>
      </c>
      <c r="M15" s="21" t="n">
        <v>0</v>
      </c>
      <c r="N15" s="22" t="n">
        <v>53.71</v>
      </c>
      <c r="O15">
        <f>SUM(C15:N15)</f>
        <v/>
      </c>
    </row>
    <row r="16">
      <c r="B16" t="inlineStr">
        <is>
          <t>ELECTRIC</t>
        </is>
      </c>
      <c r="C16" s="22" t="n">
        <v>59.04</v>
      </c>
      <c r="D16" s="22" t="n">
        <v>57.47</v>
      </c>
      <c r="E16" s="22" t="n">
        <v>49.15</v>
      </c>
      <c r="F16" s="22" t="n">
        <v>54.52</v>
      </c>
      <c r="G16" s="22" t="n">
        <v>49.73</v>
      </c>
      <c r="H16" s="22" t="n">
        <v>57.54</v>
      </c>
      <c r="I16" s="22" t="n">
        <v>109</v>
      </c>
      <c r="J16" s="22" t="n">
        <v>123.54</v>
      </c>
      <c r="K16" s="22" t="n">
        <v>106.93</v>
      </c>
      <c r="L16" s="22" t="n">
        <v>62.88</v>
      </c>
      <c r="M16" s="22" t="n">
        <v>46.47</v>
      </c>
      <c r="N16" s="22" t="n">
        <v>52.88</v>
      </c>
      <c r="O16">
        <f>SUM(C16:N16)</f>
        <v/>
      </c>
    </row>
    <row r="17">
      <c r="B17" t="inlineStr">
        <is>
          <t>INTERNET</t>
        </is>
      </c>
      <c r="C17" s="22" t="n">
        <v>45</v>
      </c>
      <c r="D17" s="22" t="n">
        <v>45</v>
      </c>
      <c r="E17" s="22" t="n">
        <v>45</v>
      </c>
      <c r="F17" s="22" t="n">
        <v>45</v>
      </c>
      <c r="G17" s="22" t="n">
        <v>50</v>
      </c>
      <c r="H17" s="22" t="n">
        <v>50</v>
      </c>
      <c r="I17" s="22" t="n">
        <v>50</v>
      </c>
      <c r="J17" s="22" t="n">
        <v>50</v>
      </c>
      <c r="K17" s="22" t="n">
        <v>50</v>
      </c>
      <c r="L17" s="22" t="n">
        <v>50</v>
      </c>
      <c r="M17" s="22" t="n">
        <v>50</v>
      </c>
      <c r="N17" s="21" t="n">
        <v>0</v>
      </c>
      <c r="O17">
        <f>SUM(C17:N17)</f>
        <v/>
      </c>
    </row>
    <row r="18">
      <c r="B18" t="inlineStr">
        <is>
          <t>CLEANING / TURNOVER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>
        <f>SUM(C18:N18)</f>
        <v/>
      </c>
    </row>
    <row r="19">
      <c r="B19" t="inlineStr">
        <is>
          <t>SUPPLIES</t>
        </is>
      </c>
      <c r="C19" s="22" t="n">
        <v>110.8</v>
      </c>
      <c r="D19" s="21" t="n">
        <v>0</v>
      </c>
      <c r="E19" s="22" t="n">
        <v>92.95999999999999</v>
      </c>
      <c r="F19" s="22" t="n">
        <v>105.25</v>
      </c>
      <c r="G19" s="21" t="n">
        <v>0</v>
      </c>
      <c r="H19" s="22" t="n">
        <v>68.73</v>
      </c>
      <c r="I19" s="22" t="n">
        <v>128.37</v>
      </c>
      <c r="J19" s="22" t="n">
        <v>176.17</v>
      </c>
      <c r="K19" s="22" t="n">
        <v>108.93</v>
      </c>
      <c r="L19" s="21" t="n">
        <v>0</v>
      </c>
      <c r="M19" s="21" t="n">
        <v>0</v>
      </c>
      <c r="N19" s="21" t="n">
        <v>0</v>
      </c>
      <c r="O19">
        <f>SUM(C19:N19)</f>
        <v/>
      </c>
    </row>
    <row r="20">
      <c r="B20" t="inlineStr">
        <is>
          <t>EQUIPMENT/APPLIANCE PURCHASES</t>
        </is>
      </c>
      <c r="C20" s="21" t="n">
        <v>0</v>
      </c>
      <c r="D20" s="21" t="n">
        <v>0</v>
      </c>
      <c r="E20" s="22" t="n">
        <v>73.23999999999999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2" t="n">
        <v>82.27</v>
      </c>
      <c r="L20" s="21" t="n">
        <v>0</v>
      </c>
      <c r="M20" s="21" t="n">
        <v>0</v>
      </c>
      <c r="N20" s="21" t="n">
        <v>0</v>
      </c>
      <c r="O20">
        <f>SUM(C20:N20)</f>
        <v/>
      </c>
    </row>
    <row r="21">
      <c r="B21" t="inlineStr">
        <is>
          <t>LAND TAX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>
        <f>SUM(C21:N21)</f>
        <v/>
      </c>
    </row>
    <row r="22">
      <c r="B22" t="inlineStr">
        <is>
          <t>LOANS INTEREST (from 1098)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>
        <f>SUM(C22:N22)</f>
        <v/>
      </c>
    </row>
    <row r="23">
      <c r="B23" t="inlineStr">
        <is>
          <t>MORTGAGE (cash P+I — memo only)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>
        <f>SUM(C23:N23)</f>
        <v/>
      </c>
    </row>
    <row r="24">
      <c r="B24" t="inlineStr">
        <is>
          <t>HOA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>
        <f>SUM(C24:N24)</f>
        <v/>
      </c>
    </row>
    <row r="25">
      <c r="B25" t="inlineStr">
        <is>
          <t>OTHER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>
        <f>SUM(C25:N25)</f>
        <v/>
      </c>
    </row>
    <row r="26">
      <c r="B26" t="inlineStr">
        <is>
          <t>TOTAL EXPENSES</t>
        </is>
      </c>
      <c r="C26">
        <f>SUM(C8:C25)</f>
        <v/>
      </c>
      <c r="D26">
        <f>SUM(D8:D25)</f>
        <v/>
      </c>
      <c r="E26">
        <f>SUM(E8:E25)</f>
        <v/>
      </c>
      <c r="F26">
        <f>SUM(F8:F25)</f>
        <v/>
      </c>
      <c r="G26">
        <f>SUM(G8:G25)</f>
        <v/>
      </c>
      <c r="H26">
        <f>SUM(H8:H25)</f>
        <v/>
      </c>
      <c r="I26">
        <f>SUM(I8:I25)</f>
        <v/>
      </c>
      <c r="J26">
        <f>SUM(J8:J25)</f>
        <v/>
      </c>
      <c r="K26">
        <f>SUM(K8:K25)</f>
        <v/>
      </c>
      <c r="L26">
        <f>SUM(L8:L25)</f>
        <v/>
      </c>
      <c r="M26">
        <f>SUM(M8:M25)</f>
        <v/>
      </c>
      <c r="N26">
        <f>SUM(N8:N25)</f>
        <v/>
      </c>
      <c r="O26">
        <f>SUM(C26:N26)</f>
        <v/>
      </c>
    </row>
    <row r="28">
      <c r="B28" t="inlineStr">
        <is>
          <t>YEAR-TO-DATE INCOME LESS EXPENSES</t>
        </is>
      </c>
      <c r="C28">
        <f>C5-C26</f>
        <v/>
      </c>
      <c r="D28">
        <f>D5-D26</f>
        <v/>
      </c>
      <c r="E28">
        <f>E5-E26</f>
        <v/>
      </c>
      <c r="F28">
        <f>F5-F26</f>
        <v/>
      </c>
      <c r="G28">
        <f>G5-G26</f>
        <v/>
      </c>
      <c r="H28">
        <f>H5-H26</f>
        <v/>
      </c>
      <c r="I28">
        <f>I5-I26</f>
        <v/>
      </c>
      <c r="J28">
        <f>J5-J26</f>
        <v/>
      </c>
      <c r="K28">
        <f>K5-K26</f>
        <v/>
      </c>
      <c r="L28">
        <f>L5-L26</f>
        <v/>
      </c>
      <c r="M28">
        <f>M5-M26</f>
        <v/>
      </c>
      <c r="N28">
        <f>N5-N26</f>
        <v/>
      </c>
      <c r="O28">
        <f>SUM(C28:N28)</f>
        <v/>
      </c>
    </row>
    <row r="30" ht="60" customHeight="1">
      <c r="B30" s="23" t="inlineStr">
        <is>
          <t>CC starting point: Prime Nicor SMALLER bill = Unit 2 gas (2024 U2 was $21–62); Prime ATT $45–50 = internet (2024 U2 $50); Grove = supplies; Schauer/Rubio = interior; TruGreen+Alsip+Good Earth = exterior/yard; Aquasana = equipment; water 50/50 with Unit 1; State Farm 50/50; ComEd Jacob Coley from checking (not CC). Home Depot/Lowe's/IKEA HELD — see CC_LEDGER. Income green = Monarch STR deposits vs PLATFORM net $17,086.94.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30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B1" t="inlineStr">
        <is>
          <t>PROPERTY ADDRESS</t>
        </is>
      </c>
      <c r="C1" t="inlineStr">
        <is>
          <t>524 Ferdinand Avenue, Unit 1 (residence through sale 2025-12-18)</t>
        </is>
      </c>
    </row>
    <row r="2">
      <c r="B2" t="inlineStr">
        <is>
          <t>INCOME</t>
        </is>
      </c>
      <c r="C2" s="5" t="inlineStr">
        <is>
          <t>JAN</t>
        </is>
      </c>
      <c r="D2" s="5" t="inlineStr">
        <is>
          <t>FEB</t>
        </is>
      </c>
      <c r="E2" s="5" t="inlineStr">
        <is>
          <t>MAR</t>
        </is>
      </c>
      <c r="F2" s="5" t="inlineStr">
        <is>
          <t>APR</t>
        </is>
      </c>
      <c r="G2" s="5" t="inlineStr">
        <is>
          <t>MAY</t>
        </is>
      </c>
      <c r="H2" s="5" t="inlineStr">
        <is>
          <t>JUN</t>
        </is>
      </c>
      <c r="I2" s="5" t="inlineStr">
        <is>
          <t>JUL</t>
        </is>
      </c>
      <c r="J2" s="5" t="inlineStr">
        <is>
          <t>AUG</t>
        </is>
      </c>
      <c r="K2" s="5" t="inlineStr">
        <is>
          <t>SEPT</t>
        </is>
      </c>
      <c r="L2" s="5" t="inlineStr">
        <is>
          <t>OCT</t>
        </is>
      </c>
      <c r="M2" s="5" t="inlineStr">
        <is>
          <t>NOV</t>
        </is>
      </c>
      <c r="N2" s="5" t="inlineStr">
        <is>
          <t>DEC</t>
        </is>
      </c>
      <c r="O2" s="5" t="inlineStr">
        <is>
          <t>2025 YR TOTAL</t>
        </is>
      </c>
    </row>
    <row r="3">
      <c r="B3" t="inlineStr">
        <is>
          <t>STR / RENTAL INCOME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>
        <f>SUM(C3:N3)</f>
        <v/>
      </c>
    </row>
    <row r="4">
      <c r="B4" t="inlineStr">
        <is>
          <t>OTHER INCOME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>
        <f>SUM(C4:N4)</f>
        <v/>
      </c>
    </row>
    <row r="5">
      <c r="B5" t="inlineStr">
        <is>
          <t>GROSS RENTAL INCOME</t>
        </is>
      </c>
      <c r="C5">
        <f>SUM(C3:C4)</f>
        <v/>
      </c>
      <c r="D5">
        <f>SUM(D3:D4)</f>
        <v/>
      </c>
      <c r="E5">
        <f>SUM(E3:E4)</f>
        <v/>
      </c>
      <c r="F5">
        <f>SUM(F3:F4)</f>
        <v/>
      </c>
      <c r="G5">
        <f>SUM(G3:G4)</f>
        <v/>
      </c>
      <c r="H5">
        <f>SUM(H3:H4)</f>
        <v/>
      </c>
      <c r="I5">
        <f>SUM(I3:I4)</f>
        <v/>
      </c>
      <c r="J5">
        <f>SUM(J3:J4)</f>
        <v/>
      </c>
      <c r="K5">
        <f>SUM(K3:K4)</f>
        <v/>
      </c>
      <c r="L5">
        <f>SUM(L3:L4)</f>
        <v/>
      </c>
      <c r="M5">
        <f>SUM(M3:M4)</f>
        <v/>
      </c>
      <c r="N5">
        <f>SUM(N3:N4)</f>
        <v/>
      </c>
      <c r="O5">
        <f>SUM(C5:N5)</f>
        <v/>
      </c>
    </row>
    <row r="7">
      <c r="B7" t="inlineStr">
        <is>
          <t>EXPENSES</t>
        </is>
      </c>
      <c r="C7" s="5" t="inlineStr">
        <is>
          <t>JAN</t>
        </is>
      </c>
      <c r="D7" s="5" t="inlineStr">
        <is>
          <t>FEB</t>
        </is>
      </c>
      <c r="E7" s="5" t="inlineStr">
        <is>
          <t>MAR</t>
        </is>
      </c>
      <c r="F7" s="5" t="inlineStr">
        <is>
          <t>APR</t>
        </is>
      </c>
      <c r="G7" s="5" t="inlineStr">
        <is>
          <t>MAY</t>
        </is>
      </c>
      <c r="H7" s="5" t="inlineStr">
        <is>
          <t>JUN</t>
        </is>
      </c>
      <c r="I7" s="5" t="inlineStr">
        <is>
          <t>JUL</t>
        </is>
      </c>
      <c r="J7" s="5" t="inlineStr">
        <is>
          <t>AUG</t>
        </is>
      </c>
      <c r="K7" s="5" t="inlineStr">
        <is>
          <t>SEPT</t>
        </is>
      </c>
      <c r="L7" s="5" t="inlineStr">
        <is>
          <t>OCT</t>
        </is>
      </c>
      <c r="M7" s="5" t="inlineStr">
        <is>
          <t>NOV</t>
        </is>
      </c>
      <c r="N7" s="5" t="inlineStr">
        <is>
          <t>DEC</t>
        </is>
      </c>
      <c r="O7" s="5" t="inlineStr">
        <is>
          <t>2025 YR TOTAL</t>
        </is>
      </c>
    </row>
    <row r="8">
      <c r="B8" t="inlineStr">
        <is>
          <t>MARKETING / ADVERTISING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>
        <f>SUM(C8:N8)</f>
        <v/>
      </c>
    </row>
    <row r="9">
      <c r="B9" t="inlineStr">
        <is>
          <t>SERVICE FEES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>
        <f>SUM(C9:N9)</f>
        <v/>
      </c>
    </row>
    <row r="10">
      <c r="B10" t="inlineStr">
        <is>
          <t>REMITTED TAX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>
        <f>SUM(C10:N10)</f>
        <v/>
      </c>
    </row>
    <row r="11">
      <c r="B11" t="inlineStr">
        <is>
          <t>INSURANCE</t>
        </is>
      </c>
      <c r="C11" s="21" t="n">
        <v>0</v>
      </c>
      <c r="D11" s="22" t="n">
        <v>157.53</v>
      </c>
      <c r="E11" s="22" t="n">
        <v>151.37</v>
      </c>
      <c r="F11" s="22" t="n">
        <v>151.37</v>
      </c>
      <c r="G11" s="22" t="n">
        <v>151.37</v>
      </c>
      <c r="H11" s="22" t="n">
        <v>151.37</v>
      </c>
      <c r="I11" s="22" t="n">
        <v>151.37</v>
      </c>
      <c r="J11" s="22" t="n">
        <v>154.13</v>
      </c>
      <c r="K11" s="21" t="n">
        <v>0</v>
      </c>
      <c r="L11" s="21" t="n">
        <v>0</v>
      </c>
      <c r="M11" s="21" t="n">
        <v>0</v>
      </c>
      <c r="N11" s="21" t="n">
        <v>0</v>
      </c>
      <c r="O11">
        <f>SUM(C11:N11)</f>
        <v/>
      </c>
    </row>
    <row r="12">
      <c r="B12" t="inlineStr">
        <is>
          <t>INTERIOR MAINTENANCE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>
        <f>SUM(C12:N12)</f>
        <v/>
      </c>
    </row>
    <row r="13">
      <c r="B13" t="inlineStr">
        <is>
          <t>EXTERIOR REPAIRS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>
        <f>SUM(C13:N13)</f>
        <v/>
      </c>
    </row>
    <row r="14">
      <c r="B14" t="inlineStr">
        <is>
          <t>VILLAGE WATER AND REFUSE</t>
        </is>
      </c>
      <c r="C14" s="21" t="n">
        <v>0</v>
      </c>
      <c r="D14" s="22" t="n">
        <v>100.55</v>
      </c>
      <c r="E14" s="21" t="n">
        <v>0</v>
      </c>
      <c r="F14" s="22" t="n">
        <v>90.67</v>
      </c>
      <c r="G14" s="21" t="n">
        <v>0</v>
      </c>
      <c r="H14" s="22" t="n">
        <v>112.83</v>
      </c>
      <c r="I14" s="21" t="n">
        <v>0</v>
      </c>
      <c r="J14" s="22" t="n">
        <v>137.63</v>
      </c>
      <c r="K14" s="21" t="n">
        <v>0</v>
      </c>
      <c r="L14" s="22" t="n">
        <v>132.76</v>
      </c>
      <c r="M14" s="21" t="n">
        <v>0</v>
      </c>
      <c r="N14" s="21" t="n">
        <v>0</v>
      </c>
      <c r="O14">
        <f>SUM(C14:N14)</f>
        <v/>
      </c>
    </row>
    <row r="15">
      <c r="B15" t="inlineStr">
        <is>
          <t>GAS</t>
        </is>
      </c>
      <c r="C15" s="22" t="n">
        <v>98.56999999999999</v>
      </c>
      <c r="D15" s="22" t="n">
        <v>133.33</v>
      </c>
      <c r="E15" s="22" t="n">
        <v>115.82</v>
      </c>
      <c r="F15" s="22" t="n">
        <v>77.8</v>
      </c>
      <c r="G15" s="22" t="n">
        <v>79.95</v>
      </c>
      <c r="H15" s="22" t="n">
        <v>48.08</v>
      </c>
      <c r="I15" s="21" t="n">
        <v>0</v>
      </c>
      <c r="J15" s="22" t="n">
        <v>79.33</v>
      </c>
      <c r="K15" s="22" t="n">
        <v>36.25</v>
      </c>
      <c r="L15" s="22" t="n">
        <v>38.22</v>
      </c>
      <c r="M15" s="21" t="n">
        <v>0</v>
      </c>
      <c r="N15" s="22" t="n">
        <v>139.35</v>
      </c>
      <c r="O15">
        <f>SUM(C15:N15)</f>
        <v/>
      </c>
    </row>
    <row r="16">
      <c r="B16" t="inlineStr">
        <is>
          <t>ELECTRIC</t>
        </is>
      </c>
      <c r="C16" s="22" t="n">
        <v>132.94</v>
      </c>
      <c r="D16" s="22" t="n">
        <v>216.44</v>
      </c>
      <c r="E16" s="22" t="n">
        <v>184.09</v>
      </c>
      <c r="F16" s="22" t="n">
        <v>60.95</v>
      </c>
      <c r="G16" s="22" t="n">
        <v>83.76000000000001</v>
      </c>
      <c r="H16" s="22" t="n">
        <v>69.69</v>
      </c>
      <c r="I16" s="22" t="n">
        <v>164.88</v>
      </c>
      <c r="J16" s="22" t="n">
        <v>203.43</v>
      </c>
      <c r="K16" s="22" t="n">
        <v>187.63</v>
      </c>
      <c r="L16" s="22" t="n">
        <v>139.78</v>
      </c>
      <c r="M16" s="22" t="n">
        <v>71.29000000000001</v>
      </c>
      <c r="N16" s="22" t="n">
        <v>50.38</v>
      </c>
      <c r="O16">
        <f>SUM(C16:N16)</f>
        <v/>
      </c>
    </row>
    <row r="17">
      <c r="B17" t="inlineStr">
        <is>
          <t>INTERNET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>
        <f>SUM(C17:N17)</f>
        <v/>
      </c>
    </row>
    <row r="18">
      <c r="B18" t="inlineStr">
        <is>
          <t>CLEANING / TURNOVER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>
        <f>SUM(C18:N18)</f>
        <v/>
      </c>
    </row>
    <row r="19">
      <c r="B19" t="inlineStr">
        <is>
          <t>SUPPLIES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>
        <f>SUM(C19:N19)</f>
        <v/>
      </c>
    </row>
    <row r="20">
      <c r="B20" t="inlineStr">
        <is>
          <t>EQUIPMENT/APPLIANCE PURCHASES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>
        <f>SUM(C20:N20)</f>
        <v/>
      </c>
    </row>
    <row r="21">
      <c r="B21" t="inlineStr">
        <is>
          <t>LAND TAX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>
        <f>SUM(C21:N21)</f>
        <v/>
      </c>
    </row>
    <row r="22">
      <c r="B22" t="inlineStr">
        <is>
          <t>LOANS INTEREST (from 1098)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>
        <f>SUM(C22:N22)</f>
        <v/>
      </c>
    </row>
    <row r="23">
      <c r="B23" t="inlineStr">
        <is>
          <t>MORTGAGE (cash P+I — memo only)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>
        <f>SUM(C23:N23)</f>
        <v/>
      </c>
    </row>
    <row r="24">
      <c r="B24" t="inlineStr">
        <is>
          <t>HOA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>
        <f>SUM(C24:N24)</f>
        <v/>
      </c>
    </row>
    <row r="25">
      <c r="B25" t="inlineStr">
        <is>
          <t>OTHER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>
        <f>SUM(C25:N25)</f>
        <v/>
      </c>
    </row>
    <row r="26">
      <c r="B26" t="inlineStr">
        <is>
          <t>TOTAL EXPENSES</t>
        </is>
      </c>
      <c r="C26">
        <f>SUM(C8:C25)</f>
        <v/>
      </c>
      <c r="D26">
        <f>SUM(D8:D25)</f>
        <v/>
      </c>
      <c r="E26">
        <f>SUM(E8:E25)</f>
        <v/>
      </c>
      <c r="F26">
        <f>SUM(F8:F25)</f>
        <v/>
      </c>
      <c r="G26">
        <f>SUM(G8:G25)</f>
        <v/>
      </c>
      <c r="H26">
        <f>SUM(H8:H25)</f>
        <v/>
      </c>
      <c r="I26">
        <f>SUM(I8:I25)</f>
        <v/>
      </c>
      <c r="J26">
        <f>SUM(J8:J25)</f>
        <v/>
      </c>
      <c r="K26">
        <f>SUM(K8:K25)</f>
        <v/>
      </c>
      <c r="L26">
        <f>SUM(L8:L25)</f>
        <v/>
      </c>
      <c r="M26">
        <f>SUM(M8:M25)</f>
        <v/>
      </c>
      <c r="N26">
        <f>SUM(N8:N25)</f>
        <v/>
      </c>
      <c r="O26">
        <f>SUM(C26:N26)</f>
        <v/>
      </c>
    </row>
    <row r="28">
      <c r="B28" t="inlineStr">
        <is>
          <t>YEAR-TO-DATE INCOME LESS EXPENSES</t>
        </is>
      </c>
      <c r="C28">
        <f>C5-C26</f>
        <v/>
      </c>
      <c r="D28">
        <f>D5-D26</f>
        <v/>
      </c>
      <c r="E28">
        <f>E5-E26</f>
        <v/>
      </c>
      <c r="F28">
        <f>F5-F26</f>
        <v/>
      </c>
      <c r="G28">
        <f>G5-G26</f>
        <v/>
      </c>
      <c r="H28">
        <f>H5-H26</f>
        <v/>
      </c>
      <c r="I28">
        <f>I5-I26</f>
        <v/>
      </c>
      <c r="J28">
        <f>J5-J26</f>
        <v/>
      </c>
      <c r="K28">
        <f>K5-K26</f>
        <v/>
      </c>
      <c r="L28">
        <f>L5-L26</f>
        <v/>
      </c>
      <c r="M28">
        <f>M5-M26</f>
        <v/>
      </c>
      <c r="N28">
        <f>N5-N26</f>
        <v/>
      </c>
      <c r="O28">
        <f>SUM(C28:N28)</f>
        <v/>
      </c>
    </row>
    <row r="30" ht="60" customHeight="1">
      <c r="B30" s="23" t="inlineStr">
        <is>
          <t>§121 residence through sale 2025-12-18. Starting point from Prime: Nicor LARGER seasonal bill = Unit 1 gas; ComEd Megan Gerrard = electric (checking, not CC); Village water 50/50; State Farm 50/50 (Feb larger policy). Internet left at $0 — Prime ATT $45–50 put on Unit 2 to match 2024 STR $50 (confirm if house-wide). Shared building costs may need CPA allocation vs Unit 2.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O30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B1" t="inlineStr">
        <is>
          <t>PROPERTY ADDRESS</t>
        </is>
      </c>
      <c r="C1" t="inlineStr">
        <is>
          <t>216 N. Oak Park Avenue #1Z (LTR)</t>
        </is>
      </c>
    </row>
    <row r="2">
      <c r="B2" t="inlineStr">
        <is>
          <t>INCOME</t>
        </is>
      </c>
      <c r="C2" s="5" t="inlineStr">
        <is>
          <t>JAN</t>
        </is>
      </c>
      <c r="D2" s="5" t="inlineStr">
        <is>
          <t>FEB</t>
        </is>
      </c>
      <c r="E2" s="5" t="inlineStr">
        <is>
          <t>MAR</t>
        </is>
      </c>
      <c r="F2" s="5" t="inlineStr">
        <is>
          <t>APR</t>
        </is>
      </c>
      <c r="G2" s="5" t="inlineStr">
        <is>
          <t>MAY</t>
        </is>
      </c>
      <c r="H2" s="5" t="inlineStr">
        <is>
          <t>JUN</t>
        </is>
      </c>
      <c r="I2" s="5" t="inlineStr">
        <is>
          <t>JUL</t>
        </is>
      </c>
      <c r="J2" s="5" t="inlineStr">
        <is>
          <t>AUG</t>
        </is>
      </c>
      <c r="K2" s="5" t="inlineStr">
        <is>
          <t>SEPT</t>
        </is>
      </c>
      <c r="L2" s="5" t="inlineStr">
        <is>
          <t>OCT</t>
        </is>
      </c>
      <c r="M2" s="5" t="inlineStr">
        <is>
          <t>NOV</t>
        </is>
      </c>
      <c r="N2" s="5" t="inlineStr">
        <is>
          <t>DEC</t>
        </is>
      </c>
      <c r="O2" s="5" t="inlineStr">
        <is>
          <t>2025 YR TOTAL</t>
        </is>
      </c>
    </row>
    <row r="3">
      <c r="B3" t="inlineStr">
        <is>
          <t>STR / RENTAL INCOME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>
        <f>SUM(C3:N3)</f>
        <v/>
      </c>
    </row>
    <row r="4">
      <c r="B4" t="inlineStr">
        <is>
          <t>OTHER INCOME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>
        <f>SUM(C4:N4)</f>
        <v/>
      </c>
    </row>
    <row r="5">
      <c r="B5" t="inlineStr">
        <is>
          <t>GROSS RENTAL INCOME</t>
        </is>
      </c>
      <c r="C5">
        <f>SUM(C3:C4)</f>
        <v/>
      </c>
      <c r="D5">
        <f>SUM(D3:D4)</f>
        <v/>
      </c>
      <c r="E5">
        <f>SUM(E3:E4)</f>
        <v/>
      </c>
      <c r="F5">
        <f>SUM(F3:F4)</f>
        <v/>
      </c>
      <c r="G5">
        <f>SUM(G3:G4)</f>
        <v/>
      </c>
      <c r="H5">
        <f>SUM(H3:H4)</f>
        <v/>
      </c>
      <c r="I5">
        <f>SUM(I3:I4)</f>
        <v/>
      </c>
      <c r="J5">
        <f>SUM(J3:J4)</f>
        <v/>
      </c>
      <c r="K5">
        <f>SUM(K3:K4)</f>
        <v/>
      </c>
      <c r="L5">
        <f>SUM(L3:L4)</f>
        <v/>
      </c>
      <c r="M5">
        <f>SUM(M3:M4)</f>
        <v/>
      </c>
      <c r="N5">
        <f>SUM(N3:N4)</f>
        <v/>
      </c>
      <c r="O5">
        <f>SUM(C5:N5)</f>
        <v/>
      </c>
    </row>
    <row r="7">
      <c r="B7" t="inlineStr">
        <is>
          <t>EXPENSES</t>
        </is>
      </c>
      <c r="C7" s="5" t="inlineStr">
        <is>
          <t>JAN</t>
        </is>
      </c>
      <c r="D7" s="5" t="inlineStr">
        <is>
          <t>FEB</t>
        </is>
      </c>
      <c r="E7" s="5" t="inlineStr">
        <is>
          <t>MAR</t>
        </is>
      </c>
      <c r="F7" s="5" t="inlineStr">
        <is>
          <t>APR</t>
        </is>
      </c>
      <c r="G7" s="5" t="inlineStr">
        <is>
          <t>MAY</t>
        </is>
      </c>
      <c r="H7" s="5" t="inlineStr">
        <is>
          <t>JUN</t>
        </is>
      </c>
      <c r="I7" s="5" t="inlineStr">
        <is>
          <t>JUL</t>
        </is>
      </c>
      <c r="J7" s="5" t="inlineStr">
        <is>
          <t>AUG</t>
        </is>
      </c>
      <c r="K7" s="5" t="inlineStr">
        <is>
          <t>SEPT</t>
        </is>
      </c>
      <c r="L7" s="5" t="inlineStr">
        <is>
          <t>OCT</t>
        </is>
      </c>
      <c r="M7" s="5" t="inlineStr">
        <is>
          <t>NOV</t>
        </is>
      </c>
      <c r="N7" s="5" t="inlineStr">
        <is>
          <t>DEC</t>
        </is>
      </c>
      <c r="O7" s="5" t="inlineStr">
        <is>
          <t>2025 YR TOTAL</t>
        </is>
      </c>
    </row>
    <row r="8">
      <c r="B8" t="inlineStr">
        <is>
          <t>MARKETING / ADVERTISING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>
        <f>SUM(C8:N8)</f>
        <v/>
      </c>
    </row>
    <row r="9">
      <c r="B9" t="inlineStr">
        <is>
          <t>SERVICE FEES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>
        <f>SUM(C9:N9)</f>
        <v/>
      </c>
    </row>
    <row r="10">
      <c r="B10" t="inlineStr">
        <is>
          <t>REMITTED TAX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>
        <f>SUM(C10:N10)</f>
        <v/>
      </c>
    </row>
    <row r="11">
      <c r="B11" t="inlineStr">
        <is>
          <t>INSURANCE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>
        <f>SUM(C11:N11)</f>
        <v/>
      </c>
    </row>
    <row r="12">
      <c r="B12" t="inlineStr">
        <is>
          <t>INTERIOR MAINTENANCE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>
        <f>SUM(C12:N12)</f>
        <v/>
      </c>
    </row>
    <row r="13">
      <c r="B13" t="inlineStr">
        <is>
          <t>EXTERIOR REPAIRS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>
        <f>SUM(C13:N13)</f>
        <v/>
      </c>
    </row>
    <row r="14">
      <c r="B14" t="inlineStr">
        <is>
          <t>VILLAGE WATER AND REFUSE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>
        <f>SUM(C14:N14)</f>
        <v/>
      </c>
    </row>
    <row r="15">
      <c r="B15" t="inlineStr">
        <is>
          <t>GAS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>
        <f>SUM(C15:N15)</f>
        <v/>
      </c>
    </row>
    <row r="16">
      <c r="B16" t="inlineStr">
        <is>
          <t>ELECTRIC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>
        <f>SUM(C16:N16)</f>
        <v/>
      </c>
    </row>
    <row r="17">
      <c r="B17" t="inlineStr">
        <is>
          <t>INTERNET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>
        <f>SUM(C17:N17)</f>
        <v/>
      </c>
    </row>
    <row r="18">
      <c r="B18" t="inlineStr">
        <is>
          <t>CLEANING / TURNOVER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>
        <f>SUM(C18:N18)</f>
        <v/>
      </c>
    </row>
    <row r="19">
      <c r="B19" t="inlineStr">
        <is>
          <t>SUPPLIES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>
        <f>SUM(C19:N19)</f>
        <v/>
      </c>
    </row>
    <row r="20">
      <c r="B20" t="inlineStr">
        <is>
          <t>EQUIPMENT/APPLIANCE PURCHASES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>
        <f>SUM(C20:N20)</f>
        <v/>
      </c>
    </row>
    <row r="21">
      <c r="B21" t="inlineStr">
        <is>
          <t>LAND TAX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>
        <f>SUM(C21:N21)</f>
        <v/>
      </c>
    </row>
    <row r="22">
      <c r="B22" t="inlineStr">
        <is>
          <t>LOANS INTEREST (from 1098)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>
        <f>SUM(C22:N22)</f>
        <v/>
      </c>
    </row>
    <row r="23">
      <c r="B23" t="inlineStr">
        <is>
          <t>MORTGAGE (cash P+I — memo only)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3" t="n">
        <v>1226.25</v>
      </c>
      <c r="J23" s="3" t="n">
        <v>1226.25</v>
      </c>
      <c r="K23" s="3" t="n">
        <v>1226.25</v>
      </c>
      <c r="L23" s="3" t="n">
        <v>1226.25</v>
      </c>
      <c r="M23" s="3" t="n">
        <v>1177.52</v>
      </c>
      <c r="N23" s="3" t="n">
        <v>1177.52</v>
      </c>
      <c r="O23">
        <f>SUM(C23:N23)</f>
        <v/>
      </c>
    </row>
    <row r="24">
      <c r="B24" t="inlineStr">
        <is>
          <t>HOA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s="3" t="n">
        <v>421.53</v>
      </c>
      <c r="I24" s="3" t="n">
        <v>421.53</v>
      </c>
      <c r="J24" s="3" t="n">
        <v>421.53</v>
      </c>
      <c r="K24" s="3" t="n">
        <v>421.53</v>
      </c>
      <c r="L24" s="3" t="n">
        <v>421.53</v>
      </c>
      <c r="M24" s="3" t="n">
        <v>421.53</v>
      </c>
      <c r="N24" s="3" t="n">
        <v>421.53</v>
      </c>
      <c r="O24">
        <f>SUM(C24:N24)</f>
        <v/>
      </c>
    </row>
    <row r="25">
      <c r="B25" t="inlineStr">
        <is>
          <t>OTHER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>
        <f>SUM(C25:N25)</f>
        <v/>
      </c>
    </row>
    <row r="26">
      <c r="B26" t="inlineStr">
        <is>
          <t>TOTAL EXPENSES</t>
        </is>
      </c>
      <c r="C26">
        <f>SUM(C8:C25)</f>
        <v/>
      </c>
      <c r="D26">
        <f>SUM(D8:D25)</f>
        <v/>
      </c>
      <c r="E26">
        <f>SUM(E8:E25)</f>
        <v/>
      </c>
      <c r="F26">
        <f>SUM(F8:F25)</f>
        <v/>
      </c>
      <c r="G26">
        <f>SUM(G8:G25)</f>
        <v/>
      </c>
      <c r="H26">
        <f>SUM(H8:H25)</f>
        <v/>
      </c>
      <c r="I26">
        <f>SUM(I8:I25)</f>
        <v/>
      </c>
      <c r="J26">
        <f>SUM(J8:J25)</f>
        <v/>
      </c>
      <c r="K26">
        <f>SUM(K8:K25)</f>
        <v/>
      </c>
      <c r="L26">
        <f>SUM(L8:L25)</f>
        <v/>
      </c>
      <c r="M26">
        <f>SUM(M8:M25)</f>
        <v/>
      </c>
      <c r="N26">
        <f>SUM(N8:N25)</f>
        <v/>
      </c>
      <c r="O26">
        <f>SUM(C26:N26)</f>
        <v/>
      </c>
    </row>
    <row r="28">
      <c r="B28" t="inlineStr">
        <is>
          <t>YEAR-TO-DATE INCOME LESS EXPENSES</t>
        </is>
      </c>
      <c r="C28">
        <f>C5-C26</f>
        <v/>
      </c>
      <c r="D28">
        <f>D5-D26</f>
        <v/>
      </c>
      <c r="E28">
        <f>E5-E26</f>
        <v/>
      </c>
      <c r="F28">
        <f>F5-F26</f>
        <v/>
      </c>
      <c r="G28">
        <f>G5-G26</f>
        <v/>
      </c>
      <c r="H28">
        <f>H5-H26</f>
        <v/>
      </c>
      <c r="I28">
        <f>I5-I26</f>
        <v/>
      </c>
      <c r="J28">
        <f>J5-J26</f>
        <v/>
      </c>
      <c r="K28">
        <f>K5-K26</f>
        <v/>
      </c>
      <c r="L28">
        <f>L5-L26</f>
        <v/>
      </c>
      <c r="M28">
        <f>M5-M26</f>
        <v/>
      </c>
      <c r="N28">
        <f>N5-N26</f>
        <v/>
      </c>
      <c r="O28">
        <f>SUM(C28:N28)</f>
        <v/>
      </c>
    </row>
    <row r="30">
      <c r="B30" s="4" t="inlineStr">
        <is>
          <t>HOA + Rocket payment cash from Monarch (green). Deduct interest from Rocket 1098 only — not full P+I. Rent income / vacant months / smoke detector TBD.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6" t="n">
        <v>2025</v>
      </c>
    </row>
    <row r="2">
      <c r="A2" t="inlineStr">
        <is>
          <t>INCOME</t>
        </is>
      </c>
      <c r="B2" s="5" t="inlineStr">
        <is>
          <t>JAN</t>
        </is>
      </c>
      <c r="C2" s="5" t="inlineStr">
        <is>
          <t>FEB</t>
        </is>
      </c>
      <c r="D2" s="5" t="inlineStr">
        <is>
          <t>MAR</t>
        </is>
      </c>
      <c r="E2" s="5" t="inlineStr">
        <is>
          <t>APR</t>
        </is>
      </c>
      <c r="F2" s="5" t="inlineStr">
        <is>
          <t>MAY</t>
        </is>
      </c>
      <c r="G2" s="5" t="inlineStr">
        <is>
          <t>JUN</t>
        </is>
      </c>
      <c r="H2" s="5" t="inlineStr">
        <is>
          <t>JUL</t>
        </is>
      </c>
      <c r="I2" s="5" t="inlineStr">
        <is>
          <t>AUG</t>
        </is>
      </c>
      <c r="J2" s="5" t="inlineStr">
        <is>
          <t>SEPT</t>
        </is>
      </c>
      <c r="K2" s="5" t="inlineStr">
        <is>
          <t>OCT</t>
        </is>
      </c>
      <c r="L2" s="5" t="inlineStr">
        <is>
          <t>NOV</t>
        </is>
      </c>
      <c r="M2" s="5" t="inlineStr">
        <is>
          <t>DEC</t>
        </is>
      </c>
      <c r="N2" s="5" t="inlineStr">
        <is>
          <t>YR TOTAL</t>
        </is>
      </c>
    </row>
    <row r="3">
      <c r="A3" t="inlineStr">
        <is>
          <t>Business Income (Mercury rollup — includes art deals)</t>
        </is>
      </c>
      <c r="B3" s="3" t="n">
        <v>15000</v>
      </c>
      <c r="C3" s="3" t="n">
        <v>30000</v>
      </c>
      <c r="D3" s="3" t="n">
        <v>14000</v>
      </c>
      <c r="E3" t="n">
        <v>0</v>
      </c>
      <c r="F3" s="3" t="n">
        <v>37200</v>
      </c>
      <c r="G3" s="3" t="n">
        <v>41895</v>
      </c>
      <c r="H3" s="3" t="n">
        <v>37034.79</v>
      </c>
      <c r="I3" s="3" t="n">
        <v>10000</v>
      </c>
      <c r="J3" s="3" t="n">
        <v>22261.27</v>
      </c>
      <c r="K3" s="3" t="n">
        <v>50670</v>
      </c>
      <c r="L3" s="3" t="n">
        <v>6000</v>
      </c>
      <c r="M3" t="n">
        <v>0</v>
      </c>
      <c r="N3">
        <f>SUM(B3:M3)</f>
        <v/>
      </c>
    </row>
    <row r="4">
      <c r="A4" t="inlineStr">
        <is>
          <t>Consultant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>
        <f>SUM(B4:M4)</f>
        <v/>
      </c>
    </row>
    <row r="5">
      <c r="A5" t="inlineStr">
        <is>
          <t>Total</t>
        </is>
      </c>
      <c r="B5">
        <f>SUM(B3:B4)</f>
        <v/>
      </c>
      <c r="C5">
        <f>SUM(C3:C4)</f>
        <v/>
      </c>
      <c r="D5">
        <f>SUM(D3:D4)</f>
        <v/>
      </c>
      <c r="E5">
        <f>SUM(E3:E4)</f>
        <v/>
      </c>
      <c r="F5">
        <f>SUM(F3:F4)</f>
        <v/>
      </c>
      <c r="G5">
        <f>SUM(G3:G4)</f>
        <v/>
      </c>
      <c r="H5">
        <f>SUM(H3:H4)</f>
        <v/>
      </c>
      <c r="I5">
        <f>SUM(I3:I4)</f>
        <v/>
      </c>
      <c r="J5">
        <f>SUM(J3:J4)</f>
        <v/>
      </c>
      <c r="K5">
        <f>SUM(K3:K4)</f>
        <v/>
      </c>
      <c r="L5">
        <f>SUM(L3:L4)</f>
        <v/>
      </c>
      <c r="M5">
        <f>SUM(M3:M4)</f>
        <v/>
      </c>
      <c r="N5">
        <f>SUM(B5:M5)</f>
        <v/>
      </c>
    </row>
    <row r="7">
      <c r="A7" t="inlineStr">
        <is>
          <t>EXPENSES</t>
        </is>
      </c>
      <c r="B7" s="5" t="inlineStr">
        <is>
          <t>JAN</t>
        </is>
      </c>
      <c r="C7" s="5" t="inlineStr">
        <is>
          <t>FEB</t>
        </is>
      </c>
      <c r="D7" s="5" t="inlineStr">
        <is>
          <t>MAR</t>
        </is>
      </c>
      <c r="E7" s="5" t="inlineStr">
        <is>
          <t>APR</t>
        </is>
      </c>
      <c r="F7" s="5" t="inlineStr">
        <is>
          <t>MAY</t>
        </is>
      </c>
      <c r="G7" s="5" t="inlineStr">
        <is>
          <t>JUN</t>
        </is>
      </c>
      <c r="H7" s="5" t="inlineStr">
        <is>
          <t>JUL</t>
        </is>
      </c>
      <c r="I7" s="5" t="inlineStr">
        <is>
          <t>AUG</t>
        </is>
      </c>
      <c r="J7" s="5" t="inlineStr">
        <is>
          <t>SEPT</t>
        </is>
      </c>
      <c r="K7" s="5" t="inlineStr">
        <is>
          <t>OCT</t>
        </is>
      </c>
      <c r="L7" s="5" t="inlineStr">
        <is>
          <t>NOV</t>
        </is>
      </c>
      <c r="M7" s="5" t="inlineStr">
        <is>
          <t>DEC</t>
        </is>
      </c>
      <c r="N7" s="5" t="inlineStr">
        <is>
          <t>YR TOTAL</t>
        </is>
      </c>
    </row>
    <row r="8">
      <c r="A8" t="inlineStr">
        <is>
          <t>Supplies (office and operating)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25">
        <f>SUM(B8:M8)</f>
        <v/>
      </c>
    </row>
    <row r="9">
      <c r="A9" t="inlineStr">
        <is>
          <t>Office Construction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25">
        <f>SUM(B9:M9)</f>
        <v/>
      </c>
    </row>
    <row r="10">
      <c r="A10" t="inlineStr">
        <is>
          <t>Office Interior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25">
        <f>SUM(B10:M10)</f>
        <v/>
      </c>
    </row>
    <row r="11">
      <c r="A11" t="inlineStr">
        <is>
          <t>Office Furniture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25">
        <f>SUM(B11:M11)</f>
        <v/>
      </c>
    </row>
    <row r="12">
      <c r="A12" t="inlineStr">
        <is>
          <t>Repairs and maintenance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25">
        <f>SUM(B12:M12)</f>
        <v/>
      </c>
    </row>
    <row r="13">
      <c r="A13" t="inlineStr">
        <is>
          <t>Advertising</t>
        </is>
      </c>
      <c r="B13" s="21" t="n">
        <v>0</v>
      </c>
      <c r="C13" s="21" t="n">
        <v>0</v>
      </c>
      <c r="D13" s="22" t="n">
        <v>755.98</v>
      </c>
      <c r="E13" s="21" t="n">
        <v>0</v>
      </c>
      <c r="F13" s="22" t="n">
        <v>199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5">
        <f>SUM(B13:M13)</f>
        <v/>
      </c>
    </row>
    <row r="14">
      <c r="A14" t="inlineStr">
        <is>
          <t>Travel, Meals, and Entertainment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25">
        <f>SUM(B14:M14)</f>
        <v/>
      </c>
    </row>
    <row r="15">
      <c r="A15" t="inlineStr">
        <is>
          <t>Accounting and legal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25">
        <f>SUM(B15:M15)</f>
        <v/>
      </c>
    </row>
    <row r="16">
      <c r="A16" t="inlineStr">
        <is>
          <t>Cellphone and Internet</t>
        </is>
      </c>
      <c r="B16" s="22" t="n">
        <v>51.12</v>
      </c>
      <c r="C16" s="22" t="n">
        <v>93.26000000000001</v>
      </c>
      <c r="D16" s="22" t="n">
        <v>98.26000000000001</v>
      </c>
      <c r="E16" s="22" t="n">
        <v>98.26000000000001</v>
      </c>
      <c r="F16" s="22" t="n">
        <v>98.26000000000001</v>
      </c>
      <c r="G16" s="22" t="n">
        <v>98.26000000000001</v>
      </c>
      <c r="H16" s="22" t="n">
        <v>98.23</v>
      </c>
      <c r="I16" s="22" t="n">
        <v>98.34</v>
      </c>
      <c r="J16" s="22" t="n">
        <v>98.34</v>
      </c>
      <c r="K16" s="22" t="n">
        <v>98.39</v>
      </c>
      <c r="L16" s="22" t="n">
        <v>98.39</v>
      </c>
      <c r="M16" s="22" t="n">
        <v>97.91</v>
      </c>
      <c r="N16" s="25">
        <f>SUM(B16:M16)</f>
        <v/>
      </c>
    </row>
    <row r="17">
      <c r="A17" t="inlineStr">
        <is>
          <t>Software Fees</t>
        </is>
      </c>
      <c r="B17" s="22" t="n">
        <v>22.17</v>
      </c>
      <c r="C17" s="22" t="n">
        <v>22.17</v>
      </c>
      <c r="D17" s="22" t="n">
        <v>22.17</v>
      </c>
      <c r="E17" s="22" t="n">
        <v>22.17</v>
      </c>
      <c r="F17" s="22" t="n">
        <v>22.17</v>
      </c>
      <c r="G17" s="22" t="n">
        <v>22.17</v>
      </c>
      <c r="H17" s="22" t="n">
        <v>22.17</v>
      </c>
      <c r="I17" s="22" t="n">
        <v>2.17</v>
      </c>
      <c r="J17" s="22" t="n">
        <v>57.17</v>
      </c>
      <c r="K17" s="22" t="n">
        <v>37.17</v>
      </c>
      <c r="L17" s="22" t="n">
        <v>17.17</v>
      </c>
      <c r="M17" s="22" t="n">
        <v>57.17</v>
      </c>
      <c r="N17" s="25">
        <f>SUM(B17:M17)</f>
        <v/>
      </c>
    </row>
    <row r="18">
      <c r="A18" t="inlineStr">
        <is>
          <t>Tech</t>
        </is>
      </c>
      <c r="B18" s="21" t="n">
        <v>0</v>
      </c>
      <c r="C18" s="21" t="n">
        <v>0</v>
      </c>
      <c r="D18" s="21" t="n">
        <v>0</v>
      </c>
      <c r="E18" s="22" t="n">
        <v>20</v>
      </c>
      <c r="F18" s="22" t="n">
        <v>192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5">
        <f>SUM(B18:M18)</f>
        <v/>
      </c>
    </row>
    <row r="19">
      <c r="A19" t="inlineStr">
        <is>
          <t>Consultant Fees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25">
        <f>SUM(B19:M19)</f>
        <v/>
      </c>
    </row>
    <row r="20">
      <c r="A20" s="24" t="inlineStr">
        <is>
          <t>Art Library</t>
        </is>
      </c>
      <c r="B20" s="22" t="n">
        <v>153.44</v>
      </c>
      <c r="C20" s="22" t="n">
        <v>78.47</v>
      </c>
      <c r="D20" s="25" t="n">
        <v>0</v>
      </c>
      <c r="E20" s="22" t="n">
        <v>63.69</v>
      </c>
      <c r="F20" s="25" t="n">
        <v>0</v>
      </c>
      <c r="G20" s="25" t="n">
        <v>0</v>
      </c>
      <c r="H20" s="25" t="n">
        <v>0</v>
      </c>
      <c r="I20" s="25" t="n">
        <v>0</v>
      </c>
      <c r="J20" s="25" t="n">
        <v>0</v>
      </c>
      <c r="K20" s="25" t="n">
        <v>0</v>
      </c>
      <c r="L20" s="25" t="n">
        <v>0</v>
      </c>
      <c r="M20" s="25" t="n">
        <v>0</v>
      </c>
      <c r="N20" s="25">
        <f>SUM(B20:M20)</f>
        <v/>
      </c>
    </row>
    <row r="21">
      <c r="A21" t="inlineStr">
        <is>
          <t>Inventory / Art purchases (prefer Art Sales COGS — avoid double count)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25">
        <f>SUM(B21:M21)</f>
        <v/>
      </c>
    </row>
    <row r="22">
      <c r="A22" t="inlineStr">
        <is>
          <t>Business Expense (Mercury category rollup)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s="3" t="n">
        <v>334.17</v>
      </c>
      <c r="I22" t="n">
        <v>0</v>
      </c>
      <c r="J22" t="n">
        <v>0</v>
      </c>
      <c r="K22" s="3" t="n">
        <v>8658.629999999999</v>
      </c>
      <c r="L22" s="3" t="n">
        <v>8000</v>
      </c>
      <c r="M22" s="3" t="n">
        <v>8146.75</v>
      </c>
      <c r="N22" s="25">
        <f>SUM(B22:M22)</f>
        <v/>
      </c>
    </row>
    <row r="23">
      <c r="A23" t="inlineStr">
        <is>
          <t>Utilities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25">
        <f>SUM(B23:M23)</f>
        <v/>
      </c>
    </row>
    <row r="24">
      <c r="A24" t="inlineStr">
        <is>
          <t>Insurance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25">
        <f>SUM(B24:M24)</f>
        <v/>
      </c>
    </row>
    <row r="25">
      <c r="A25" t="inlineStr">
        <is>
          <t>TOTAL EXPENSES</t>
        </is>
      </c>
      <c r="B25" s="25">
        <f>SUM(B8:B24)</f>
        <v/>
      </c>
      <c r="C25" s="25">
        <f>SUM(C8:C24)</f>
        <v/>
      </c>
      <c r="D25" s="25">
        <f>SUM(D8:D24)</f>
        <v/>
      </c>
      <c r="E25" s="25">
        <f>SUM(E8:E24)</f>
        <v/>
      </c>
      <c r="F25" s="25">
        <f>SUM(F8:F24)</f>
        <v/>
      </c>
      <c r="G25" s="25">
        <f>SUM(G8:G24)</f>
        <v/>
      </c>
      <c r="H25" s="25">
        <f>SUM(H8:H24)</f>
        <v/>
      </c>
      <c r="I25" s="25">
        <f>SUM(I8:I24)</f>
        <v/>
      </c>
      <c r="J25" s="25">
        <f>SUM(J8:J24)</f>
        <v/>
      </c>
      <c r="K25" s="25">
        <f>SUM(K8:K24)</f>
        <v/>
      </c>
      <c r="L25" s="25">
        <f>SUM(L8:L24)</f>
        <v/>
      </c>
      <c r="M25" s="25">
        <f>SUM(M8:M24)</f>
        <v/>
      </c>
      <c r="N25" s="25">
        <f>SUM(N8:N24)</f>
        <v/>
      </c>
    </row>
    <row r="27">
      <c r="A27" t="inlineStr">
        <is>
          <t>YEAR TO DATE LESS EXPENSES</t>
        </is>
      </c>
      <c r="B27" s="25">
        <f>B5-B25</f>
        <v/>
      </c>
      <c r="C27" s="25">
        <f>C5-C25</f>
        <v/>
      </c>
      <c r="D27" s="25">
        <f>D5-D25</f>
        <v/>
      </c>
      <c r="E27" s="25">
        <f>E5-E25</f>
        <v/>
      </c>
      <c r="F27" s="25">
        <f>F5-F25</f>
        <v/>
      </c>
      <c r="G27" s="25">
        <f>G5-G25</f>
        <v/>
      </c>
      <c r="H27" s="25">
        <f>H5-H25</f>
        <v/>
      </c>
      <c r="I27" s="25">
        <f>I5-I25</f>
        <v/>
      </c>
      <c r="J27" s="25">
        <f>J5-J25</f>
        <v/>
      </c>
      <c r="K27" s="25">
        <f>K5-K25</f>
        <v/>
      </c>
      <c r="L27" s="25">
        <f>L5-L25</f>
        <v/>
      </c>
      <c r="M27" s="25">
        <f>M5-M25</f>
        <v/>
      </c>
      <c r="N27" s="25">
        <f>N5-N25</f>
        <v/>
      </c>
    </row>
    <row r="29">
      <c r="A29" s="4" t="inlineStr">
        <is>
          <t>COGS for art objects = Cost column on Art Sales and Purchases tab (not this rollup).</t>
        </is>
      </c>
    </row>
    <row r="41">
      <c r="A41" s="26" t="inlineStr">
        <is>
          <t>CC starting point 2025-09-18: BoA 4469 ChatGPT/Google One/Tailor Brands/Abebooks/Blurb; Sapphire AT&amp;T cellphone (user) + Squarespace Tech + WW Norton; Prime Abebooks + Canva. Coinbase 6108: no EPGC operating charges (golf/museum/voids). TruGreen on BoA went to 524 Unit 2 yard, not EPGC. Yellow ASK on CC_LEDGER tab. Not tax advice.</t>
        </is>
      </c>
    </row>
    <row r="42"/>
  </sheetData>
  <mergeCells count="1">
    <mergeCell ref="A41:N4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4" customWidth="1" min="4" max="4"/>
    <col width="18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7" t="inlineStr">
        <is>
          <t>Sales 2025 — COGS = Cost column; Net Income = Sale Price − Cost</t>
        </is>
      </c>
    </row>
    <row r="2">
      <c r="A2" s="5" t="inlineStr">
        <is>
          <t>Object</t>
        </is>
      </c>
      <c r="B2" s="5" t="inlineStr">
        <is>
          <t>From</t>
        </is>
      </c>
      <c r="C2" s="5" t="inlineStr">
        <is>
          <t>Cost (COGS)</t>
        </is>
      </c>
      <c r="D2" s="5" t="inlineStr">
        <is>
          <t>Purchase Date</t>
        </is>
      </c>
      <c r="E2" s="5" t="inlineStr">
        <is>
          <t>To</t>
        </is>
      </c>
      <c r="F2" s="5" t="inlineStr">
        <is>
          <t>Sale Price</t>
        </is>
      </c>
      <c r="G2" s="5" t="inlineStr">
        <is>
          <t>Sale Date</t>
        </is>
      </c>
      <c r="H2" s="5" t="inlineStr">
        <is>
          <t>Net Income</t>
        </is>
      </c>
      <c r="I2" s="5" t="inlineStr">
        <is>
          <t>ROI</t>
        </is>
      </c>
    </row>
    <row r="3">
      <c r="A3" t="inlineStr">
        <is>
          <t>A Group of 10 Engraved Gems</t>
        </is>
      </c>
      <c r="B3" t="inlineStr">
        <is>
          <t>Erdal Dere</t>
        </is>
      </c>
      <c r="C3" s="3" t="n">
        <v>1000</v>
      </c>
      <c r="E3" t="inlineStr">
        <is>
          <t>Harlan J. Berk</t>
        </is>
      </c>
      <c r="F3" s="4" t="n"/>
      <c r="G3" s="8" t="n">
        <v>45695</v>
      </c>
      <c r="H3">
        <f>IF(OR(F3="",C3=""),"",F3-C3)</f>
        <v/>
      </c>
      <c r="I3">
        <f>IF(OR(H3="",C3=0),"",H3/C3)</f>
        <v/>
      </c>
    </row>
    <row r="4">
      <c r="A4" t="inlineStr">
        <is>
          <t>A Greek Amber(?) Ram's Head Protome</t>
        </is>
      </c>
      <c r="B4" t="inlineStr">
        <is>
          <t>Erdal Dere</t>
        </is>
      </c>
      <c r="C4" s="3" t="n">
        <v>300</v>
      </c>
      <c r="E4" t="inlineStr">
        <is>
          <t>Harlan J. Berk</t>
        </is>
      </c>
      <c r="F4" s="4" t="n"/>
      <c r="G4" s="8" t="n">
        <v>45695</v>
      </c>
      <c r="H4">
        <f>IF(OR(F4="",C4=""),"",F4-C4)</f>
        <v/>
      </c>
      <c r="I4">
        <f>IF(OR(H4="",C4=0),"",H4/C4)</f>
        <v/>
      </c>
    </row>
    <row r="5">
      <c r="A5" t="inlineStr">
        <is>
          <t>A Stone Cylinder Seal</t>
        </is>
      </c>
      <c r="B5" t="inlineStr">
        <is>
          <t>Estate Sale</t>
        </is>
      </c>
      <c r="C5" s="3" t="n">
        <v>300</v>
      </c>
      <c r="E5" t="inlineStr">
        <is>
          <t>Harlan J. Berk</t>
        </is>
      </c>
      <c r="F5" s="4" t="n"/>
      <c r="G5" s="8" t="n">
        <v>45695</v>
      </c>
      <c r="H5">
        <f>IF(OR(F5="",C5=""),"",F5-C5)</f>
        <v/>
      </c>
      <c r="I5">
        <f>IF(OR(H5="",C5=0),"",H5/C5)</f>
        <v/>
      </c>
    </row>
    <row r="6">
      <c r="A6" t="inlineStr">
        <is>
          <t>Commission on Cypriot Head</t>
        </is>
      </c>
      <c r="B6" t="inlineStr">
        <is>
          <t>Asher Edelman</t>
        </is>
      </c>
      <c r="C6" s="3" t="n">
        <v>1000</v>
      </c>
      <c r="E6" t="inlineStr">
        <is>
          <t>Harlan J. Berk</t>
        </is>
      </c>
      <c r="F6" s="4" t="n"/>
      <c r="G6" s="8" t="n">
        <v>45695</v>
      </c>
      <c r="H6">
        <f>IF(OR(F6="",C6=""),"",F6-C6)</f>
        <v/>
      </c>
      <c r="I6">
        <f>IF(OR(H6="",C6=0),"",H6/C6)</f>
        <v/>
      </c>
    </row>
    <row r="7">
      <c r="A7" t="inlineStr">
        <is>
          <t>Commission on Seal Collection</t>
        </is>
      </c>
      <c r="B7" t="inlineStr">
        <is>
          <t>Erdal Dere</t>
        </is>
      </c>
      <c r="C7" s="3" t="n">
        <v>1000</v>
      </c>
      <c r="E7" t="inlineStr">
        <is>
          <t>Harlan J. Berk</t>
        </is>
      </c>
      <c r="F7" s="4" t="n"/>
      <c r="G7" s="8" t="n">
        <v>45695</v>
      </c>
      <c r="H7">
        <f>IF(OR(F7="",C7=""),"",F7-C7)</f>
        <v/>
      </c>
      <c r="I7">
        <f>IF(OR(H7="",C7=0),"",H7/C7)</f>
        <v/>
      </c>
    </row>
    <row r="8">
      <c r="A8" t="inlineStr">
        <is>
          <t>Scythian Faience Horse Plaque</t>
        </is>
      </c>
      <c r="B8" t="inlineStr">
        <is>
          <t>Estate Sale</t>
        </is>
      </c>
      <c r="C8" s="3" t="n">
        <v>1000</v>
      </c>
      <c r="E8" t="inlineStr">
        <is>
          <t>Harlan J. Berk</t>
        </is>
      </c>
      <c r="F8" s="4" t="n"/>
      <c r="G8" s="8" t="n">
        <v>45695</v>
      </c>
      <c r="H8">
        <f>IF(OR(F8="",C8=""),"",F8-C8)</f>
        <v/>
      </c>
      <c r="I8">
        <f>IF(OR(H8="",C8=0),"",H8/C8)</f>
        <v/>
      </c>
    </row>
    <row r="9">
      <c r="A9" t="inlineStr">
        <is>
          <t>Syro-Hittite Terracotta Figure</t>
        </is>
      </c>
      <c r="B9" t="inlineStr">
        <is>
          <t>Estate Sale</t>
        </is>
      </c>
      <c r="C9" s="3" t="n">
        <v>600</v>
      </c>
      <c r="E9" t="inlineStr">
        <is>
          <t>Harlan J. Berk</t>
        </is>
      </c>
      <c r="F9" s="4" t="n"/>
      <c r="G9" s="8" t="n">
        <v>45695</v>
      </c>
      <c r="H9">
        <f>IF(OR(F9="",C9=""),"",F9-C9)</f>
        <v/>
      </c>
      <c r="I9">
        <f>IF(OR(H9="",C9=0),"",H9/C9)</f>
        <v/>
      </c>
    </row>
    <row r="10">
      <c r="A10" t="inlineStr">
        <is>
          <t>A Group of 6 Roman Oil Lamps</t>
        </is>
      </c>
      <c r="B10" t="inlineStr">
        <is>
          <t>Estate Sale</t>
        </is>
      </c>
      <c r="C10" s="3" t="n">
        <v>600</v>
      </c>
      <c r="E10" t="inlineStr">
        <is>
          <t>Harlan J. Berk</t>
        </is>
      </c>
      <c r="F10" s="4" t="n"/>
      <c r="G10" s="8" t="n">
        <v>45695</v>
      </c>
      <c r="H10">
        <f>IF(OR(F10="",C10=""),"",F10-C10)</f>
        <v/>
      </c>
      <c r="I10">
        <f>IF(OR(H10="",C10=0),"",H10/C10)</f>
        <v/>
      </c>
    </row>
    <row r="11">
      <c r="A11" t="inlineStr">
        <is>
          <t>A Cypriot Limestine Head</t>
        </is>
      </c>
      <c r="B11" t="inlineStr">
        <is>
          <t>Estate Sale</t>
        </is>
      </c>
      <c r="C11" s="3" t="n">
        <v>1000</v>
      </c>
      <c r="E11" t="inlineStr">
        <is>
          <t>Harlan J. Berk</t>
        </is>
      </c>
      <c r="F11" s="4" t="n"/>
      <c r="G11" s="8" t="n">
        <v>45695</v>
      </c>
      <c r="H11">
        <f>IF(OR(F11="",C11=""),"",F11-C11)</f>
        <v/>
      </c>
      <c r="I11">
        <f>IF(OR(H11="",C11=0),"",H11/C11)</f>
        <v/>
      </c>
    </row>
    <row r="12">
      <c r="A12" t="inlineStr">
        <is>
          <t>A Roman Marble Torso</t>
        </is>
      </c>
      <c r="B12" t="inlineStr">
        <is>
          <t>William Pearlstein</t>
        </is>
      </c>
      <c r="C12" s="3" t="n">
        <v>4000</v>
      </c>
      <c r="E12" t="inlineStr">
        <is>
          <t>Harlan J. Berk</t>
        </is>
      </c>
      <c r="F12" s="4" t="n"/>
      <c r="G12" s="8" t="n">
        <v>45695</v>
      </c>
      <c r="H12">
        <f>IF(OR(F12="",C12=""),"",F12-C12)</f>
        <v/>
      </c>
      <c r="I12">
        <f>IF(OR(H12="",C12=0),"",H12/C12)</f>
        <v/>
      </c>
    </row>
    <row r="13">
      <c r="A13" t="inlineStr">
        <is>
          <t>Cypriot Bichrome Juglet</t>
        </is>
      </c>
      <c r="B13" t="inlineStr">
        <is>
          <t>Live Auctioneers</t>
        </is>
      </c>
      <c r="C13" s="3" t="n">
        <v>600</v>
      </c>
      <c r="E13" t="inlineStr">
        <is>
          <t>Harlan J. Berk</t>
        </is>
      </c>
      <c r="F13" s="4" t="n"/>
      <c r="G13" s="8" t="n">
        <v>45695</v>
      </c>
      <c r="H13">
        <f>IF(OR(F13="",C13=""),"",F13-C13)</f>
        <v/>
      </c>
      <c r="I13">
        <f>IF(OR(H13="",C13=0),"",H13/C13)</f>
        <v/>
      </c>
    </row>
    <row r="14">
      <c r="A14" t="inlineStr">
        <is>
          <t>An Attic Black-Figured Fragment</t>
        </is>
      </c>
      <c r="B14" t="inlineStr">
        <is>
          <t>Hindman</t>
        </is>
      </c>
      <c r="C14" s="3" t="n">
        <v>334.44</v>
      </c>
      <c r="D14" s="8" t="n">
        <v>45071</v>
      </c>
      <c r="E14" t="inlineStr">
        <is>
          <t>Harlan J. Berk</t>
        </is>
      </c>
      <c r="F14" s="4" t="n"/>
      <c r="G14" s="8" t="n">
        <v>45695</v>
      </c>
      <c r="H14">
        <f>IF(OR(F14="",C14=""),"",F14-C14)</f>
        <v/>
      </c>
      <c r="I14">
        <f>IF(OR(H14="",C14=0),"",H14/C14)</f>
        <v/>
      </c>
    </row>
    <row r="15">
      <c r="A15" t="inlineStr">
        <is>
          <t>A Luristan Bronze Ibex</t>
        </is>
      </c>
      <c r="B15" t="inlineStr">
        <is>
          <t>Hindman</t>
        </is>
      </c>
      <c r="C15" s="3" t="n">
        <v>234.44</v>
      </c>
      <c r="D15" s="8" t="n">
        <v>45071</v>
      </c>
      <c r="E15" t="inlineStr">
        <is>
          <t>Harlan J. Berk</t>
        </is>
      </c>
      <c r="F15" s="4" t="n"/>
      <c r="G15" s="8" t="n">
        <v>45695</v>
      </c>
      <c r="H15">
        <f>IF(OR(F15="",C15=""),"",F15-C15)</f>
        <v/>
      </c>
      <c r="I15">
        <f>IF(OR(H15="",C15=0),"",H15/C15)</f>
        <v/>
      </c>
    </row>
    <row r="16">
      <c r="A16" t="inlineStr">
        <is>
          <t>An Egyptian Swivel Ring with Scarab</t>
        </is>
      </c>
      <c r="B16" t="inlineStr">
        <is>
          <t>Live Auctioneers</t>
        </is>
      </c>
      <c r="C16" s="3" t="n">
        <v>2228.76</v>
      </c>
      <c r="E16" t="inlineStr">
        <is>
          <t>Harlan J. Berk</t>
        </is>
      </c>
      <c r="F16" s="4" t="n"/>
      <c r="G16" s="8" t="n">
        <v>45695</v>
      </c>
      <c r="H16">
        <f>IF(OR(F16="",C16=""),"",F16-C16)</f>
        <v/>
      </c>
      <c r="I16">
        <f>IF(OR(H16="",C16=0),"",H16/C16)</f>
        <v/>
      </c>
    </row>
    <row r="17">
      <c r="A17" t="inlineStr">
        <is>
          <t>A Canosan Terracotta Horse</t>
        </is>
      </c>
      <c r="B17" t="inlineStr">
        <is>
          <t>Hindman</t>
        </is>
      </c>
      <c r="C17" s="3" t="n">
        <v>1000</v>
      </c>
      <c r="E17" t="inlineStr">
        <is>
          <t>Harlan J. Berk</t>
        </is>
      </c>
      <c r="F17" s="4" t="n"/>
      <c r="G17" s="8" t="n">
        <v>45695</v>
      </c>
      <c r="H17">
        <f>IF(OR(F17="",C17=""),"",F17-C17)</f>
        <v/>
      </c>
      <c r="I17">
        <f>IF(OR(H17="",C17=0),"",H17/C17)</f>
        <v/>
      </c>
    </row>
    <row r="18">
      <c r="A18" t="inlineStr">
        <is>
          <t>An Attic Black-Figured Column-Krater</t>
        </is>
      </c>
      <c r="B18" t="inlineStr">
        <is>
          <t>Antiquarium/Benningson</t>
        </is>
      </c>
      <c r="C18" s="3" t="n">
        <v>4500</v>
      </c>
      <c r="D18" s="8" t="n">
        <v>45275</v>
      </c>
      <c r="E18" t="inlineStr">
        <is>
          <t>Harlan J. Berk</t>
        </is>
      </c>
      <c r="F18" s="4" t="n"/>
      <c r="G18" s="8" t="n">
        <v>45695</v>
      </c>
      <c r="H18">
        <f>IF(OR(F18="",C18=""),"",F18-C18)</f>
        <v/>
      </c>
      <c r="I18">
        <f>IF(OR(H18="",C18=0),"",H18/C18)</f>
        <v/>
      </c>
    </row>
    <row r="19">
      <c r="A19" t="inlineStr">
        <is>
          <t>Roman Marble Base with Foot</t>
        </is>
      </c>
      <c r="B19" t="inlineStr">
        <is>
          <t>Arte Primitivo</t>
        </is>
      </c>
      <c r="C19" s="3" t="n">
        <v>500</v>
      </c>
      <c r="E19" t="inlineStr">
        <is>
          <t>Harlan J. Berk</t>
        </is>
      </c>
      <c r="F19" s="4" t="n"/>
      <c r="G19" s="8" t="n">
        <v>45695</v>
      </c>
      <c r="H19">
        <f>IF(OR(F19="",C19=""),"",F19-C19)</f>
        <v/>
      </c>
      <c r="I19">
        <f>IF(OR(H19="",C19=0),"",H19/C19)</f>
        <v/>
      </c>
    </row>
    <row r="20">
      <c r="A20" t="inlineStr">
        <is>
          <t>Neolithic Flint Celt</t>
        </is>
      </c>
      <c r="B20" t="inlineStr">
        <is>
          <t>Arte Primitivo</t>
        </is>
      </c>
      <c r="C20" s="3" t="n">
        <v>195.78</v>
      </c>
      <c r="D20" s="8" t="n">
        <v>44908</v>
      </c>
      <c r="E20" t="inlineStr">
        <is>
          <t>Harlan J. Berk</t>
        </is>
      </c>
      <c r="F20" s="4" t="n"/>
      <c r="G20" s="8" t="n">
        <v>45695</v>
      </c>
      <c r="H20">
        <f>IF(OR(F20="",C20=""),"",F20-C20)</f>
        <v/>
      </c>
      <c r="I20">
        <f>IF(OR(H20="",C20=0),"",H20/C20)</f>
        <v/>
      </c>
    </row>
    <row r="21">
      <c r="A21" t="inlineStr">
        <is>
          <t>Neolithic Danish Chert Adze</t>
        </is>
      </c>
      <c r="B21" t="inlineStr">
        <is>
          <t>Live Auctioneers</t>
        </is>
      </c>
      <c r="C21" s="3" t="n">
        <v>311.25</v>
      </c>
      <c r="D21" s="8" t="n">
        <v>44284</v>
      </c>
      <c r="E21" t="inlineStr">
        <is>
          <t>Harlan J. Berk</t>
        </is>
      </c>
      <c r="F21" s="4" t="n"/>
      <c r="G21" s="8" t="n">
        <v>45695</v>
      </c>
      <c r="H21">
        <f>IF(OR(F21="",C21=""),"",F21-C21)</f>
        <v/>
      </c>
      <c r="I21">
        <f>IF(OR(H21="",C21=0),"",H21/C21)</f>
        <v/>
      </c>
    </row>
    <row r="22">
      <c r="A22" t="inlineStr">
        <is>
          <t>Three Lots from Lithics Sale</t>
        </is>
      </c>
      <c r="B22" t="inlineStr">
        <is>
          <t>Hindman</t>
        </is>
      </c>
      <c r="C22" s="3" t="n">
        <v>2240.27</v>
      </c>
      <c r="D22" s="8" t="n">
        <v>45356</v>
      </c>
      <c r="E22" t="inlineStr">
        <is>
          <t>Harlan J. Berk</t>
        </is>
      </c>
      <c r="F22" s="4" t="n"/>
      <c r="G22" s="8" t="n">
        <v>45695</v>
      </c>
      <c r="H22">
        <f>IF(OR(F22="",C22=""),"",F22-C22)</f>
        <v/>
      </c>
      <c r="I22">
        <f>IF(OR(H22="",C22=0),"",H22/C22)</f>
        <v/>
      </c>
    </row>
    <row r="23">
      <c r="C23" s="3">
        <f>SUM(C51:C70)</f>
        <v/>
      </c>
      <c r="F23" t="n">
        <v>30000</v>
      </c>
      <c r="H23">
        <f>IF(OR(F23="",C23=""),"",F23-C23)</f>
        <v/>
      </c>
      <c r="I23">
        <f>IF(OR(H23="",C23=0),"",H23/C23)</f>
        <v/>
      </c>
    </row>
    <row r="24">
      <c r="A24" t="inlineStr">
        <is>
          <t>Total</t>
        </is>
      </c>
      <c r="C24">
        <f>SUM(C3:C23)</f>
        <v/>
      </c>
      <c r="F24">
        <f>SUM(F3:F23)</f>
        <v/>
      </c>
      <c r="H24">
        <f>SUM(H3:H23)</f>
        <v/>
      </c>
    </row>
    <row r="26">
      <c r="A26" s="4" t="inlineStr">
        <is>
          <t>Yellow Sale Price = still need buyer invoices. Green Cost = COGS already entered.</t>
        </is>
      </c>
    </row>
    <row r="28">
      <c r="A28" s="4" t="inlineStr">
        <is>
          <t>2025 CC purchases not yet tied to an object (HOLD — not in Cost total)</t>
        </is>
      </c>
    </row>
    <row r="29">
      <c r="A29" t="inlineStr">
        <is>
          <t>Los Angeles Modern Auctions</t>
        </is>
      </c>
      <c r="B29" t="inlineStr">
        <is>
          <t>Sapphire 5423</t>
        </is>
      </c>
      <c r="C29" s="21" t="n">
        <v>6821.06</v>
      </c>
      <c r="D29" t="inlineStr">
        <is>
          <t>2025-07-24</t>
        </is>
      </c>
    </row>
    <row r="30">
      <c r="A30" t="inlineStr">
        <is>
          <t>Hindman LLC</t>
        </is>
      </c>
      <c r="B30" t="inlineStr">
        <is>
          <t>Sapphire 5423</t>
        </is>
      </c>
      <c r="C30" s="21" t="n">
        <v>282.24</v>
      </c>
      <c r="D30" t="inlineStr">
        <is>
          <t>2025-04-03</t>
        </is>
      </c>
    </row>
    <row r="31">
      <c r="A31" t="inlineStr">
        <is>
          <t>Hindman LLC</t>
        </is>
      </c>
      <c r="B31" t="inlineStr">
        <is>
          <t>Sapphire 5423</t>
        </is>
      </c>
      <c r="C31" s="21" t="n">
        <v>403.51</v>
      </c>
      <c r="D31" t="inlineStr">
        <is>
          <t>2025-07-29</t>
        </is>
      </c>
    </row>
    <row r="32">
      <c r="A32" s="4" t="inlineStr">
        <is>
          <t>Identify objects before adding into Cost (COGS) total — avoid double count vs Mercury inventory.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GCM / Gates 2025</t>
        </is>
      </c>
    </row>
    <row r="2">
      <c r="A2" t="inlineStr">
        <is>
          <t>Fees</t>
        </is>
      </c>
      <c r="B2" t="inlineStr">
        <is>
          <t>Q1</t>
        </is>
      </c>
      <c r="C2" t="inlineStr">
        <is>
          <t>Q2</t>
        </is>
      </c>
      <c r="D2" t="inlineStr">
        <is>
          <t>Q3</t>
        </is>
      </c>
      <c r="E2" t="inlineStr">
        <is>
          <t>Q4</t>
        </is>
      </c>
    </row>
    <row r="3">
      <c r="A3" t="inlineStr">
        <is>
          <t>1099-NEC Gates Capital $21,500 (quarterly split TBD)</t>
        </is>
      </c>
      <c r="B3" s="4" t="n"/>
      <c r="C3" s="4" t="n"/>
      <c r="D3" s="4" t="n"/>
      <c r="E3" s="4" t="n"/>
    </row>
    <row r="4">
      <c r="A4" t="inlineStr">
        <is>
          <t>Grand Total (1099 on file)</t>
        </is>
      </c>
      <c r="E4" s="3" t="n">
        <v>21500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W-2 / Paychecks 2025</t>
        </is>
      </c>
    </row>
    <row r="2">
      <c r="A2" t="inlineStr">
        <is>
          <t>Income</t>
        </is>
      </c>
      <c r="B2" t="inlineStr">
        <is>
          <t>Q1</t>
        </is>
      </c>
      <c r="C2" t="inlineStr">
        <is>
          <t>Q2</t>
        </is>
      </c>
      <c r="D2" t="inlineStr">
        <is>
          <t>Q3</t>
        </is>
      </c>
      <c r="E2" t="inlineStr">
        <is>
          <t>Q4</t>
        </is>
      </c>
    </row>
    <row r="3">
      <c r="A3" t="inlineStr">
        <is>
          <t>Monarch net deposits (Hindman+Freeman)</t>
        </is>
      </c>
      <c r="B3" s="3" t="n">
        <v>17527.97</v>
      </c>
      <c r="C3" s="3" t="n">
        <v>17664.52</v>
      </c>
      <c r="D3" s="3" t="n">
        <v>17664.52</v>
      </c>
      <c r="E3" s="3" t="n">
        <v>17760.99</v>
      </c>
    </row>
    <row r="4">
      <c r="A4" t="inlineStr">
        <is>
          <t>Form W-2 Box 1 wages</t>
        </is>
      </c>
      <c r="E4" s="4" t="n"/>
    </row>
    <row r="5">
      <c r="A5" t="inlineStr">
        <is>
          <t>Total Monarch deposits</t>
        </is>
      </c>
      <c r="E5" s="3" t="n">
        <v>70618</v>
      </c>
    </row>
    <row r="7">
      <c r="A7" t="inlineStr">
        <is>
          <t>Use Form W-2 PDF in Drive 07 for the return. Monarch is cash deposits only.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Megan's Income 2025</t>
        </is>
      </c>
    </row>
    <row r="2">
      <c r="A2" s="4" t="inlineStr">
        <is>
          <t>TBD — fill if applicable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Fidelity SEP IRA</t>
        </is>
      </c>
    </row>
    <row r="2">
      <c r="A2" t="inlineStr">
        <is>
          <t>ML UTMA EMMA</t>
        </is>
      </c>
    </row>
    <row r="3">
      <c r="A3" t="inlineStr">
        <is>
          <t>ML UTMA PHOEBE</t>
        </is>
      </c>
    </row>
    <row r="5">
      <c r="A5" t="inlineStr">
        <is>
          <t>UTMA brokerage PDF on file in Drive 07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>
      <c r="A1" s="7" t="inlineStr">
        <is>
          <t>524 Home Sale</t>
        </is>
      </c>
    </row>
    <row r="3">
      <c r="A3" t="inlineStr">
        <is>
          <t>Item</t>
        </is>
      </c>
      <c r="B3" t="inlineStr">
        <is>
          <t>Amount</t>
        </is>
      </c>
      <c r="C3" t="inlineStr">
        <is>
          <t>Status</t>
        </is>
      </c>
    </row>
    <row r="4">
      <c r="A4" t="inlineStr">
        <is>
          <t>Sale date</t>
        </is>
      </c>
      <c r="B4" s="3" t="inlineStr">
        <is>
          <t>2025-12-18</t>
        </is>
      </c>
      <c r="C4" t="inlineStr">
        <is>
          <t>LOCKED</t>
        </is>
      </c>
    </row>
    <row r="5">
      <c r="A5" t="inlineStr">
        <is>
          <t>Sale price</t>
        </is>
      </c>
      <c r="B5" s="3" t="n">
        <v>600000</v>
      </c>
      <c r="C5" t="inlineStr">
        <is>
          <t>LOCKED</t>
        </is>
      </c>
    </row>
    <row r="6">
      <c r="A6" t="inlineStr">
        <is>
          <t>Net to seller</t>
        </is>
      </c>
      <c r="B6" s="3" t="n">
        <v>216844.96</v>
      </c>
      <c r="C6" t="inlineStr">
        <is>
          <t>LOCKED</t>
        </is>
      </c>
    </row>
    <row r="7">
      <c r="A7" t="inlineStr">
        <is>
          <t>USB payoff</t>
        </is>
      </c>
      <c r="B7" s="3" t="n">
        <v>340911.17</v>
      </c>
      <c r="C7" t="inlineStr">
        <is>
          <t>LOCKED</t>
        </is>
      </c>
    </row>
    <row r="8">
      <c r="A8" t="inlineStr">
        <is>
          <t>Commission Living Well</t>
        </is>
      </c>
      <c r="B8" s="3" t="n">
        <v>15000</v>
      </c>
      <c r="C8" t="inlineStr">
        <is>
          <t>LOCKED</t>
        </is>
      </c>
    </row>
    <row r="9">
      <c r="A9" t="inlineStr">
        <is>
          <t>Unit 2 basis (2023 4562)</t>
        </is>
      </c>
      <c r="B9" s="3" t="n">
        <v>203434</v>
      </c>
      <c r="C9" t="inlineStr">
        <is>
          <t>LOCKED</t>
        </is>
      </c>
    </row>
    <row r="10">
      <c r="A10" t="inlineStr">
        <is>
          <t>Unit 2 dep 2023</t>
        </is>
      </c>
      <c r="B10" s="3" t="n">
        <v>7090</v>
      </c>
      <c r="C10" t="inlineStr">
        <is>
          <t>LOCKED</t>
        </is>
      </c>
    </row>
    <row r="11">
      <c r="A11" t="inlineStr">
        <is>
          <t>Unit 2 dep 2024</t>
        </is>
      </c>
      <c r="B11" s="4" t="inlineStr">
        <is>
          <t>TBD — 2024 Form 1040</t>
        </is>
      </c>
      <c r="C11" t="inlineStr">
        <is>
          <t>TBD</t>
        </is>
      </c>
    </row>
    <row r="12">
      <c r="A12" t="inlineStr">
        <is>
          <t>Unit 2 dep 2025 stub</t>
        </is>
      </c>
      <c r="B12" s="4" t="inlineStr">
        <is>
          <t>TBD — CPA</t>
        </is>
      </c>
      <c r="C12" t="inlineStr">
        <is>
          <t>TBD</t>
        </is>
      </c>
    </row>
    <row r="13">
      <c r="A13" t="inlineStr">
        <is>
          <t>Sec 121 allocation %</t>
        </is>
      </c>
      <c r="B13" s="4" t="inlineStr">
        <is>
          <t>TBD — CPA</t>
        </is>
      </c>
      <c r="C13" t="inlineStr">
        <is>
          <t>TBD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>
      <c r="A1" s="7" t="inlineStr">
        <is>
          <t>827 Grove CapEx</t>
        </is>
      </c>
    </row>
    <row r="3">
      <c r="A3" t="inlineStr">
        <is>
          <t>Item</t>
        </is>
      </c>
      <c r="B3" t="inlineStr">
        <is>
          <t>Amount</t>
        </is>
      </c>
      <c r="C3" t="inlineStr">
        <is>
          <t>Status</t>
        </is>
      </c>
    </row>
    <row r="4">
      <c r="A4" t="inlineStr">
        <is>
          <t>Purchase close</t>
        </is>
      </c>
      <c r="B4" s="3" t="inlineStr">
        <is>
          <t>2025-12-18</t>
        </is>
      </c>
      <c r="C4" t="inlineStr">
        <is>
          <t>LOCKED</t>
        </is>
      </c>
    </row>
    <row r="5">
      <c r="A5" t="inlineStr">
        <is>
          <t>Purchase price</t>
        </is>
      </c>
      <c r="B5" s="3" t="n">
        <v>670000</v>
      </c>
      <c r="C5" t="inlineStr">
        <is>
          <t>LOCKED</t>
        </is>
      </c>
    </row>
    <row r="6">
      <c r="A6" t="inlineStr">
        <is>
          <t>TY2025 CapEx for return</t>
        </is>
      </c>
      <c r="B6" s="3" t="n">
        <v>53660</v>
      </c>
      <c r="C6" t="inlineStr">
        <is>
          <t>LOCKED</t>
        </is>
      </c>
    </row>
    <row r="7">
      <c r="A7" t="inlineStr">
        <is>
          <t>TY2026 CapEx</t>
        </is>
      </c>
      <c r="B7" s="3" t="n">
        <v>268532</v>
      </c>
      <c r="C7" t="inlineStr">
        <is>
          <t>LOCKED</t>
        </is>
      </c>
    </row>
    <row r="8">
      <c r="A8" t="inlineStr">
        <is>
          <t>CapEx UNKNOWN</t>
        </is>
      </c>
      <c r="B8" s="4" t="n">
        <v>9401.93</v>
      </c>
      <c r="C8" t="inlineStr">
        <is>
          <t>TBD</t>
        </is>
      </c>
    </row>
    <row r="9">
      <c r="A9" t="inlineStr">
        <is>
          <t>Radon on CD</t>
        </is>
      </c>
      <c r="B9" s="4" t="n">
        <v>2550</v>
      </c>
      <c r="C9" t="inlineStr">
        <is>
          <t>TBD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42" customWidth="1" min="3" max="3"/>
  </cols>
  <sheetData>
    <row r="1">
      <c r="A1" s="9" t="inlineStr">
        <is>
          <t>Childcare — Form 2441 (Emma + Phoebe)</t>
        </is>
      </c>
    </row>
    <row r="2">
      <c r="A2" t="inlineStr">
        <is>
          <t>Organizational only — not tax advice. CPA allocates Aug prepaid across children and care months.</t>
        </is>
      </c>
    </row>
    <row r="3"/>
    <row r="4">
      <c r="A4" s="5" t="inlineStr">
        <is>
          <t>Item</t>
        </is>
      </c>
      <c r="B4" s="5" t="inlineStr">
        <is>
          <t>Value</t>
        </is>
      </c>
      <c r="C4" s="5" t="inlineStr">
        <is>
          <t>Status</t>
        </is>
      </c>
    </row>
    <row r="5">
      <c r="A5" s="27" t="inlineStr">
        <is>
          <t>Provider legal name (Form 2441 Part I)</t>
        </is>
      </c>
      <c r="B5" s="27" t="inlineStr">
        <is>
          <t>La Casa Montessori School</t>
        </is>
      </c>
      <c r="C5" s="27" t="inlineStr">
        <is>
          <t>LOCKED</t>
        </is>
      </c>
    </row>
    <row r="6">
      <c r="A6" s="27" t="inlineStr">
        <is>
          <t>Provider EIN</t>
        </is>
      </c>
      <c r="B6" s="27" t="inlineStr">
        <is>
          <t>45-5289483</t>
        </is>
      </c>
      <c r="C6" s="27" t="inlineStr">
        <is>
          <t>LOCKED</t>
        </is>
      </c>
    </row>
    <row r="7">
      <c r="A7" s="27" t="inlineStr">
        <is>
          <t>Street address</t>
        </is>
      </c>
      <c r="B7" s="27" t="inlineStr">
        <is>
          <t>608 Harrison St</t>
        </is>
      </c>
      <c r="C7" s="27" t="inlineStr">
        <is>
          <t>LOCKED</t>
        </is>
      </c>
    </row>
    <row r="8">
      <c r="A8" s="27" t="inlineStr">
        <is>
          <t>City, state, ZIP</t>
        </is>
      </c>
      <c r="B8" s="27" t="inlineStr">
        <is>
          <t>Oak Park, IL 60304</t>
        </is>
      </c>
      <c r="C8" s="27" t="inlineStr">
        <is>
          <t>LOCKED</t>
        </is>
      </c>
    </row>
    <row r="9">
      <c r="A9" s="27" t="inlineStr">
        <is>
          <t>Billing platform</t>
        </is>
      </c>
      <c r="B9" s="27" t="inlineStr">
        <is>
          <t>BrightWheel (not the EIN holder)</t>
        </is>
      </c>
      <c r="C9" s="27" t="inlineStr">
        <is>
          <t>LOCKED</t>
        </is>
      </c>
    </row>
    <row r="10">
      <c r="A10" s="27" t="inlineStr">
        <is>
          <t>Children</t>
        </is>
      </c>
      <c r="B10" s="27" t="inlineStr">
        <is>
          <t>Emma Coley; Phoebe Coley</t>
        </is>
      </c>
      <c r="C10" s="27" t="inlineStr">
        <is>
          <t>LOCKED</t>
        </is>
      </c>
    </row>
    <row r="11">
      <c r="A11" s="27" t="inlineStr">
        <is>
          <t>BrightWheel invoice cash TY2025</t>
        </is>
      </c>
      <c r="B11" s="28" t="n">
        <v>30668.55</v>
      </c>
      <c r="C11" s="27" t="inlineStr">
        <is>
          <t>LOCKED</t>
        </is>
      </c>
    </row>
    <row r="12">
      <c r="A12" s="27" t="inlineStr">
        <is>
          <t>Aug 4 prepaid both kids (CPA allocates)</t>
        </is>
      </c>
      <c r="B12" s="28" t="n">
        <v>23361.05</v>
      </c>
      <c r="C12" s="27" t="inlineStr">
        <is>
          <t>LOCKED</t>
        </is>
      </c>
    </row>
    <row r="13">
      <c r="A13" s="27" t="inlineStr">
        <is>
          <t>Kids Empire Villa Park</t>
        </is>
      </c>
      <c r="B13" s="27" t="inlineStr">
        <is>
          <t>EXCLUDED 233.28</t>
        </is>
      </c>
      <c r="C13" s="27" t="inlineStr">
        <is>
          <t>LOCKED</t>
        </is>
      </c>
    </row>
    <row r="14">
      <c r="A14" s="27" t="inlineStr">
        <is>
          <t>Babysitting Zelle</t>
        </is>
      </c>
      <c r="B14" s="27" t="inlineStr">
        <is>
          <t>EXCLUDED 100.00</t>
        </is>
      </c>
      <c r="C14" s="27" t="inlineStr">
        <is>
          <t>LOCKED</t>
        </is>
      </c>
    </row>
    <row r="16">
      <c r="A16" s="29" t="inlineStr">
        <is>
          <t>Form 2441 Part I (copy onto return)</t>
        </is>
      </c>
    </row>
    <row r="17">
      <c r="A17" s="11" t="inlineStr">
        <is>
          <t>Name</t>
        </is>
      </c>
      <c r="B17" s="11" t="inlineStr">
        <is>
          <t>La Casa Montessori School</t>
        </is>
      </c>
      <c r="C17" s="11" t="n"/>
    </row>
    <row r="18">
      <c r="A18" s="11" t="inlineStr">
        <is>
          <t>Address</t>
        </is>
      </c>
      <c r="B18" s="11" t="inlineStr">
        <is>
          <t>608 Harrison St, Oak Park, IL 60304</t>
        </is>
      </c>
      <c r="C18" s="11" t="n"/>
    </row>
    <row r="19">
      <c r="A19" s="11" t="inlineStr">
        <is>
          <t>Identifying number (EIN)</t>
        </is>
      </c>
      <c r="B19" s="11" t="inlineStr">
        <is>
          <t>45-5289483</t>
        </is>
      </c>
      <c r="C19" s="11" t="n"/>
    </row>
    <row r="20">
      <c r="A20" s="11" t="inlineStr">
        <is>
          <t>Amount paid (provider invoices)</t>
        </is>
      </c>
      <c r="B20" s="30" t="n">
        <v>30668.55</v>
      </c>
      <c r="C20" s="11" t="inlineStr">
        <is>
          <t>CPA splits Emma vs Phoebe / months from Aug prepaid</t>
        </is>
      </c>
    </row>
    <row r="22" ht="48" customHeight="1">
      <c r="A22" s="26" t="inlineStr">
        <is>
          <t>User provided EIN 455289483 and address 608 Harrison St, Oak Park 60304 (2026-09-18). EIN formatted 45-5289483 for Form 2441. Public records match this EIN+address to La Casa Montessori School. BrightWheel is the tuition portal only. Aug $23,361.05 prepaid covers both girls — CPA allocates. Not tax advice.</t>
        </is>
      </c>
    </row>
    <row r="23"/>
    <row r="24"/>
  </sheetData>
  <mergeCells count="3">
    <mergeCell ref="A1:C1"/>
    <mergeCell ref="A2:C2"/>
    <mergeCell ref="A22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2026-09-18T01:28:40Z</dcterms:created>
  <dcterms:modified xsi:type="dcterms:W3CDTF">2026-09-18T15:49:25Z</dcterms:modified>
</cp:coreProperties>
</file>