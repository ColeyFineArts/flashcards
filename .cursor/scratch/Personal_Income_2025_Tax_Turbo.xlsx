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Income" sheetId="2" state="visible" r:id="rId2"/>
    <sheet name="524 Ferdinand Ave, Unit 2" sheetId="3" state="visible" r:id="rId3"/>
    <sheet name="524 Ferdinand Ave, Unit 1" sheetId="4" state="visible" r:id="rId4"/>
    <sheet name="216 N. Oak Park Ave" sheetId="5" state="visible" r:id="rId5"/>
    <sheet name="EPGC LLC" sheetId="6" state="visible" r:id="rId6"/>
    <sheet name="Art Sales and Purchases" sheetId="7" state="visible" r:id="rId7"/>
    <sheet name="GCM" sheetId="8" state="visible" r:id="rId8"/>
    <sheet name="Hindman W2" sheetId="9" state="visible" r:id="rId9"/>
    <sheet name="Megan T4" sheetId="10" state="visible" r:id="rId10"/>
    <sheet name="Investments" sheetId="11" state="visible" r:id="rId11"/>
    <sheet name="524 Home Sale" sheetId="12" state="visible" r:id="rId12"/>
    <sheet name="827 Grove CapEx" sheetId="13" state="visible" r:id="rId13"/>
    <sheet name="Childcare 244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</fonts>
  <fills count="6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Income green = Monarch Airbnb/VRBO deposits. Year total should be reconciled to PLATFORM net $17,086.94. Yellow expenses need fill (service fees/cleaning/utilities).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§121 residence. Shared building costs may need allocation vs Unit 2. Sale facts on 524 Home Sale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>
        <f>SUM(B12:M12)</f>
        <v/>
      </c>
    </row>
    <row r="13">
      <c r="A13" t="inlineStr">
        <is>
          <t>Advertising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>
        <f>SUM(B13:M13)</f>
        <v/>
      </c>
    </row>
    <row r="14">
      <c r="A14" t="inlineStr">
        <is>
          <t>Travel, Meals, and Entertainment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>
        <f>SUM(B15:M15)</f>
        <v/>
      </c>
    </row>
    <row r="16">
      <c r="A16" t="inlineStr">
        <is>
          <t>Cellphone and Internet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>
        <f>SUM(B16:M16)</f>
        <v/>
      </c>
    </row>
    <row r="17">
      <c r="A17" t="inlineStr">
        <is>
          <t>Software Fees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>
        <f>SUM(B17:M17)</f>
        <v/>
      </c>
    </row>
    <row r="18">
      <c r="A18" t="inlineStr">
        <is>
          <t>Tech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>
        <f>SUM(B19:M19)</f>
        <v/>
      </c>
    </row>
    <row r="20">
      <c r="A20" t="inlineStr">
        <is>
          <t>Inventory / Art purchases (prefer Art Sales COGS — avoid double count)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>
        <f>SUM(B20:M20)</f>
        <v/>
      </c>
    </row>
    <row r="21">
      <c r="A21" t="inlineStr">
        <is>
          <t>Business Expense (Mercury category rollup)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s="3" t="n">
        <v>334.17</v>
      </c>
      <c r="I21" t="n">
        <v>0</v>
      </c>
      <c r="J21" t="n">
        <v>0</v>
      </c>
      <c r="K21" s="3" t="n">
        <v>8658.629999999999</v>
      </c>
      <c r="L21" s="3" t="n">
        <v>8000</v>
      </c>
      <c r="M21" s="3" t="n">
        <v>8146.75</v>
      </c>
      <c r="N21">
        <f>SUM(B21:M21)</f>
        <v/>
      </c>
    </row>
    <row r="22">
      <c r="A22" t="inlineStr">
        <is>
          <t>Utilities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>
        <f>SUM(B22:M22)</f>
        <v/>
      </c>
    </row>
    <row r="23">
      <c r="A23" t="inlineStr">
        <is>
          <t>Insurance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>
        <f>SUM(B23:M23)</f>
        <v/>
      </c>
    </row>
    <row r="24">
      <c r="A24" t="inlineStr">
        <is>
          <t>TOTAL EXPENSES</t>
        </is>
      </c>
      <c r="B24">
        <f>SUM(B8:B23)</f>
        <v/>
      </c>
      <c r="C24">
        <f>SUM(C8:C23)</f>
        <v/>
      </c>
      <c r="D24">
        <f>SUM(D8:D23)</f>
        <v/>
      </c>
      <c r="E24">
        <f>SUM(E8:E23)</f>
        <v/>
      </c>
      <c r="F24">
        <f>SUM(F8:F23)</f>
        <v/>
      </c>
      <c r="G24">
        <f>SUM(G8:G23)</f>
        <v/>
      </c>
      <c r="H24">
        <f>SUM(H8:H23)</f>
        <v/>
      </c>
      <c r="I24">
        <f>SUM(I8:I23)</f>
        <v/>
      </c>
      <c r="J24">
        <f>SUM(J8:J23)</f>
        <v/>
      </c>
      <c r="K24">
        <f>SUM(K8:K23)</f>
        <v/>
      </c>
      <c r="L24">
        <f>SUM(L8:L23)</f>
        <v/>
      </c>
      <c r="M24">
        <f>SUM(M8:M23)</f>
        <v/>
      </c>
      <c r="N24">
        <f>SUM(B24:M24)</f>
        <v/>
      </c>
    </row>
    <row r="26">
      <c r="A26" t="inlineStr">
        <is>
          <t>YEAR TO DATE LESS EXPENSES</t>
        </is>
      </c>
      <c r="B26">
        <f>B5-B24</f>
        <v/>
      </c>
      <c r="C26">
        <f>C5-C24</f>
        <v/>
      </c>
      <c r="D26">
        <f>D5-D24</f>
        <v/>
      </c>
      <c r="E26">
        <f>E5-E24</f>
        <v/>
      </c>
      <c r="F26">
        <f>F5-F24</f>
        <v/>
      </c>
      <c r="G26">
        <f>G5-G24</f>
        <v/>
      </c>
      <c r="H26">
        <f>H5-H24</f>
        <v/>
      </c>
      <c r="I26">
        <f>I5-I24</f>
        <v/>
      </c>
      <c r="J26">
        <f>J5-J24</f>
        <v/>
      </c>
      <c r="K26">
        <f>K5-K24</f>
        <v/>
      </c>
      <c r="L26">
        <f>L5-L24</f>
        <v/>
      </c>
      <c r="M26">
        <f>M5-M24</f>
        <v/>
      </c>
      <c r="N26">
        <f>SUM(B26:M26)</f>
        <v/>
      </c>
    </row>
    <row r="28">
      <c r="A28" s="4" t="inlineStr">
        <is>
          <t>COGS for art objects = Cost column on Art Sales and Purchases tab (not this rollup).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Childcare 2441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BrightWheel cash</t>
        </is>
      </c>
      <c r="B4" s="3" t="n">
        <v>30668.55</v>
      </c>
      <c r="C4" t="inlineStr">
        <is>
          <t>LOCKED</t>
        </is>
      </c>
    </row>
    <row r="5">
      <c r="A5" t="inlineStr">
        <is>
          <t>Aug prepaid both kids</t>
        </is>
      </c>
      <c r="B5" s="3" t="n">
        <v>23361.05</v>
      </c>
      <c r="C5" t="inlineStr">
        <is>
          <t>LOCKED</t>
        </is>
      </c>
    </row>
    <row r="6">
      <c r="A6" t="inlineStr">
        <is>
          <t>Kids Empire</t>
        </is>
      </c>
      <c r="B6" s="3" t="inlineStr">
        <is>
          <t>EXCLUDED 233.28</t>
        </is>
      </c>
      <c r="C6" t="inlineStr">
        <is>
          <t>LOCKED</t>
        </is>
      </c>
    </row>
    <row r="7">
      <c r="A7" t="inlineStr">
        <is>
          <t>Babysitting Zelle</t>
        </is>
      </c>
      <c r="B7" s="3" t="inlineStr">
        <is>
          <t>EXCLUDED 100</t>
        </is>
      </c>
      <c r="C7" t="inlineStr">
        <is>
          <t>LOCKED</t>
        </is>
      </c>
    </row>
    <row r="8">
      <c r="A8" t="inlineStr">
        <is>
          <t>BrightWheel EIN</t>
        </is>
      </c>
      <c r="B8" s="4" t="inlineStr">
        <is>
          <t>TBD</t>
        </is>
      </c>
      <c r="C8" t="inlineStr">
        <is>
          <t>TBD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2026-09-18T01:28:40Z</dcterms:modified>
</cp:coreProperties>
</file>