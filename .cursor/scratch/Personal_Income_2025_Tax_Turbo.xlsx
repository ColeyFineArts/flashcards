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16">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xf numFmtId="0" fontId="27" fillId="26" borderId="0" applyAlignment="1" pivotButton="0" quotePrefix="0" xfId="0">
      <alignment vertical="top" wrapText="1"/>
    </xf>
    <xf numFmtId="0" fontId="24" fillId="26" borderId="0" applyAlignment="1" pivotButton="0" quotePrefix="0" xfId="0">
      <alignment vertical="top" wrapText="1"/>
    </xf>
    <xf numFmtId="0" fontId="0" fillId="24" borderId="0" applyAlignment="1" pivotButton="0" quotePrefix="0" xfId="0">
      <alignment wrapText="1"/>
    </xf>
    <xf numFmtId="164" fontId="12" fillId="28" borderId="5" applyAlignment="1" pivotButton="0" quotePrefix="0" xfId="0">
      <alignment vertical="center"/>
    </xf>
    <xf numFmtId="0" fontId="24" fillId="28" borderId="0" applyAlignment="1" pivotButton="0" quotePrefix="0" xfId="0">
      <alignment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72" customHeight="1" s="137">
      <c r="A39" s="213" t="inlineStr">
        <is>
          <t>2025: platform STR net on RENTAL INCOME (Jun–Nov). TruGreen/Alsip on YARD SERVICE (same as 2024). Grove Collaborative on SUPPLIES (≠ 827 N Grove the house). INSURANCE LOCK 2026-09-20: Travelers was prior 524 home; Geico was the cars. Only State Farm HOME share on this INSURANCE line (50/50 U1/U2). Auto + Geico $540.89 credit personal, not EPGC. Travelers leftover Jan 2025 is 524 home ($0 on cards/Monarch).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214"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64" customHeight="1" s="137">
      <c r="B64" s="215" t="inlineStr">
        <is>
          <t>LOCKED 2026-09-20: 216 LTR insurance = Lemonade $514.00 cash 10/3 on Megan Chase (1702). Same annual Oct 3 Lemonade as 2023 $321 (= Excel $26.75/mo renter's) and 2024 $421 (≈ Excel $35.08/mo renter's). 2025 books cash in October (not amortized). Travelers = prior 524 Ferdinand home (not 216). Geico = cars. State Farm 2025 bundle = Ferdinand car+home — only home share on 524, not 216. No other Oak Park policy cash on Prime/Sapphire/BoA/0203/8507/Monarch. Not tax advice.</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178" t="inlineStr">
        <is>
          <t>Total</t>
        </is>
      </c>
      <c r="H78" s="138">
        <f>SUM(H51:H75)</f>
        <v/>
      </c>
    </row>
    <row r="79" ht="48" customHeight="1" s="137">
      <c r="A79"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 sale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1" t="inlineStr">
        <is>
          <t>2025 Mercury Fortuna inventory — Venus + Roman Gold Belt LOCKED; Aug $20k unnamed ASK</t>
        </is>
      </c>
    </row>
    <row r="130" ht="14.25" customHeight="1" s="137">
      <c r="A130" s="181" t="inlineStr">
        <is>
          <t>Bronze head of a goddess, likely Venus — Fortuna inventory</t>
        </is>
      </c>
      <c r="B130" s="181" t="inlineStr">
        <is>
          <t>Mercury 8291</t>
        </is>
      </c>
      <c r="C130" s="203" t="n">
        <v>20000</v>
      </c>
      <c r="D130" s="202" t="inlineStr">
        <is>
          <t>2025-05-09</t>
        </is>
      </c>
      <c r="I130" s="208" t="inlineStr">
        <is>
          <t>LOCKED 2026-09-20 from Mercury native CSV note. Parked Cost. Not sold 2025 — not in sold-lot Cost. Not tax advice.</t>
        </is>
      </c>
    </row>
    <row r="131" ht="14.25" customHeight="1" s="137">
      <c r="A131" s="181" t="inlineStr">
        <is>
          <t>Roman Gold Belt — Fortuna inventory</t>
        </is>
      </c>
      <c r="B131" s="181" t="inlineStr">
        <is>
          <t>Mercury 8291</t>
        </is>
      </c>
      <c r="C131" s="203" t="n">
        <v>45000</v>
      </c>
      <c r="D131" s="202" t="inlineStr">
        <is>
          <t>2025-07-21</t>
        </is>
      </c>
      <c r="I131" s="208" t="inlineStr">
        <is>
          <t>LOCKED 2026-09-20 from Mercury native CSV note. Parked Cost. Not sold 2025 — not in sold-lot Cost. Not tax advice.</t>
        </is>
      </c>
    </row>
    <row r="132" ht="14.25" customHeight="1" s="137">
      <c r="A132" s="185" t="inlineStr">
        <is>
          <t>Fortuna / Erdal Dere — object still unnamed (native 8/18 = Monarch 8/15)</t>
        </is>
      </c>
      <c r="B132" s="185" t="inlineStr">
        <is>
          <t>Mercury 8291</t>
        </is>
      </c>
      <c r="C132" s="157" t="n">
        <v>20000</v>
      </c>
      <c r="D132" s="200" t="inlineStr">
        <is>
          <t>2025-08-15</t>
        </is>
      </c>
      <c r="I132" s="190" t="inlineStr">
        <is>
          <t>ASK: same $20,000 as Mercury native 2025-08-18. No object name. Do not add to sold Cost. Not a second unique txn.</t>
        </is>
      </c>
    </row>
    <row r="133" ht="14.25" customHeight="1" s="137">
      <c r="A133" s="0" t="inlineStr">
        <is>
          <t>Fortuna unnamed remaining 2025 (excl. seals $13,000 + Venus $20,000 + Belt $45,000)</t>
        </is>
      </c>
      <c r="C133" s="157" t="n">
        <v>20000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119:I119"/>
    <mergeCell ref="A79:I7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72" customHeight="1" s="137">
      <c r="A45" s="213" t="inlineStr">
        <is>
          <t>2025 columns P–AB. Residence through sale 2025-12-18. MORTGAGE = US Bank loan 09422 monthly P+I from joint 0203 (not $50k extra principal on 9922 Jul/Sep — those are not on this row). HOA n/a. INSURANCE LOCK 2026-09-20: Travelers was prior 524 home; Geico was the cars. Only State Farm HOME share on this INSURANCE line (50/50 with Unit 2). Travelers leftover Jan is 524 home ($0 on cards/Monarch). Auto + Geico credit personal — not EPGC.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(Monarch IDs). Native Mercury CSV 2026-09-20 is the same 8291 year — 0 new unique Sent cash. Coinbase ACH = investment. Newstar = jewelry COGS on intaglios/gems/scarabs. Fortuna Venus $20k (5/9) + Roman Gold Belt $45k (7/21) LOCKED inventory (not sold Cost).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 Mercury native: J.K. New York Collection | Send Money transaction initiated on Mercury</t>
        </is>
      </c>
      <c r="L4" s="182" t="inlineStr">
        <is>
          <t>Fortuna / Erdal Dere. Mercury native note: J.K. New York Collection. Matches Art Sales Cost $13,000; Berk sold it 1/10 for $14,000. Same-day Cancelled ACH to Erdal Dere (closed) is not cash.</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 Mercury native: via mercury.com | Send Money transaction initiated on Mercury</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 Mercury native: From EPGC LLC via mercury.com | Send Money transaction initiated on Mercury</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 Mercury native: via mercury.com | Send Money transaction initiated on Mercury</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 Mercury native: From EPGC LLC via mercury.com | Send Money transaction initiated on Mercury</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79" t="n">
        <v>-20000</v>
      </c>
      <c r="D20" s="178" t="inlineStr">
        <is>
          <t>OUT</t>
        </is>
      </c>
      <c r="E20" s="180" t="inlineStr">
        <is>
          <t>ART_PURCHASE</t>
        </is>
      </c>
      <c r="F20" s="181" t="inlineStr">
        <is>
          <t>LOCKED</t>
        </is>
      </c>
      <c r="G20" s="178" t="inlineStr">
        <is>
          <t>Bronze head of a goddess, likely Venus — inventory Cost</t>
        </is>
      </c>
      <c r="H20" s="178" t="inlineStr">
        <is>
          <t>no</t>
        </is>
      </c>
      <c r="I20" s="178" t="inlineStr">
        <is>
          <t>no</t>
        </is>
      </c>
      <c r="J20" s="178" t="inlineStr">
        <is>
          <t xml:space="preserve">Business Investment </t>
        </is>
      </c>
      <c r="K20" s="178" t="inlineStr">
        <is>
          <t>Merchant name: Erdal Dere (Fortuna); Mercury native: For bronze head of a goddess, likely Venus | Send Money transaction initiated on Mercury</t>
        </is>
      </c>
      <c r="L20" s="182" t="inlineStr">
        <is>
          <t>Mercury native 2025 CSV note: 'For bronze head of a goddess, likely Venus'. Inventory purchase from Fortuna / Erdal. Not sold on 2025 Art Sales — parked Cost, not in sold-lot Cost (avoid double count). Not dumped onto Consultant or Art Sales P&amp;L.</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 on Monarch — NOT on Mercury native Sent</t>
        </is>
      </c>
      <c r="H31" s="178" t="inlineStr">
        <is>
          <t>no</t>
        </is>
      </c>
      <c r="I31" s="178" t="inlineStr">
        <is>
          <t>no</t>
        </is>
      </c>
      <c r="J31" s="178" t="inlineStr">
        <is>
          <t>Transfer</t>
        </is>
      </c>
      <c r="K31" s="178" t="inlineStr">
        <is>
          <t>Merchant name: Aysel Dere</t>
        </is>
      </c>
      <c r="L31" s="182" t="inlineStr">
        <is>
          <t>Monarch 7/18 +$50,000 IN. Mercury native 2025 CSV (user upload 2026-09-20) has no Sent Aysel cash. Native has Failed $50,000 OUT 7/17 'Recipient account does not exist'. Keep on ASK — do not dump onto Art Sales or Consultant. Is the Monarch IN a phantom of the failed send?</t>
        </is>
      </c>
    </row>
    <row r="32" ht="36" customHeight="1" s="137">
      <c r="A32" s="178" t="inlineStr">
        <is>
          <t>2025-07-21</t>
        </is>
      </c>
      <c r="B32" s="178" t="inlineStr">
        <is>
          <t>Erdal Dere (Fortuna)</t>
        </is>
      </c>
      <c r="C32" s="179" t="n">
        <v>-45000</v>
      </c>
      <c r="D32" s="178" t="inlineStr">
        <is>
          <t>OUT</t>
        </is>
      </c>
      <c r="E32" s="180" t="inlineStr">
        <is>
          <t>ART_PURCHASE</t>
        </is>
      </c>
      <c r="F32" s="181" t="inlineStr">
        <is>
          <t>LOCKED</t>
        </is>
      </c>
      <c r="G32" s="178" t="inlineStr">
        <is>
          <t>Roman Gold Belt — inventory Cost</t>
        </is>
      </c>
      <c r="H32" s="178" t="inlineStr">
        <is>
          <t>no</t>
        </is>
      </c>
      <c r="I32" s="178" t="inlineStr">
        <is>
          <t>no</t>
        </is>
      </c>
      <c r="J32" s="178" t="inlineStr">
        <is>
          <t xml:space="preserve">Business Investment </t>
        </is>
      </c>
      <c r="K32" s="178" t="inlineStr">
        <is>
          <t>Merchant name: Erdal Dere (Fortuna); Mercury native: From EPGC LLC via mercury.com | Roman Gold Belt | Send Money transaction initiated on Mercury</t>
        </is>
      </c>
      <c r="L32" s="182" t="inlineStr">
        <is>
          <t>Mercury native 2025 CSV note: Roman Gold Belt. Inventory purchase from Fortuna / Erdal. Not sold on 2025 Art Sales — parked Cost, not in sold-lot Cost. Same week as L5 $50k / Monarch Aysel $50k ASK / Erdal $26k IN.</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object still unnamed</t>
        </is>
      </c>
      <c r="H35" s="178" t="inlineStr">
        <is>
          <t>no</t>
        </is>
      </c>
      <c r="I35" s="178" t="inlineStr">
        <is>
          <t>no</t>
        </is>
      </c>
      <c r="J35" s="178" t="inlineStr">
        <is>
          <t xml:space="preserve">Business Investment </t>
        </is>
      </c>
      <c r="K35" s="178" t="inlineStr">
        <is>
          <t>Merchant name: Erdal Dere (Fortuna); Mercury native: From EPGC LLC via mercury.com | Send Money transaction initiated on Mercury</t>
        </is>
      </c>
      <c r="L35" s="182" t="inlineStr">
        <is>
          <t>Same $20,000 OUT as Mercury native initiated 2025-08-18 / Monarch posted 2025-08-15. No object name in the native memo ('From EPGC LLC via mercury.com'). Inventory vs other? Do not add to sold Cost until named. Not a second unique txn.</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 Mercury native: From EPGC LLC via mercury.com | 1 of 3 payments | Send Money transaction initiated on Mercury</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 Mercury native: via mercury.com; Vendor: Ariadne Demirjian LLC Roth 401k Account 5386-8600 | Send Money transaction initiated on Mercury</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 Mercury native: From EPGC LLC via mercury.com | Send Money transaction initiated on Mercury</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 Mercury native: From EPGC LLC via mercury.com 3 of 3 | Send Money transaction initiated on Mercury</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30"/>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(blue) — remainder dollars unallocated until invoice split. Not tax advice.</t>
        </is>
      </c>
    </row>
    <row r="3">
      <c r="A3" s="188" t="inlineStr">
        <is>
          <t>Question</t>
        </is>
      </c>
      <c r="B3" s="188" t="inlineStr">
        <is>
          <t>What I need</t>
        </is>
      </c>
    </row>
    <row r="4" ht="48" customHeight="1" s="137">
      <c r="A4" s="211" t="inlineStr">
        <is>
          <t>1. EOEB LLC remainder after mosaics — MIXED PATTERN CONFIRMED, dollars unallocated</t>
        </is>
      </c>
      <c r="B4" s="212" t="inlineStr">
        <is>
          <t>$130,270.00 of EOEB IN is not mosaics $105,000 and not Wise reimburse $565.75. User 2026-09-20: EOEB is mixed art sales AND advisory/consultant fees. Do NOT dump this remainder onto Consultant or Art Sales. Mark each invoice sale vs advisory: 1/16 $1,000 (Canosan-horse STILL OPEN — Art Sales horse is to Erdal, this cash is EOEB); 3/10 $14,000; 5/1 $21,000; 5/13 $16,200; 6/12 $25,000 + $3,300; 7/8 $2,000; 8/29 $10,000; 9/19 $5,000; 9/25 $3,100; 10/1 $10,000; 10/15 $16,000; 10/24 $1,500; 10/31 $2,170.</t>
        </is>
      </c>
    </row>
    <row r="5" ht="48" customHeight="1" s="137">
      <c r="A5" s="211" t="inlineStr">
        <is>
          <t>2. L5 (all seven invoices) — MIXED PATTERN CONFIRMED, dollars unallocated</t>
        </is>
      </c>
      <c r="B5" s="212" t="inlineStr">
        <is>
          <t>$87,396.32. User 2026-09-20: L5 is mixed art sales AND advisory/consultant fees. Do NOT dump onto Consultant or Art Sales. Mark each invoice sale vs advisory: 7/11 $8,534.79; 7/15 $50,000 + $2,500 (same week as Aysel $50k / Fortuna $45k); 9/2 $5,042; 9/23 $9,119.27; 10/21 $7,500; 12/4 $4,700.26.</t>
        </is>
      </c>
    </row>
    <row r="6" ht="48" customHeight="1" s="137">
      <c r="A6" s="189" t="inlineStr">
        <is>
          <t>3. Fortuna / Erdal $20,000 Aug — object still unnamed</t>
        </is>
      </c>
      <c r="B6" s="190" t="inlineStr">
        <is>
          <t>$20,000.00. Monarch posted 8/15 = Mercury native initiated 8/18 (same cash, not a second unique txn). Native memo has no object name. Venus $20,000 (5/9) and Roman Gold Belt $45,000 (7/21) are LOCKED inventory below — not this question.</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 Monarch IN vs native Failed OUT</t>
        </is>
      </c>
      <c r="B8" s="190" t="inlineStr">
        <is>
          <t>Monarch 7/18 +$50,000 IN is in the 64. Mercury native CSV has NO Sent Aysel cash — only Failed $50,000 OUT 7/17 'Recipient account does not exist'. Is the Monarch IN a phantom of the failed send, or a real incoming the export omitted? Do not dump onto Art Sales or Consultant until confirmed.</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row r="27">
      <c r="A27" s="181" t="inlineStr">
        <is>
          <t>EOEB / L5 mixed pattern</t>
        </is>
      </c>
      <c r="B27" s="181" t="inlineStr">
        <is>
          <t>CONFIRMED mixed art sales AND advisory/consultant. Remainder $130,270 / $87,396.32 unallocated — not on P&amp;L until invoice split. Jan 16 $1,000 Canosan-horse still open.</t>
        </is>
      </c>
    </row>
    <row r="28">
      <c r="A28" s="181" t="inlineStr">
        <is>
          <t>Fortuna Venus inventory</t>
        </is>
      </c>
      <c r="B28" s="181" t="inlineStr">
        <is>
          <t>$20,000 OUT 5/9 LOCKED. Mercury native note: bronze head of a goddess, likely Venus. Parked Cost — not sold 2025, not dumped onto Art Sales/Consultant.</t>
        </is>
      </c>
    </row>
    <row r="29">
      <c r="A29" s="181" t="inlineStr">
        <is>
          <t>Fortuna Roman Gold Belt</t>
        </is>
      </c>
      <c r="B29" s="181" t="inlineStr">
        <is>
          <t>$45,000 OUT 7/21 LOCKED. Mercury native note: Roman Gold Belt. Parked Cost — not sold 2025, not dumped onto Art Sales/Consultant.</t>
        </is>
      </c>
    </row>
    <row r="30">
      <c r="A30" s="181" t="inlineStr">
        <is>
          <t>Native CSV 2026-09-20</t>
        </is>
      </c>
      <c r="B30" s="181" t="inlineStr">
        <is>
          <t>epgc-llc-transactions-2025-jan-01-to-2025-dec-31.csv is account 8291, same 2025 year already classified. 0 new unique Sent cash vs the 64. Failed Aysel 7/17 and Cancelled Erdal 1/8 are not cash.</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2026-09-20T15:48:36Z</dcterms:modified>
</cp:coreProperties>
</file>