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s>
  <externalReferences>
    <externalReference r:id="rId15"/>
  </externalReferences>
  <definedNames>
    <definedName name="a">'Art Sales and Purchases'!$A$3627</definedName>
    <definedName name="a" localSheetId="1">#REF!</definedName>
    <definedName name="a" localSheetId="2">#REF!</definedName>
    <definedName name="a" localSheetId="10">#REF!</definedName>
  </definedNames>
  <calcPr calcId="124519" fullCalcOnLoad="1"/>
</workbook>
</file>

<file path=xl/styles.xml><?xml version="1.0" encoding="utf-8"?>
<styleSheet xmlns="http://schemas.openxmlformats.org/spreadsheetml/2006/main">
  <numFmts count="6">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s>
  <fonts count="33">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s>
  <fills count="29">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176">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externalLink" Target="/xl/externalLinks/externalLink1.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0" authorId="0" shapeId="0">
      <text>
        <t>======
ID#AAABsxbhmK0
Jacob Coley    (2025-10-30 02:56:34)
2,000 for collection and 2,005
to Amyas for mount making</t>
      </text>
    </comment>
    <comment ref="C98"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0</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36" customHeight="1" s="137">
      <c r="A12" s="140" t="inlineStr">
        <is>
          <t>2025 Actual: I4 Monarch paycheck cash ≠ W-2 Box 1. I5 216 LTR cash $19,500. I6 524 #2 STR platform net LOCKED. I7 GCM 1099-NEC $21,500. I8 Art net $0 until Sale 6428 Cost.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5"/>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52" t="n">
        <v>15000</v>
      </c>
      <c r="C53" s="152" t="n">
        <v>30000</v>
      </c>
      <c r="D53" s="152" t="n">
        <v>14000</v>
      </c>
      <c r="E53" s="88" t="n">
        <v>0</v>
      </c>
      <c r="F53" s="152" t="n">
        <v>37200</v>
      </c>
      <c r="G53" s="152" t="n">
        <v>41895</v>
      </c>
      <c r="H53" s="152" t="n">
        <v>37034.79</v>
      </c>
      <c r="I53" s="152" t="n">
        <v>10000</v>
      </c>
      <c r="J53" s="152" t="n">
        <v>22261.27</v>
      </c>
      <c r="K53" s="152" t="n">
        <v>50670</v>
      </c>
      <c r="L53" s="152" t="n">
        <v>6000</v>
      </c>
      <c r="M53" s="88" t="n">
        <v>0</v>
      </c>
      <c r="N53" s="88" t="n">
        <v>26294.06</v>
      </c>
    </row>
    <row r="54" ht="14.25" customHeight="1" s="137">
      <c r="A54" s="122" t="inlineStr">
        <is>
          <t>Consultant</t>
        </is>
      </c>
      <c r="B54" s="153" t="n">
        <v>0</v>
      </c>
      <c r="C54" s="153" t="n">
        <v>0</v>
      </c>
      <c r="D54" s="153" t="n">
        <v>0</v>
      </c>
      <c r="E54" s="153" t="n">
        <v>0</v>
      </c>
      <c r="F54" s="153" t="n">
        <v>0</v>
      </c>
      <c r="G54" s="153" t="n">
        <v>0</v>
      </c>
      <c r="H54" s="153" t="n">
        <v>0</v>
      </c>
      <c r="I54" s="153" t="n">
        <v>0</v>
      </c>
      <c r="J54" s="153" t="n">
        <v>0</v>
      </c>
      <c r="K54" s="153" t="n">
        <v>0</v>
      </c>
      <c r="L54" s="153" t="n">
        <v>0</v>
      </c>
      <c r="M54" s="153" t="n">
        <v>0</v>
      </c>
      <c r="N54" s="122">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88" t="n">
        <v>13.59</v>
      </c>
      <c r="C58" s="88" t="n">
        <v>5.94</v>
      </c>
      <c r="D58" s="88" t="n">
        <v>31.89</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88" t="n">
        <v>263.98</v>
      </c>
      <c r="H61" s="88" t="n">
        <v>165</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88" t="n"/>
      <c r="C69" s="88" t="n"/>
      <c r="D69" s="88" t="n"/>
      <c r="E69" s="88" t="n"/>
      <c r="F69" s="88" t="n"/>
      <c r="G69" s="88" t="n"/>
      <c r="H69" s="88" t="n"/>
      <c r="I69" s="88" t="n"/>
      <c r="J69" s="88" t="n">
        <v>316.5</v>
      </c>
      <c r="K69" s="88" t="n"/>
      <c r="L69" s="88" t="n"/>
      <c r="M69" s="88" t="n"/>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14.25" customHeight="1" s="137">
      <c r="A75" s="0" t="inlineStr">
        <is>
          <t>2025: Consultant $0 (GCM 1099 is personal — GCM tab). Cellphone includes AT&amp;T. Canva + Park Chicago + Field Museum in Software / Travel.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6:N2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17"/>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t="n"/>
      <c r="I51" s="105" t="n"/>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t="n"/>
      <c r="I52" s="105" t="n"/>
    </row>
    <row r="53" ht="14.25" customHeight="1" s="137">
      <c r="A53" s="113" t="inlineStr">
        <is>
          <t>A Stone Cylinder Seal</t>
        </is>
      </c>
      <c r="B53" s="104" t="inlineStr">
        <is>
          <t>Estate Sale</t>
        </is>
      </c>
      <c r="C53" s="114" t="n">
        <v>300</v>
      </c>
      <c r="D53" s="113" t="n"/>
      <c r="E53" s="113" t="inlineStr">
        <is>
          <t>Harlan J. Berk</t>
        </is>
      </c>
      <c r="F53" s="114" t="n"/>
      <c r="G53" s="115" t="n">
        <v>45695</v>
      </c>
      <c r="H53" s="113" t="n"/>
      <c r="I53" s="105" t="n"/>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t="n"/>
      <c r="I54" s="105" t="n"/>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t="n"/>
      <c r="I55" s="105" t="n"/>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t="n"/>
      <c r="I56" s="105" t="n"/>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t="n"/>
      <c r="I57" s="105" t="n"/>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t="n"/>
      <c r="I58" s="105" t="n"/>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t="n"/>
      <c r="I59" s="105" t="n"/>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t="n"/>
      <c r="I60" s="105" t="n"/>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t="n"/>
      <c r="I61" s="105" t="n"/>
    </row>
    <row r="62" ht="14.25" customHeight="1" s="137">
      <c r="A62" s="122" t="inlineStr">
        <is>
          <t>An Attic Black-Figured Fragment</t>
        </is>
      </c>
      <c r="B62" s="116" t="inlineStr">
        <is>
          <t>Hindman</t>
        </is>
      </c>
      <c r="C62" s="88" t="n">
        <v>334.44</v>
      </c>
      <c r="D62" s="92" t="n">
        <v>45071</v>
      </c>
      <c r="E62" s="105" t="inlineStr">
        <is>
          <t>Harlan J. Berk</t>
        </is>
      </c>
      <c r="G62" s="115" t="n">
        <v>45695</v>
      </c>
    </row>
    <row r="63" ht="14.25" customHeight="1" s="137">
      <c r="A63" s="122" t="inlineStr">
        <is>
          <t>A Luristan Bronze Ibex</t>
        </is>
      </c>
      <c r="B63" s="116" t="inlineStr">
        <is>
          <t>Hindman</t>
        </is>
      </c>
      <c r="C63" s="88" t="n">
        <v>234.44</v>
      </c>
      <c r="D63" s="92" t="n">
        <v>45071</v>
      </c>
      <c r="E63" s="105" t="inlineStr">
        <is>
          <t>Harlan J. Berk</t>
        </is>
      </c>
      <c r="G63" s="115" t="n">
        <v>45695</v>
      </c>
    </row>
    <row r="64" ht="14.25" customHeight="1" s="137">
      <c r="A64" s="122" t="inlineStr">
        <is>
          <t>An Egyptian Swivel Ring with Scarab</t>
        </is>
      </c>
      <c r="B64" s="116" t="inlineStr">
        <is>
          <t>Live Auctioneers</t>
        </is>
      </c>
      <c r="C64" s="88" t="n">
        <v>2228.76</v>
      </c>
      <c r="D64" s="92" t="n"/>
      <c r="E64" s="105" t="inlineStr">
        <is>
          <t>Harlan J. Berk</t>
        </is>
      </c>
      <c r="G64" s="115" t="n">
        <v>45695</v>
      </c>
    </row>
    <row r="65" ht="14.25" customHeight="1" s="137">
      <c r="A65" s="122" t="inlineStr">
        <is>
          <t>A Canosan Terracotta Horse</t>
        </is>
      </c>
      <c r="B65" s="116" t="inlineStr">
        <is>
          <t>Hindman</t>
        </is>
      </c>
      <c r="C65" s="88" t="n">
        <v>1000</v>
      </c>
      <c r="D65" s="92" t="n"/>
      <c r="E65" s="105" t="inlineStr">
        <is>
          <t>Harlan J. Berk</t>
        </is>
      </c>
      <c r="G65" s="115" t="n">
        <v>45695</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I66" s="105" t="n"/>
    </row>
    <row r="67" ht="14.25" customHeight="1" s="137">
      <c r="A67" s="122" t="inlineStr">
        <is>
          <t>Roman Marble Base with Foot</t>
        </is>
      </c>
      <c r="B67" s="104" t="inlineStr">
        <is>
          <t>Arte Primitivo</t>
        </is>
      </c>
      <c r="C67" s="103" t="n">
        <v>500</v>
      </c>
      <c r="D67" s="92" t="n"/>
      <c r="E67" s="122" t="inlineStr">
        <is>
          <t>Harlan J. Berk</t>
        </is>
      </c>
      <c r="F67" s="88" t="n"/>
      <c r="G67" s="115" t="n">
        <v>45695</v>
      </c>
      <c r="I67" s="105" t="n"/>
    </row>
    <row r="68" ht="14.25" customHeight="1" s="137">
      <c r="A68" s="122" t="inlineStr">
        <is>
          <t>Neolithic Flint Celt</t>
        </is>
      </c>
      <c r="B68" s="104" t="inlineStr">
        <is>
          <t>Arte Primitivo</t>
        </is>
      </c>
      <c r="C68" s="88" t="n">
        <v>195.78</v>
      </c>
      <c r="D68" s="92" t="n">
        <v>44908</v>
      </c>
      <c r="E68" s="122" t="inlineStr">
        <is>
          <t>Harlan J. Berk</t>
        </is>
      </c>
      <c r="F68" s="88" t="n"/>
      <c r="G68" s="115" t="n">
        <v>45695</v>
      </c>
      <c r="I68" s="105" t="n"/>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I69" s="105" t="n"/>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I70" s="105" t="n"/>
    </row>
    <row r="71" ht="14.25" customHeight="1" s="137">
      <c r="B71" s="104" t="n"/>
      <c r="C71" s="88">
        <f>SUM(C51:C70)</f>
        <v/>
      </c>
      <c r="D71" s="92" t="n"/>
      <c r="F71" s="88" t="n">
        <v>30000</v>
      </c>
      <c r="G71" s="115" t="n"/>
      <c r="H71" s="88">
        <f>SUM(F71-C71)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14" t="n">
        <v>13000</v>
      </c>
      <c r="D73" s="113" t="n"/>
      <c r="E73" s="113" t="inlineStr">
        <is>
          <t>Harlan J. Berk</t>
        </is>
      </c>
      <c r="F73" s="114" t="n">
        <v>14000</v>
      </c>
      <c r="G73" s="113" t="n"/>
      <c r="H73" s="88">
        <f>SUM(F73-C73)</f>
        <v/>
      </c>
      <c r="I73" s="105" t="n"/>
    </row>
    <row r="74" ht="14.25" customHeight="1" s="137">
      <c r="A74" s="113" t="inlineStr">
        <is>
          <t>Three Ancient Mosaics</t>
        </is>
      </c>
      <c r="B74" s="104" t="inlineStr">
        <is>
          <t>Jamal Rifai and Antiquarium</t>
        </is>
      </c>
      <c r="C74" s="114" t="n">
        <v>90000</v>
      </c>
      <c r="D74" s="115" t="n">
        <v>45709</v>
      </c>
      <c r="E74" s="113" t="inlineStr">
        <is>
          <t>Jonathan Yantis</t>
        </is>
      </c>
      <c r="F74" s="114"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89" t="inlineStr">
        <is>
          <t>Total</t>
        </is>
      </c>
      <c r="B77" s="104" t="n"/>
      <c r="C77" s="114" t="n"/>
      <c r="D77" s="113" t="n"/>
      <c r="E77" s="113" t="n"/>
      <c r="F77" s="114" t="n"/>
      <c r="G77" s="113" t="n"/>
      <c r="H77" s="114">
        <f>SUM(H51:H75)</f>
        <v/>
      </c>
      <c r="I77" s="105" t="n"/>
    </row>
    <row r="78" ht="14.25" customHeight="1" s="137">
      <c r="B78" s="117" t="n"/>
      <c r="C78" s="118" t="n"/>
      <c r="D78" s="118" t="n"/>
      <c r="E78" s="118" t="n"/>
      <c r="F78" s="118" t="n"/>
      <c r="G78" s="118" t="n"/>
      <c r="H78" s="118" t="n"/>
      <c r="I78" s="105" t="n"/>
    </row>
    <row r="79" ht="14.25" customHeight="1" s="137">
      <c r="A79" s="119" t="inlineStr">
        <is>
          <t>Art Purchases/Inventory</t>
        </is>
      </c>
      <c r="B79" s="120" t="n"/>
      <c r="C79" s="100" t="n"/>
      <c r="D79" s="101" t="n"/>
      <c r="E79" s="99" t="n"/>
      <c r="F79" s="100" t="n"/>
      <c r="G79" s="101" t="n"/>
      <c r="H79" s="99" t="n"/>
      <c r="I79" s="121" t="n"/>
      <c r="J79" s="99" t="n"/>
      <c r="K79" s="99" t="n"/>
      <c r="L79" s="99" t="n"/>
      <c r="M79" s="99" t="n"/>
      <c r="N79" s="99" t="n"/>
      <c r="O79" s="99" t="n"/>
      <c r="P79" s="99" t="n"/>
      <c r="Q79" s="99" t="n"/>
      <c r="R79" s="99" t="n"/>
      <c r="S79" s="99" t="n"/>
      <c r="T79" s="99" t="n"/>
      <c r="U79" s="99" t="n"/>
      <c r="V79" s="99" t="n"/>
      <c r="W79" s="99" t="n"/>
      <c r="X79" s="99" t="n"/>
      <c r="Y79" s="99" t="n"/>
      <c r="Z79" s="99" t="n"/>
    </row>
    <row r="80" ht="14.25" customHeight="1" s="137">
      <c r="A80" s="122" t="inlineStr">
        <is>
          <t>30 Paleothic and Neolithic Stone Tools</t>
        </is>
      </c>
      <c r="B80" s="116" t="inlineStr">
        <is>
          <t>Holestein</t>
        </is>
      </c>
      <c r="C80" s="88" t="n">
        <v>4000</v>
      </c>
      <c r="E80" s="105" t="n"/>
    </row>
    <row r="81" ht="14.25" customHeight="1" s="137">
      <c r="A81" s="122" t="inlineStr">
        <is>
          <t>A Tairona Figure</t>
        </is>
      </c>
      <c r="B81" s="116" t="inlineStr">
        <is>
          <t>Live Auctioneers</t>
        </is>
      </c>
      <c r="C81" s="88" t="n">
        <v>250</v>
      </c>
      <c r="D81" s="92" t="n">
        <v>45119</v>
      </c>
      <c r="E81" s="105" t="n"/>
    </row>
    <row r="82" ht="14.25" customHeight="1" s="137">
      <c r="A82" s="122" t="inlineStr">
        <is>
          <t>A Tairona Figure</t>
        </is>
      </c>
      <c r="B82" s="116" t="inlineStr">
        <is>
          <t>Live Auctioneers</t>
        </is>
      </c>
      <c r="C82" s="88" t="n">
        <v>300</v>
      </c>
      <c r="D82" s="92" t="n">
        <v>45119</v>
      </c>
      <c r="E82" s="105" t="n"/>
    </row>
    <row r="83" ht="14.25" customHeight="1" s="137">
      <c r="A83" s="122" t="inlineStr">
        <is>
          <t>A Pair of Greek Bronze Greeves</t>
        </is>
      </c>
      <c r="B83" s="116" t="inlineStr">
        <is>
          <t>ebay</t>
        </is>
      </c>
      <c r="C83" s="88" t="n">
        <v>200</v>
      </c>
      <c r="D83" s="92" t="n">
        <v>45145</v>
      </c>
      <c r="E83" s="105" t="n"/>
    </row>
    <row r="84" ht="14.25" customHeight="1" s="137">
      <c r="A84" s="122" t="inlineStr">
        <is>
          <t>An Illyrian Bronze Helmet</t>
        </is>
      </c>
      <c r="B84" s="116" t="inlineStr">
        <is>
          <t>ebay</t>
        </is>
      </c>
      <c r="C84" s="88" t="n">
        <v>551.25</v>
      </c>
      <c r="D84" s="92" t="n">
        <v>45114</v>
      </c>
      <c r="E84" s="105" t="n"/>
    </row>
    <row r="85" ht="14.25" customHeight="1" s="137">
      <c r="A85" s="122" t="inlineStr">
        <is>
          <t>An Egyptian Faience Ibis</t>
        </is>
      </c>
      <c r="B85" s="104" t="inlineStr">
        <is>
          <t>Hindman</t>
        </is>
      </c>
      <c r="C85" s="88" t="n">
        <v>375</v>
      </c>
      <c r="D85" s="92" t="n">
        <v>44343</v>
      </c>
      <c r="E85" s="92" t="n"/>
      <c r="F85" s="88" t="n"/>
      <c r="I85" s="105" t="n"/>
    </row>
    <row r="86" ht="14.25" customHeight="1" s="137">
      <c r="A86" s="122" t="inlineStr">
        <is>
          <t>African Stone Bracelet Upper Volta River 1 0f 4</t>
        </is>
      </c>
      <c r="B86" s="104" t="inlineStr">
        <is>
          <t>Live Auctioneers</t>
        </is>
      </c>
      <c r="C86" s="88" t="n">
        <v>293</v>
      </c>
      <c r="D86" s="92" t="n">
        <v>44548</v>
      </c>
      <c r="F86" s="88" t="n"/>
      <c r="I86" s="105" t="n"/>
    </row>
    <row r="87" ht="14.25" customHeight="1" s="137">
      <c r="A87" s="122" t="inlineStr">
        <is>
          <t>African Stone Bracelet Upper Volta River 2 0f 4</t>
        </is>
      </c>
      <c r="B87" s="104" t="inlineStr">
        <is>
          <t>Live Auctioneers</t>
        </is>
      </c>
      <c r="C87" s="88" t="n">
        <v>293</v>
      </c>
      <c r="D87" s="92" t="n">
        <v>44548</v>
      </c>
      <c r="F87" s="88" t="n"/>
      <c r="I87" s="105" t="n"/>
    </row>
    <row r="88" ht="14.25" customHeight="1" s="137">
      <c r="A88" s="122" t="inlineStr">
        <is>
          <t>African Stone Bracelet Upper Volta River 4 0f 4</t>
        </is>
      </c>
      <c r="B88" s="104" t="inlineStr">
        <is>
          <t>Live Auctioneers</t>
        </is>
      </c>
      <c r="C88" s="88" t="n">
        <v>293</v>
      </c>
      <c r="D88" s="92" t="n">
        <v>44548</v>
      </c>
      <c r="F88" s="88" t="n"/>
      <c r="I88" s="105" t="n"/>
    </row>
    <row r="89" ht="14.25" customHeight="1" s="137">
      <c r="A89" s="122" t="inlineStr">
        <is>
          <t>A Saharan Stone Discoidal</t>
        </is>
      </c>
      <c r="B89" s="104" t="inlineStr">
        <is>
          <t>Pace African Art</t>
        </is>
      </c>
      <c r="C89" s="88" t="n">
        <v>1000</v>
      </c>
      <c r="D89" s="92" t="n">
        <v>44562</v>
      </c>
      <c r="F89" s="88" t="n"/>
      <c r="I89" s="105" t="n"/>
    </row>
    <row r="90" ht="14.25" customHeight="1" s="137">
      <c r="A90" s="122" t="inlineStr">
        <is>
          <t>Carved Ostrish Egg</t>
        </is>
      </c>
      <c r="B90" s="104" t="inlineStr">
        <is>
          <t xml:space="preserve">Etsy </t>
        </is>
      </c>
      <c r="C90" s="88" t="n">
        <v>90</v>
      </c>
      <c r="F90" s="88" t="n"/>
      <c r="I90" s="105" t="n"/>
    </row>
    <row r="91" ht="14.25" customHeight="1" s="137">
      <c r="A91" s="122" t="inlineStr">
        <is>
          <t>Carved Goose Egg</t>
        </is>
      </c>
      <c r="B91" s="104" t="inlineStr">
        <is>
          <t>Etsy</t>
        </is>
      </c>
      <c r="C91" s="88" t="n">
        <v>30</v>
      </c>
      <c r="F91" s="88" t="n"/>
      <c r="I91" s="105" t="n"/>
    </row>
    <row r="92" ht="14.25" customHeight="1" s="137">
      <c r="A92" s="122" t="inlineStr">
        <is>
          <t>Carved Goose Egg</t>
        </is>
      </c>
      <c r="B92" s="104" t="inlineStr">
        <is>
          <t>Etsy</t>
        </is>
      </c>
      <c r="C92" s="88" t="n">
        <v>35</v>
      </c>
      <c r="F92" s="88" t="n"/>
      <c r="I92" s="105" t="n"/>
    </row>
    <row r="93" ht="14.25" customHeight="1" s="137">
      <c r="A93" s="122" t="inlineStr">
        <is>
          <t>Quimbaya Figure (Gift)</t>
        </is>
      </c>
      <c r="B93" s="104" t="inlineStr">
        <is>
          <t>Jeffrey Norris</t>
        </is>
      </c>
      <c r="C93" s="88" t="n">
        <v>10</v>
      </c>
      <c r="D93" s="92" t="n">
        <v>45079</v>
      </c>
      <c r="I93" s="105" t="n"/>
    </row>
    <row r="94" ht="14.25" customHeight="1" s="137">
      <c r="A94" s="122" t="inlineStr">
        <is>
          <t>A Saharan Stone Discoidal (Gift)</t>
        </is>
      </c>
      <c r="B94" s="104" t="inlineStr">
        <is>
          <t>Aquinas Hobor</t>
        </is>
      </c>
      <c r="C94" s="88" t="n">
        <v>10</v>
      </c>
      <c r="D94" s="92" t="n">
        <v>45079</v>
      </c>
      <c r="I94" s="105" t="n"/>
    </row>
    <row r="95" ht="14.25" customHeight="1" s="137">
      <c r="A95" s="122" t="inlineStr">
        <is>
          <t>A Saharan Stone Discoidal</t>
        </is>
      </c>
      <c r="B95" s="104" t="inlineStr">
        <is>
          <t>Aquinas Hobor</t>
        </is>
      </c>
      <c r="C95" s="103" t="n">
        <v>500</v>
      </c>
      <c r="D95" s="92" t="n">
        <v>45079</v>
      </c>
      <c r="F95" s="88" t="n"/>
      <c r="I95" s="105" t="n"/>
    </row>
    <row r="96" ht="14.25" customHeight="1" s="137">
      <c r="A96" s="122" t="inlineStr">
        <is>
          <t>Two Songye and Bozo Vessels</t>
        </is>
      </c>
      <c r="B96" s="104" t="inlineStr">
        <is>
          <t>Hindman</t>
        </is>
      </c>
      <c r="C96" s="103" t="n">
        <v>138.91</v>
      </c>
      <c r="D96" s="92" t="n">
        <v>45211</v>
      </c>
      <c r="F96" s="88" t="n"/>
      <c r="I96" s="105" t="n"/>
    </row>
    <row r="97" ht="14.25" customHeight="1" s="137">
      <c r="A97" s="122" t="inlineStr">
        <is>
          <t xml:space="preserve">Sword 9th Century </t>
        </is>
      </c>
      <c r="B97" s="104" t="inlineStr">
        <is>
          <t>Zevantiques</t>
        </is>
      </c>
      <c r="C97" s="103" t="n">
        <v>3000</v>
      </c>
      <c r="D97" s="92" t="n">
        <v>45311</v>
      </c>
      <c r="F97" s="88" t="n"/>
      <c r="I97" s="105" t="n"/>
    </row>
    <row r="98" ht="14.25" customHeight="1" s="137">
      <c r="A98" s="122" t="inlineStr">
        <is>
          <t>A Roman Marble Plaque with Insciption</t>
        </is>
      </c>
      <c r="B98" s="104" t="inlineStr">
        <is>
          <t>ebay</t>
        </is>
      </c>
      <c r="C98" s="103" t="n">
        <v>1331.41</v>
      </c>
      <c r="D98" s="92" t="n">
        <v>45546</v>
      </c>
      <c r="F98" s="88" t="n"/>
      <c r="I98" s="105" t="n"/>
    </row>
    <row r="99" ht="14.25" customHeight="1" s="137">
      <c r="A99" s="122" t="inlineStr">
        <is>
          <t>Erotic Intaglio Finger Ring</t>
        </is>
      </c>
      <c r="B99" s="104" t="inlineStr">
        <is>
          <t>ebay</t>
        </is>
      </c>
      <c r="C99" s="103" t="n">
        <v>205.07</v>
      </c>
      <c r="D99" s="92" t="n">
        <v>45446</v>
      </c>
      <c r="F99" s="88" t="n"/>
      <c r="I99" s="105" t="n"/>
    </row>
    <row r="100" ht="14.25" customHeight="1" s="137">
      <c r="B100" s="104" t="n"/>
      <c r="C100" s="103" t="n"/>
      <c r="D100" s="92" t="n"/>
      <c r="F100" s="88" t="n"/>
      <c r="I100" s="105" t="n"/>
    </row>
    <row r="101" ht="14.25" customHeight="1" s="137">
      <c r="A101" s="5" t="inlineStr">
        <is>
          <t>Total</t>
        </is>
      </c>
      <c r="B101" s="104" t="n"/>
      <c r="C101" s="86" t="n"/>
      <c r="F101" s="88" t="n"/>
      <c r="I101" s="105" t="n"/>
    </row>
    <row r="102" ht="14.25" customHeight="1" s="137">
      <c r="B102" s="104" t="n"/>
      <c r="C102" s="88" t="n"/>
      <c r="F102" s="88" t="n"/>
      <c r="I102" s="105" t="n"/>
    </row>
    <row r="103" ht="14.25" customHeight="1" s="137">
      <c r="A103" s="119" t="inlineStr">
        <is>
          <t>Office/Business Inventory</t>
        </is>
      </c>
      <c r="B103" s="120" t="n"/>
      <c r="C103" s="100" t="n"/>
      <c r="D103" s="99" t="n"/>
      <c r="E103" s="99" t="n"/>
      <c r="F103" s="100" t="n"/>
      <c r="G103" s="99" t="n"/>
      <c r="H103" s="99" t="n"/>
      <c r="I103" s="121" t="n"/>
      <c r="J103" s="99" t="n"/>
      <c r="K103" s="99" t="n"/>
      <c r="L103" s="99" t="n"/>
      <c r="M103" s="99" t="n"/>
      <c r="N103" s="99" t="n"/>
      <c r="O103" s="99" t="n"/>
      <c r="P103" s="99" t="n"/>
      <c r="Q103" s="99" t="n"/>
      <c r="R103" s="99" t="n"/>
      <c r="S103" s="99" t="n"/>
      <c r="T103" s="99" t="n"/>
      <c r="U103" s="99" t="n"/>
      <c r="V103" s="99" t="n"/>
      <c r="W103" s="99" t="n"/>
      <c r="X103" s="99" t="n"/>
      <c r="Y103" s="99" t="n"/>
      <c r="Z103" s="99" t="n"/>
    </row>
    <row r="104" ht="14.25" customHeight="1" s="137">
      <c r="A104" s="122" t="inlineStr">
        <is>
          <t>Sofa</t>
        </is>
      </c>
      <c r="B104" s="104" t="n"/>
      <c r="C104" s="88" t="n"/>
      <c r="F104" s="88" t="n"/>
      <c r="I104" s="105" t="n"/>
    </row>
    <row r="105" ht="14.25" customHeight="1" s="137">
      <c r="A105" s="122" t="inlineStr">
        <is>
          <t>Space Heater</t>
        </is>
      </c>
      <c r="B105" s="104" t="n"/>
      <c r="C105" s="88" t="n"/>
      <c r="F105" s="88" t="n"/>
      <c r="I105" s="105" t="n"/>
    </row>
    <row r="106" ht="14.25" customHeight="1" s="137">
      <c r="A106" s="122" t="inlineStr">
        <is>
          <t>Shelving</t>
        </is>
      </c>
      <c r="B106" s="104" t="n"/>
      <c r="C106" s="88" t="n"/>
      <c r="F106" s="88" t="n"/>
      <c r="I106" s="105" t="n"/>
    </row>
    <row r="107" ht="14.25" customHeight="1" s="137">
      <c r="A107" s="122" t="inlineStr">
        <is>
          <t>Storage Bins</t>
        </is>
      </c>
      <c r="B107" s="104" t="n"/>
      <c r="C107" s="88" t="n"/>
      <c r="F107" s="88" t="n"/>
      <c r="I107" s="105" t="n"/>
    </row>
    <row r="108" ht="14.25" customHeight="1" s="137">
      <c r="A108" s="122" t="inlineStr">
        <is>
          <t>Table</t>
        </is>
      </c>
      <c r="B108" s="104" t="n"/>
      <c r="C108" s="88" t="n"/>
      <c r="F108" s="88" t="n"/>
      <c r="I108" s="105" t="n"/>
    </row>
    <row r="109" ht="14.25" customHeight="1" s="137">
      <c r="A109" s="122" t="inlineStr">
        <is>
          <t>Computer</t>
        </is>
      </c>
      <c r="B109" s="104" t="n"/>
      <c r="C109" s="88" t="n"/>
      <c r="F109" s="88" t="n"/>
      <c r="I109" s="105" t="n"/>
    </row>
    <row r="110" ht="14.25" customHeight="1" s="137">
      <c r="A110" s="122" t="inlineStr">
        <is>
          <t>Art Library</t>
        </is>
      </c>
      <c r="B110" s="104" t="n"/>
      <c r="C110" s="88" t="n"/>
      <c r="F110" s="88" t="n"/>
      <c r="I110" s="105" t="n"/>
    </row>
    <row r="111" ht="14.25" customHeight="1" s="137">
      <c r="A111" s="122" t="inlineStr">
        <is>
          <t>Standing Desk</t>
        </is>
      </c>
      <c r="B111" s="104" t="n"/>
      <c r="C111" s="88" t="n"/>
      <c r="F111" s="88" t="n"/>
      <c r="I111" s="105" t="n"/>
    </row>
    <row r="112" ht="14.25" customHeight="1" s="137">
      <c r="B112" s="104" t="n"/>
      <c r="C112" s="88" t="n"/>
      <c r="F112" s="88" t="n"/>
      <c r="I112" s="105" t="n"/>
    </row>
    <row r="113" ht="14.25" customHeight="1" s="137">
      <c r="A113" s="156" t="inlineStr">
        <is>
          <t>2025 CC inventory (not in Cost total until object is named)</t>
        </is>
      </c>
      <c r="B113" s="104" t="n"/>
      <c r="C113" s="88" t="n"/>
      <c r="F113" s="88" t="n"/>
      <c r="I113" s="105" t="n"/>
    </row>
    <row r="114" ht="14.25" customHeight="1" s="137">
      <c r="A114" s="0" t="inlineStr">
        <is>
          <t>Los Angeles Modern Auctions (inventory purchase)</t>
        </is>
      </c>
      <c r="B114" s="0" t="inlineStr">
        <is>
          <t>Sapphire 5423</t>
        </is>
      </c>
      <c r="C114" s="157" t="n">
        <v>6821.06</v>
      </c>
      <c r="D114" s="0" t="inlineStr">
        <is>
          <t>2025-07-24</t>
        </is>
      </c>
    </row>
    <row r="115" ht="14.25" customHeight="1" s="137">
      <c r="A115" s="0" t="inlineStr">
        <is>
          <t>Hindman LLC (inventory purchase)</t>
        </is>
      </c>
      <c r="B115" s="0" t="inlineStr">
        <is>
          <t>Sapphire 5423</t>
        </is>
      </c>
      <c r="C115" s="157" t="n">
        <v>282.24</v>
      </c>
      <c r="D115" s="0" t="inlineStr">
        <is>
          <t>2025-04-03</t>
        </is>
      </c>
    </row>
    <row r="116" ht="14.25" customHeight="1" s="137">
      <c r="A116" s="0" t="inlineStr">
        <is>
          <t>Hindman LLC (inventory purchase)</t>
        </is>
      </c>
      <c r="B116" s="0" t="inlineStr">
        <is>
          <t>Sapphire 5423</t>
        </is>
      </c>
      <c r="C116" s="157" t="n">
        <v>403.51</v>
      </c>
      <c r="D116" s="0" t="inlineStr">
        <is>
          <t>2025-07-29</t>
        </is>
      </c>
    </row>
    <row r="117" ht="14.25" customHeight="1" s="137">
      <c r="A117" s="0" t="inlineStr">
        <is>
          <t>The Great Frame Up (inventory framing)</t>
        </is>
      </c>
      <c r="B117" s="0" t="inlineStr">
        <is>
          <t>Sapphire 5423</t>
        </is>
      </c>
      <c r="C117" s="157" t="n">
        <v>536.41</v>
      </c>
      <c r="D117" s="0" t="inlineStr">
        <is>
          <t>2025-02-16</t>
        </is>
      </c>
    </row>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B3"/>
  <sheetViews>
    <sheetView workbookViewId="0">
      <selection activeCell="A1" sqref="A1"/>
    </sheetView>
  </sheetViews>
  <sheetFormatPr baseColWidth="8" defaultColWidth="14.43" defaultRowHeight="15" customHeight="1"/>
  <cols>
    <col width="39" customWidth="1" style="137" min="1" max="1"/>
    <col width="8.710000000000001" customWidth="1" style="137" min="2" max="26"/>
  </cols>
  <sheetData>
    <row r="1" ht="14.25" customHeight="1" s="137">
      <c r="A1" s="122" t="inlineStr">
        <is>
          <t>Fidelity</t>
        </is>
      </c>
      <c r="B1" s="122" t="inlineStr">
        <is>
          <t>SEP IRA</t>
        </is>
      </c>
    </row>
    <row r="2" ht="14.25" customHeight="1" s="137">
      <c r="A2" s="122" t="inlineStr">
        <is>
          <t xml:space="preserve">ML </t>
        </is>
      </c>
      <c r="B2" s="122" t="inlineStr">
        <is>
          <t>UTMA EMMA COLEY</t>
        </is>
      </c>
    </row>
    <row r="3" ht="14.25" customHeight="1" s="137">
      <c r="A3" s="122" t="inlineStr">
        <is>
          <t>ML</t>
        </is>
      </c>
      <c r="B3" s="122" t="inlineStr">
        <is>
          <t>UTMA PHOEBE COLEY</t>
        </is>
      </c>
    </row>
    <row r="4" ht="14.25" customHeight="1" s="137"/>
    <row r="5" ht="14.25" customHeight="1" s="137"/>
    <row r="6" ht="14.25" customHeight="1" s="137"/>
    <row r="7" ht="14.25" customHeight="1" s="137"/>
    <row r="8" ht="14.25" customHeight="1" s="137"/>
    <row r="9" ht="14.25" customHeight="1" s="137"/>
    <row r="10" ht="14.25" customHeight="1" s="137"/>
    <row r="11" ht="14.25" customHeight="1" s="137"/>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2"/>
    <row r="3">
      <c r="A3" t="inlineStr">
        <is>
          <t>Item</t>
        </is>
      </c>
      <c r="B3" t="inlineStr">
        <is>
          <t>Amount</t>
        </is>
      </c>
      <c r="C3" t="inlineStr">
        <is>
          <t>Status</t>
        </is>
      </c>
    </row>
    <row r="4">
      <c r="A4" t="inlineStr">
        <is>
          <t>Sale date</t>
        </is>
      </c>
      <c r="B4" s="162" t="inlineStr">
        <is>
          <t>2025-12-18</t>
        </is>
      </c>
      <c r="C4" t="inlineStr">
        <is>
          <t>LOCKED</t>
        </is>
      </c>
    </row>
    <row r="5">
      <c r="A5" t="inlineStr">
        <is>
          <t>Sale price</t>
        </is>
      </c>
      <c r="B5" s="162" t="n">
        <v>600000</v>
      </c>
      <c r="C5" t="inlineStr">
        <is>
          <t>LOCKED</t>
        </is>
      </c>
    </row>
    <row r="6">
      <c r="A6" t="inlineStr">
        <is>
          <t>Net to seller</t>
        </is>
      </c>
      <c r="B6" s="162" t="n">
        <v>216844.96</v>
      </c>
      <c r="C6" t="inlineStr">
        <is>
          <t>LOCKED</t>
        </is>
      </c>
    </row>
    <row r="7">
      <c r="A7" t="inlineStr">
        <is>
          <t>USB payoff</t>
        </is>
      </c>
      <c r="B7" s="162" t="n">
        <v>340911.17</v>
      </c>
      <c r="C7" t="inlineStr">
        <is>
          <t>LOCKED</t>
        </is>
      </c>
    </row>
    <row r="8">
      <c r="A8" t="inlineStr">
        <is>
          <t>Commission Living Well</t>
        </is>
      </c>
      <c r="B8" s="162" t="n">
        <v>15000</v>
      </c>
      <c r="C8" t="inlineStr">
        <is>
          <t>LOCKED</t>
        </is>
      </c>
    </row>
    <row r="9">
      <c r="A9" t="inlineStr">
        <is>
          <t>Unit 2 basis (2023 4562)</t>
        </is>
      </c>
      <c r="B9" s="162" t="n">
        <v>203434</v>
      </c>
      <c r="C9" t="inlineStr">
        <is>
          <t>LOCKED</t>
        </is>
      </c>
    </row>
    <row r="10">
      <c r="A10" t="inlineStr">
        <is>
          <t>Unit 2 dep 2023</t>
        </is>
      </c>
      <c r="B10" s="162" t="n">
        <v>7090</v>
      </c>
      <c r="C10" t="inlineStr">
        <is>
          <t>LOCKED</t>
        </is>
      </c>
    </row>
    <row r="11">
      <c r="A11" t="inlineStr">
        <is>
          <t>Unit 2 dep 2024</t>
        </is>
      </c>
      <c r="B11" s="163" t="inlineStr">
        <is>
          <t>TBD — 2024 Form 1040</t>
        </is>
      </c>
      <c r="C11" t="inlineStr">
        <is>
          <t>TBD</t>
        </is>
      </c>
    </row>
    <row r="12">
      <c r="A12" t="inlineStr">
        <is>
          <t>Unit 2 dep 2025 stub</t>
        </is>
      </c>
      <c r="B12" s="163" t="inlineStr">
        <is>
          <t>TBD — CPA</t>
        </is>
      </c>
      <c r="C12" t="inlineStr">
        <is>
          <t>TBD</t>
        </is>
      </c>
    </row>
    <row r="13">
      <c r="A13" t="inlineStr">
        <is>
          <t>Sec 121 allocation %</t>
        </is>
      </c>
      <c r="B13" s="163" t="inlineStr">
        <is>
          <t>TBD — CPA</t>
        </is>
      </c>
      <c r="C13"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2"/>
    <row r="3">
      <c r="A3" t="inlineStr">
        <is>
          <t>Item</t>
        </is>
      </c>
      <c r="B3" t="inlineStr">
        <is>
          <t>Amount</t>
        </is>
      </c>
      <c r="C3" t="inlineStr">
        <is>
          <t>Status</t>
        </is>
      </c>
    </row>
    <row r="4">
      <c r="A4" t="inlineStr">
        <is>
          <t>Purchase close</t>
        </is>
      </c>
      <c r="B4" s="162" t="inlineStr">
        <is>
          <t>2025-12-18</t>
        </is>
      </c>
      <c r="C4" t="inlineStr">
        <is>
          <t>LOCKED</t>
        </is>
      </c>
    </row>
    <row r="5">
      <c r="A5" t="inlineStr">
        <is>
          <t>Purchase price</t>
        </is>
      </c>
      <c r="B5" s="162" t="n">
        <v>670000</v>
      </c>
      <c r="C5" t="inlineStr">
        <is>
          <t>LOCKED</t>
        </is>
      </c>
    </row>
    <row r="6">
      <c r="A6" t="inlineStr">
        <is>
          <t>TY2025 CapEx for return</t>
        </is>
      </c>
      <c r="B6" s="162" t="n">
        <v>53660</v>
      </c>
      <c r="C6" t="inlineStr">
        <is>
          <t>LOCKED</t>
        </is>
      </c>
    </row>
    <row r="7">
      <c r="A7" t="inlineStr">
        <is>
          <t>TY2026 CapEx</t>
        </is>
      </c>
      <c r="B7" s="162" t="n">
        <v>268532</v>
      </c>
      <c r="C7" t="inlineStr">
        <is>
          <t>LOCKED</t>
        </is>
      </c>
    </row>
    <row r="8">
      <c r="A8" t="inlineStr">
        <is>
          <t>CapEx UNKNOWN</t>
        </is>
      </c>
      <c r="B8" s="163" t="n">
        <v>9401.93</v>
      </c>
      <c r="C8" t="inlineStr">
        <is>
          <t>TBD</t>
        </is>
      </c>
    </row>
    <row r="9">
      <c r="A9" t="inlineStr">
        <is>
          <t>Radon on CD</t>
        </is>
      </c>
      <c r="B9" s="163" t="n">
        <v>2550</v>
      </c>
      <c r="C9" t="inlineStr">
        <is>
          <t>TBD</t>
        </is>
      </c>
    </row>
    <row r="10"/>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t="inlineStr">
        <is>
          <t>2025-02-16</t>
        </is>
      </c>
      <c r="B13" t="inlineStr">
        <is>
          <t>THE HOME DEPOT #1901</t>
        </is>
      </c>
      <c r="C13" s="166" t="n">
        <v>34.01</v>
      </c>
      <c r="D13" s="167" t="n">
        <v>11.33</v>
      </c>
    </row>
    <row r="14">
      <c r="A14" t="inlineStr">
        <is>
          <t>2025-02-17</t>
        </is>
      </c>
      <c r="B14" t="inlineStr">
        <is>
          <t>IKEA BOLINGBROOK</t>
        </is>
      </c>
      <c r="C14" s="166" t="n">
        <v>299.37</v>
      </c>
      <c r="D14" s="167" t="n">
        <v>99.79000000000001</v>
      </c>
    </row>
    <row r="15">
      <c r="A15" t="inlineStr">
        <is>
          <t>2025-02-18</t>
        </is>
      </c>
      <c r="B15" t="inlineStr">
        <is>
          <t>IKEA 471245314</t>
        </is>
      </c>
      <c r="C15" s="166" t="n">
        <v>65.98</v>
      </c>
      <c r="D15" s="167" t="n">
        <v>21.99</v>
      </c>
    </row>
    <row r="16">
      <c r="A16" t="inlineStr">
        <is>
          <t>2025-03-23</t>
        </is>
      </c>
      <c r="B16" t="inlineStr">
        <is>
          <t>LOWES #01845</t>
        </is>
      </c>
      <c r="C16" s="166" t="n">
        <v>55.69</v>
      </c>
      <c r="D16" s="167" t="n">
        <v>18.56</v>
      </c>
    </row>
    <row r="17">
      <c r="A17" t="inlineStr">
        <is>
          <t>2025-04-20</t>
        </is>
      </c>
      <c r="B17" t="inlineStr">
        <is>
          <t>THE HOME DEPOT #1901</t>
        </is>
      </c>
      <c r="C17" s="166" t="n">
        <v>236.36</v>
      </c>
      <c r="D17" s="167" t="n">
        <v>78.78</v>
      </c>
    </row>
    <row r="18">
      <c r="A18" t="inlineStr">
        <is>
          <t>2025-04-20</t>
        </is>
      </c>
      <c r="B18" t="inlineStr">
        <is>
          <t>THE HOME DEPOT #1901</t>
        </is>
      </c>
      <c r="C18" s="166" t="n">
        <v>1.07</v>
      </c>
      <c r="D18" s="167" t="n">
        <v>0.35</v>
      </c>
    </row>
    <row r="19">
      <c r="A19" t="inlineStr">
        <is>
          <t>2025-07-06</t>
        </is>
      </c>
      <c r="B19" t="inlineStr">
        <is>
          <t>THE HOME DEPOT #1901</t>
        </is>
      </c>
      <c r="C19" s="166" t="n">
        <v>305.94</v>
      </c>
      <c r="D19" s="167" t="n">
        <v>101.98</v>
      </c>
    </row>
    <row r="20">
      <c r="A20" t="inlineStr">
        <is>
          <t>2025-09-01</t>
        </is>
      </c>
      <c r="B20" t="inlineStr">
        <is>
          <t>LOWES #01845</t>
        </is>
      </c>
      <c r="C20" s="166" t="n">
        <v>209.19</v>
      </c>
      <c r="D20" s="167" t="n">
        <v>69.73</v>
      </c>
    </row>
    <row r="21">
      <c r="A21" t="inlineStr">
        <is>
          <t>2025-10-11</t>
        </is>
      </c>
      <c r="B21" t="inlineStr">
        <is>
          <t>THE HOME DEPOT #1901</t>
        </is>
      </c>
      <c r="C21" s="166" t="n">
        <v>410.88</v>
      </c>
      <c r="D21" s="167" t="n">
        <v>136.96</v>
      </c>
    </row>
    <row r="22">
      <c r="A22" t="inlineStr">
        <is>
          <t>2025-11-02</t>
        </is>
      </c>
      <c r="B22" t="inlineStr">
        <is>
          <t>THE HOME DEPOT #1901</t>
        </is>
      </c>
      <c r="C22" s="166" t="n">
        <v>193.97</v>
      </c>
      <c r="D22" s="167" t="n">
        <v>64.65000000000001</v>
      </c>
    </row>
    <row r="23">
      <c r="B23" s="168" t="inlineStr">
        <is>
          <t>Grove 1/3 total</t>
        </is>
      </c>
      <c r="D23" s="169" t="n">
        <v>604.12</v>
      </c>
    </row>
    <row r="24"/>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t="inlineStr">
        <is>
          <t>Organizational only — not tax advice. CPA allocates Aug prepaid across children and care months.</t>
        </is>
      </c>
    </row>
    <row r="3"/>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5"/>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1"/>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2026-09-19T23:52:43Z</dcterms:modified>
</cp:coreProperties>
</file>