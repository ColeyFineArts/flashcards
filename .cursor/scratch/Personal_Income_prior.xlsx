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ome" sheetId="1" r:id="rId4"/>
    <sheet state="visible" name="524 Ferdinand Ave, Unit 2" sheetId="2" r:id="rId5"/>
    <sheet state="visible" name="216 N. Oak Park Ave" sheetId="3" r:id="rId6"/>
    <sheet state="visible" name="EPGC LLC" sheetId="4" r:id="rId7"/>
    <sheet state="visible" name="Refrence Library" sheetId="5" r:id="rId8"/>
    <sheet state="visible" name="Art Sales and Purchases" sheetId="6" r:id="rId9"/>
    <sheet state="visible" name="GCM" sheetId="7" r:id="rId10"/>
    <sheet state="visible" name="Hindman W2" sheetId="8" r:id="rId11"/>
    <sheet state="visible" name="Megan T4" sheetId="9" r:id="rId12"/>
    <sheet state="visible" name="Investments" sheetId="10" r:id="rId13"/>
    <sheet state="hidden" name="524 Ferdinand Ave, Unit 1" sheetId="11" r:id="rId14"/>
  </sheets>
  <externalReferences>
    <externalReference r:id="rId15"/>
  </externalReferences>
  <definedNames>
    <definedName name="a">'Art Sales and Purchases'!$A$3627</definedName>
    <definedName localSheetId="2" name="a">#REF!</definedName>
    <definedName localSheetId="10" name="a">#REF!</definedName>
    <definedName localSheetId="1" name="a">#REF!</definedName>
  </definedNames>
  <calcPr/>
  <extLst>
    <ext uri="GoogleSheetsCustomDataVersion2">
      <go:sheetsCustomData xmlns:go="http://customooxmlschemas.google.com/" r:id="rId16" roundtripDataChecksum="q/WzWqHiqNrETD9REvnfiOComCjhHOTk6iUDzJ1/La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
ID#AAABfvHoPEA
Jacob Coley    (2025-03-13 17:55:52)
In-laws currently assisting with the mortage and utilities.</t>
      </text>
    </comment>
  </commentList>
  <extLst>
    <ext uri="GoogleSheetsCustomDataVersion2">
      <go:sheetsCustomData xmlns:go="http://customooxmlschemas.google.com/" r:id="rId1" roundtripDataSignature="AMtx7mjNNoMgjlcT+yLo87VVeNELzabvy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
      <text>
        <t xml:space="preserve">======
ID#AAABq_4fwJY
Jacob Coley    (2025-09-10 15:31:12)
INCLUDES UNIT 1 AND 2</t>
      </text>
    </comment>
    <comment authorId="0" ref="B20">
      <text>
        <t xml:space="preserve">======
ID#AAABq_4fwJU
Jacob Coley    (2025-09-10 15:30:51)
FOR BOTH UNIT 1 AND 2</t>
      </text>
    </comment>
    <comment authorId="0" ref="B33">
      <text>
        <t xml:space="preserve">======
ID#AAABfvHoPD8
Jacob Coley    (2025-03-13 17:55:52)
TrueGreen</t>
      </text>
    </comment>
    <comment authorId="0" ref="B12">
      <text>
        <t xml:space="preserve">======
ID#AAABfvHoPD4
Jacob Coley    (2025-03-13 17:55:52)
AirBnB and VRBO service fees</t>
      </text>
    </comment>
    <comment authorId="0" ref="P24">
      <text>
        <t xml:space="preserve">======
ID#AAABfvHoPDg
Jacob Coley    (2025-03-13 17:55:52)
filter</t>
      </text>
    </comment>
    <comment authorId="0" ref="B17">
      <text>
        <t xml:space="preserve">======
ID#AAABfvHoPDY
Jacob Coley    (2025-03-13 17:55:52)
Includes both units 1 &amp; 2</t>
      </text>
    </comment>
    <comment authorId="0" ref="Q24">
      <text>
        <t xml:space="preserve">======
ID#AAABfvHoPC4
Jacob Coley    (2025-03-13 17:55:52)
vaccum</t>
      </text>
    </comment>
    <comment authorId="0" ref="B13">
      <text>
        <t xml:space="preserve">======
ID#AAABfvHoPCo
Jacob Coley    (2025-03-13 17:55:52)
Jacob Coley:</t>
      </text>
    </comment>
    <comment authorId="0" ref="B22">
      <text>
        <t xml:space="preserve">======
ID#AAABfvHoPCs
Jacob Coley    (2025-03-13 17:55:52)
Gia Benline</t>
      </text>
    </comment>
    <comment authorId="0" ref="U24">
      <text>
        <t xml:space="preserve">======
ID#AAABfvHoPCQ
Jacob Coley    (2025-03-13 17:55:52)
Carpet Clearner and Stain vaccum</t>
      </text>
    </comment>
    <comment authorId="0" ref="T24">
      <text>
        <t xml:space="preserve">======
ID#AAABfvHoPCA
Jacob Coley    (2025-03-13 17:55:52)
bed sheets 3</t>
      </text>
    </comment>
    <comment authorId="0" ref="R24">
      <text>
        <t xml:space="preserve">======
ID#AAABfvHoPB8
Jacob Coley    (2025-03-13 17:55:52)
bed sheet</t>
      </text>
    </comment>
    <comment authorId="0" ref="S24">
      <text>
        <t xml:space="preserve">======
ID#AAABfvHoPB0
Jacob Coley    (2025-03-13 17:55:52)
bed sheet 2</t>
      </text>
    </comment>
  </commentList>
  <extLst>
    <ext uri="GoogleSheetsCustomDataVersion2">
      <go:sheetsCustomData xmlns:go="http://customooxmlschemas.google.com/" r:id="rId1" roundtripDataSignature="AMtx7mhVhPoicSfmWySB/U29RHS9MTmzW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6">
      <text>
        <t xml:space="preserve">======
ID#AAABfvHoPDQ
Jacob Coley    (2025-03-13 17:55:52)
pluming</t>
      </text>
    </comment>
    <comment authorId="0" ref="U16">
      <text>
        <t xml:space="preserve">======
ID#AAABfvHoPDI
Jacob Coley    (2025-03-13 17:55:52)
electrical work</t>
      </text>
    </comment>
    <comment authorId="0" ref="P15">
      <text>
        <t xml:space="preserve">======
ID#AAABfvHoPC0
Jacob Coley    (2025-03-13 17:55:52)
painting</t>
      </text>
    </comment>
    <comment authorId="0" ref="P29">
      <text>
        <t xml:space="preserve">======
ID#AAABfvHoPCw
Jacob Coley    (2025-03-13 17:55:52)
Washer/Dryer</t>
      </text>
    </comment>
    <comment authorId="0" ref="T16">
      <text>
        <t xml:space="preserve">======
ID#AAABfvHoPBw
Jacob Coley    (2025-03-13 17:55:52)
self repair</t>
      </text>
    </comment>
  </commentList>
  <extLst>
    <ext uri="GoogleSheetsCustomDataVersion2">
      <go:sheetsCustomData xmlns:go="http://customooxmlschemas.google.com/" r:id="rId1" roundtripDataSignature="AMtx7mhJAdoeJRy6KB1BASNT1aB4XND0/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8">
      <text>
        <t xml:space="preserve">======
ID#AAABfvHoPEc
Jacob Coley    (2025-03-13 17:55:52)
Instagram Ads</t>
      </text>
    </comment>
    <comment authorId="0" ref="A18">
      <text>
        <t xml:space="preserve">======
ID#AAABfvHoPEE
Jacob Coley    (2025-03-13 17:55:52)
extender for internet = 77.16
security cameras = 384</t>
      </text>
    </comment>
    <comment authorId="0" ref="A43">
      <text>
        <t xml:space="preserve">======
ID#AAABfvHoPDw
Jacob Coley    (2025-03-13 17:55:52)
Ipad = ?
Iphone = ?</t>
      </text>
    </comment>
    <comment authorId="0" ref="A9">
      <text>
        <t xml:space="preserve">======
ID#AAABfvHoPDs
Jacob Coley    (2025-03-13 17:55:52)
Sabri: drywall, electrical, garage, etc.</t>
      </text>
    </comment>
    <comment authorId="0" ref="A10">
      <text>
        <t xml:space="preserve">======
ID#AAABfvHoPDc
Jacob Coley    (2025-03-13 17:55:52)
shelving, paint supplies, soft mat, storage tubs</t>
      </text>
    </comment>
    <comment authorId="0" ref="A40">
      <text>
        <t xml:space="preserve">======
ID#AAABfvHoPDU
Jacob Coley    (2025-03-13 17:55:52)
wire transfer fees, tax filing ?, LLC annual renewal with tailor brands ?, Register LLC with tailor brands?</t>
      </text>
    </comment>
    <comment authorId="0" ref="A17">
      <text>
        <t xml:space="preserve">======
ID#AAABfvHoPDM
Jacob Coley    (2025-03-13 17:55:52)
website = $18, cloud storage google $2, cloud storage apple = $10, ChatGPT = $19.99, Videoleap = $3</t>
      </text>
    </comment>
    <comment authorId="0" ref="A42">
      <text>
        <t xml:space="preserve">======
ID#AAABfvHoPDA
Jacob Coley    (2025-03-13 17:55:52)
website = $18, cloud storage google $2, cloud storage apple = $10, ChatGPT = $19.99, Videoleap = $3</t>
      </text>
    </comment>
    <comment authorId="0" ref="J44">
      <text>
        <t xml:space="preserve">======
ID#AAABfvHoPC8
Jacob Coley    (2025-03-13 17:55:52)
Website Developer</t>
      </text>
    </comment>
    <comment authorId="0" ref="A15">
      <text>
        <t xml:space="preserve">======
ID#AAABfvHoPCg
Jacob Coley    (2025-03-13 17:55:52)
wire transfer fees 20, tax filing ?, LLC annual renewal with tailor brands $228</t>
      </text>
    </comment>
    <comment authorId="0" ref="A36">
      <text>
        <t xml:space="preserve">======
ID#AAABfvHoPCY
Jacob Coley    (2025-03-13 17:55:52)
standing desk</t>
      </text>
    </comment>
    <comment authorId="0" ref="A13">
      <text>
        <t xml:space="preserve">======
ID#AAABfvHoPCE
Jacob Coley    (2025-03-13 17:55:52)
Instagram Ads</t>
      </text>
    </comment>
    <comment authorId="0" ref="A11">
      <text>
        <t xml:space="preserve">======
ID#AAABfvHoPBs
Jacob Coley    (2025-03-13 17:55:52)
sofa, rug = , space heater 82.68, Shelving</t>
      </text>
    </comment>
    <comment authorId="0" ref="I44">
      <text>
        <t xml:space="preserve">======
ID#AAABfvHoPBg
Jacob Coley    (2025-03-13 17:55:52)
Website Developer</t>
      </text>
    </comment>
  </commentList>
  <extLst>
    <ext uri="GoogleSheetsCustomDataVersion2">
      <go:sheetsCustomData xmlns:go="http://customooxmlschemas.google.com/" r:id="rId1" roundtripDataSignature="AMtx7mgLMPTTQn+yCNoWSP7FBqblGals4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0">
      <text>
        <t xml:space="preserve">======
ID#AAABsxbhmK0
Jacob Coley    (2025-10-30 02:56:34)
2,000 for collection and 2,005
to Amyas for mount making</t>
      </text>
    </comment>
    <comment authorId="0" ref="A74">
      <text>
        <t xml:space="preserve">======
ID#AAABfvHoPEM
Jacob Coley    (2025-03-13 17:55:52)
Finders Fee</t>
      </text>
    </comment>
    <comment authorId="0" ref="E12">
      <text>
        <t xml:space="preserve">======
ID#AAABfvHoPEU
Jacob Coley    (2025-03-13 17:55:52)
International</t>
      </text>
    </comment>
    <comment authorId="0" ref="A43">
      <text>
        <t xml:space="preserve">======
ID#AAABfvHoPEI
Jacob Coley    (2025-03-13 17:55:52)
middle man</t>
      </text>
    </comment>
    <comment authorId="0" ref="C98">
      <text>
        <t xml:space="preserve">======
ID#AAABfvHoPDk
Jacob Coley    (2025-03-13 17:55:52)
Jacob Coley: $795
plus framing: 536.41</t>
      </text>
    </comment>
    <comment authorId="0" ref="A44">
      <text>
        <t xml:space="preserve">======
ID#AAABfvHoPCc
Jacob Coley    (2025-03-13 17:55:52)
Co-purchase</t>
      </text>
    </comment>
    <comment authorId="0" ref="C3">
      <text>
        <t xml:space="preserve">======
ID#AAABfvHoPCM
tc={0B907F11-759F-478A-9E28-697196A96E08}    (2025-03-13 17:55:52)
[Threaded comment]
Your version of Excel allows you to read this threaded comment; however, any edits to it will get removed if the file is opened in a newer version of Excel. Learn more: https://go.microsoft.com/fwlink/?linkid=870924
Comment:
    Includes taxes and shipping</t>
      </text>
    </comment>
    <comment authorId="0" ref="A18">
      <text>
        <t xml:space="preserve">======
ID#AAABfvHoPCI
Jacob Coley    (2025-03-13 17:55:52)
Ex. collection Carlo Gay, purchased from the Metropolitan Museum of Art, 1950’s and 1960’s. Found in the 20th century by Metropolitan expeditions and subsequently sold from the museum shop. Ex. Robin Oliver Gay, 11/12/98. Ex-Fred Schultz</t>
      </text>
    </comment>
    <comment authorId="0" ref="A73">
      <text>
        <t xml:space="preserve">======
ID#AAABfvHoPBc
Jacob Coley    (2025-03-13 17:55:52)
Finders Fee</t>
      </text>
    </comment>
    <comment authorId="0" ref="E13">
      <text>
        <t xml:space="preserve">======
ID#AAABfvHoPBk
Jacob Coley    (2025-03-13 17:55:52)
International</t>
      </text>
    </comment>
  </commentList>
  <extLst>
    <ext uri="GoogleSheetsCustomDataVersion2">
      <go:sheetsCustomData xmlns:go="http://customooxmlschemas.google.com/" r:id="rId1" roundtripDataSignature="AMtx7mgGIMauhQQ9ERX1XIJ2xb9LYGjRT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
ID#AAABfvHoPDo
Jacob Coley    (2025-03-13 17:55:52)
Megan is on maternity leave and contract will expire at the end of the year. Will have a better idea of her 2023 projection soon.</t>
      </text>
    </comment>
    <comment authorId="0" ref="A4">
      <text>
        <t xml:space="preserve">======
ID#AAABfvHoPBo
Jacob Coley    (2025-03-13 17:55:52)
Megan is on maternity leave and contract will expire at the end of the year. Will have a better idea of her 2023 projection soon.</t>
      </text>
    </comment>
  </commentList>
  <extLst>
    <ext uri="GoogleSheetsCustomDataVersion2">
      <go:sheetsCustomData xmlns:go="http://customooxmlschemas.google.com/" r:id="rId1" roundtripDataSignature="AMtx7mhYoQrJsEiS+tpuD0lUJSfjJj5jHA=="/>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
ID#AAABfvHoPCk
Jacob Coley    (2025-03-13 17:55:52)
Megan is on maternity leave and contract will expire at the end of the year. Will have a better idea of her 2023 projection soon.</t>
      </text>
    </comment>
    <comment authorId="0" ref="A11">
      <text>
        <t xml:space="preserve">======
ID#AAABfvHoPCU
Jacob Coley    (2025-03-13 17:55:52)
Megan is on maternity leave and contract will expire at the end of the year. Will have a better idea of her 2023 projection soon.</t>
      </text>
    </comment>
  </commentList>
  <extLst>
    <ext uri="GoogleSheetsCustomDataVersion2">
      <go:sheetsCustomData xmlns:go="http://customooxmlschemas.google.com/" r:id="rId1" roundtripDataSignature="AMtx7mgOGk/YWtOfV2SCR27WZZ1XovH50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
      <text>
        <t xml:space="preserve">======
ID#AAABfvHoPEY
Jacob Coley    (2025-03-13 17:55:52)
For both units</t>
      </text>
    </comment>
    <comment authorId="0" ref="B21">
      <text>
        <t xml:space="preserve">======
ID#AAABfvHoPEQ
Jacob Coley    (2025-03-13 17:55:52)
Includes both units 1 &amp; 2</t>
      </text>
    </comment>
    <comment authorId="0" ref="J16">
      <text>
        <t xml:space="preserve">======
ID#AAABfvHoPD0
Jacob Coley    (2025-03-13 17:55:52)
Primary Bedroom Capret</t>
      </text>
    </comment>
    <comment authorId="0" ref="J28">
      <text>
        <t xml:space="preserve">======
ID#AAABfvHoPDE
Jacob Coley    (2025-03-13 17:55:52)
Washer and Dryer, Stove,</t>
      </text>
    </comment>
    <comment authorId="0" ref="B68">
      <text>
        <t xml:space="preserve">======
ID#AAABfvHoPB4
Jacob Coley    (2025-03-13 17:55:52)
1. Can we run the property at a loss?
2. What can be deducted?
3. LLC or SP?
4. Tax write off vs. Tax Free Annual Gifting
5. First-Time Homebuyers Tax Credit?
6. Can we write-off closing costs?</t>
      </text>
    </comment>
  </commentList>
  <extLst>
    <ext uri="GoogleSheetsCustomDataVersion2">
      <go:sheetsCustomData xmlns:go="http://customooxmlschemas.google.com/" r:id="rId1" roundtripDataSignature="AMtx7mjv0IEYvfa2KCtLJ/kI90vxVPWiMA=="/>
    </ext>
  </extLst>
</comments>
</file>

<file path=xl/sharedStrings.xml><?xml version="1.0" encoding="utf-8"?>
<sst xmlns="http://schemas.openxmlformats.org/spreadsheetml/2006/main" count="951" uniqueCount="352">
  <si>
    <t xml:space="preserve">Projected </t>
  </si>
  <si>
    <t>Actual</t>
  </si>
  <si>
    <t>Projected</t>
  </si>
  <si>
    <t>Income</t>
  </si>
  <si>
    <t xml:space="preserve">Hindman </t>
  </si>
  <si>
    <t>216 N. Oak Park Ave</t>
  </si>
  <si>
    <t>524 Ferdinand Ave #2</t>
  </si>
  <si>
    <t>GCM Boards</t>
  </si>
  <si>
    <t>Art Sales</t>
  </si>
  <si>
    <t>Megan's Income</t>
  </si>
  <si>
    <t>EBITDA</t>
  </si>
  <si>
    <t>PROPERTY ADDRESS</t>
  </si>
  <si>
    <t>524 Ferdinand Avenue, Unit 2</t>
  </si>
  <si>
    <t>INCOME</t>
  </si>
  <si>
    <t>JAN</t>
  </si>
  <si>
    <t>FEB</t>
  </si>
  <si>
    <t>MAR</t>
  </si>
  <si>
    <t>APR</t>
  </si>
  <si>
    <t>MAY</t>
  </si>
  <si>
    <t>JUN</t>
  </si>
  <si>
    <t>JUL</t>
  </si>
  <si>
    <t>AUG</t>
  </si>
  <si>
    <t>SEPT</t>
  </si>
  <si>
    <t>OCT</t>
  </si>
  <si>
    <t>NOV</t>
  </si>
  <si>
    <t>DEC</t>
  </si>
  <si>
    <t>2023 YR TOTAL</t>
  </si>
  <si>
    <t>2024 YR TOTAL</t>
  </si>
  <si>
    <t>MULTI-PROPERTY INCOME OVERVIEW</t>
  </si>
  <si>
    <t>RENTAL INCOME</t>
  </si>
  <si>
    <t>GROSS RENTAL INCOME</t>
  </si>
  <si>
    <t>EXPENSES</t>
  </si>
  <si>
    <t>YR TOTAL</t>
  </si>
  <si>
    <t>MULTI-PROPERTY EXPENSES OVERVIEW</t>
  </si>
  <si>
    <t>MARKETING / ADVERTISING</t>
  </si>
  <si>
    <t>SERVICE FEES</t>
  </si>
  <si>
    <t>REMITTED TAX</t>
  </si>
  <si>
    <t>INSURANCE</t>
  </si>
  <si>
    <t>INTERIOR MAINTENANCE</t>
  </si>
  <si>
    <t>EXTERIOR REPAIRS</t>
  </si>
  <si>
    <t>VILLAGE WATER AND REFUSE</t>
  </si>
  <si>
    <t>GAS</t>
  </si>
  <si>
    <t>ELECTRIC</t>
  </si>
  <si>
    <t>INTERNET</t>
  </si>
  <si>
    <t>CORRESPONDENCE</t>
  </si>
  <si>
    <t>INTERIOR DESIGNER/ ORGANIZER FEES</t>
  </si>
  <si>
    <t>TRAVEL EXPENSES</t>
  </si>
  <si>
    <t>EQUIPMENT/APPLIANCE PURCHASES</t>
  </si>
  <si>
    <t>EQUIPMENT/APPLIANCE RENTAL FEES</t>
  </si>
  <si>
    <t>LAND TAX</t>
  </si>
  <si>
    <t>BORROWING EXPENSES</t>
  </si>
  <si>
    <t>LOANS INTEREST</t>
  </si>
  <si>
    <t>YARD STARTUP CONSTRUCTION</t>
  </si>
  <si>
    <t>YARD EQUIPMENT</t>
  </si>
  <si>
    <t>YARD FURNITURE</t>
  </si>
  <si>
    <t>YARD SERVICE</t>
  </si>
  <si>
    <t>OTHER</t>
  </si>
  <si>
    <t>TOTAL EXPENSES</t>
  </si>
  <si>
    <t>YEAR-TO-DATE INCOME LESS EXPENSES</t>
  </si>
  <si>
    <t>216 N. Oak Park Avenue #1Z</t>
  </si>
  <si>
    <t>RENTER'S INSURANCE</t>
  </si>
  <si>
    <t>INTERIOR REPAIR</t>
  </si>
  <si>
    <t xml:space="preserve"> </t>
  </si>
  <si>
    <t xml:space="preserve">  </t>
  </si>
  <si>
    <t>MORTGAGE</t>
  </si>
  <si>
    <t>HOA</t>
  </si>
  <si>
    <t>ELECTRICAL WORK (GROUNDING, ESTIMATE, KITCHEN)</t>
  </si>
  <si>
    <t>MOVE OUT FEE</t>
  </si>
  <si>
    <t>Purchase Price</t>
  </si>
  <si>
    <t>Interest Rate</t>
  </si>
  <si>
    <t>Closing Costs</t>
  </si>
  <si>
    <t>2022 Expenses</t>
  </si>
  <si>
    <t>earnest money to seller</t>
  </si>
  <si>
    <t>inspection to Bill</t>
  </si>
  <si>
    <t>deposit to Rocket Mortage, which will be applied to appraisal cost once ordered</t>
  </si>
  <si>
    <t>electrian estimate</t>
  </si>
  <si>
    <t>move in fees to HOA</t>
  </si>
  <si>
    <t>Ask Megan for 2024</t>
  </si>
  <si>
    <t>Rent</t>
  </si>
  <si>
    <t>Mortage Payment</t>
  </si>
  <si>
    <t>Insurance</t>
  </si>
  <si>
    <t>Painter</t>
  </si>
  <si>
    <t>Cleaning supplies</t>
  </si>
  <si>
    <t>Plummer?</t>
  </si>
  <si>
    <t>What else?</t>
  </si>
  <si>
    <t>SEP</t>
  </si>
  <si>
    <t>YEARLY</t>
  </si>
  <si>
    <t>Consultant</t>
  </si>
  <si>
    <t>Total</t>
  </si>
  <si>
    <t>Supplies (office and operating)</t>
  </si>
  <si>
    <t>Office Construction</t>
  </si>
  <si>
    <t xml:space="preserve">Office Interior </t>
  </si>
  <si>
    <t>Office Furniture</t>
  </si>
  <si>
    <t>Repairs and maintenance</t>
  </si>
  <si>
    <t>Advertising</t>
  </si>
  <si>
    <t>Travel, Meals, and Entertainment</t>
  </si>
  <si>
    <t>Accounting and legal</t>
  </si>
  <si>
    <t>Cellphone and Internet</t>
  </si>
  <si>
    <t>Software Fees</t>
  </si>
  <si>
    <t>Tech</t>
  </si>
  <si>
    <t>Art Library</t>
  </si>
  <si>
    <t>Utilities</t>
  </si>
  <si>
    <t>YEAR TO DATE LESS EXPENSES</t>
  </si>
  <si>
    <t>Consultant Fees</t>
  </si>
  <si>
    <t>Book</t>
  </si>
  <si>
    <t>From</t>
  </si>
  <si>
    <t xml:space="preserve">Purchase Date </t>
  </si>
  <si>
    <t>Method</t>
  </si>
  <si>
    <t>A Collection of Pre Columbian Auction Catalogues and Art Refrence Books</t>
  </si>
  <si>
    <t>N. Fagin</t>
  </si>
  <si>
    <t xml:space="preserve">Check </t>
  </si>
  <si>
    <t>A Collection of Numismatic Journals</t>
  </si>
  <si>
    <t>John Meyes</t>
  </si>
  <si>
    <t xml:space="preserve">A Collection of Joel Malter Catalogues </t>
  </si>
  <si>
    <t>M. Malter</t>
  </si>
  <si>
    <t>A Collection of Antiquities Catalogues</t>
  </si>
  <si>
    <t>C. Murphy</t>
  </si>
  <si>
    <t>The Beverley Collection of Gems at Alnwick Castle (The Philip Wilson Gems and Jewellery Series)</t>
  </si>
  <si>
    <t>Abebooks</t>
  </si>
  <si>
    <t>Credit Card</t>
  </si>
  <si>
    <t>Masterpieces in Miniature The Philip Wilson Gems and Jewellery Series Engraved Gems from Prehistory to the Present</t>
  </si>
  <si>
    <t>The First Treatise on Museums Samuel Quiccheberg's Inscriptiones, 1565 Texts Documents Paperback BIBLIOTHECA PAEDIATRICA REF KARGER</t>
  </si>
  <si>
    <t>Greek Gems and Finger Rings: Early Bronze to Late Classical</t>
  </si>
  <si>
    <t>The Maya Book of the Dead: The Ceramic Codex</t>
  </si>
  <si>
    <t>21 Masterpieces of Pre-Columbian Sculpture</t>
  </si>
  <si>
    <t>TABLEAUX ANCIENS DES XVIe, XVIIe, XVIIIe ET XIXe SIECLES. OBJETS D'ARTS, SIEGES ET MEUBLES DES xviiE, XVIIIe ET XIXe SIECLES</t>
  </si>
  <si>
    <t>Ladders to Heaven: Art Treasures from Lands of the Bible</t>
  </si>
  <si>
    <t>Palladion Antike Kunst Katalog 1976</t>
  </si>
  <si>
    <t>Gifts of the Nile: Ancient Egyptian Faience</t>
  </si>
  <si>
    <t>She - An Exhibition at Cordier &amp; Ekstrom NY 1970</t>
  </si>
  <si>
    <t>Antuqua Auction Catalog's 7 volumes see photos LOT G4</t>
  </si>
  <si>
    <t>ebay</t>
  </si>
  <si>
    <t>Kunst Und Handwerk German Auction Catalog(in german)LOT G15</t>
  </si>
  <si>
    <t>Numismatic &amp; Ancient Art Gallery NAAG Auction Catalog from 1991 LOT G12</t>
  </si>
  <si>
    <t>Antike Kunstobjekte Auction Catalog's from Germany (in german) LOT G17</t>
  </si>
  <si>
    <t>Ancient Art and Antiquities Alex Malloy 1973 Catalogue; Art; Quality Packaging</t>
  </si>
  <si>
    <t>Vintage Alex G. Malloy 1978 Ancient Art &amp; Antiquities Catalogue Scarce</t>
  </si>
  <si>
    <t>Power Tools The Stone Age and Bronze Age in North Europe Exhibition Catalogue</t>
  </si>
  <si>
    <t>1906 Illustrated Catalogue of Antiquities and Casts of Ancient Sculpture</t>
  </si>
  <si>
    <t>Frank L Kovacs Ancient Coins &amp; Antiquities Mail Bid Sale XIV October 16, 1998</t>
  </si>
  <si>
    <t>The MAYA Fourth Edition Fully Revised Used Very Good Condition As Is Nice/ Clean</t>
  </si>
  <si>
    <t>Teotihuacan: Art from the City of the Gods - Paperback - GOOD</t>
  </si>
  <si>
    <t>Arte Primitivo The Millicent Wylly Estate Ancient Art Auction Catalog 1998</t>
  </si>
  <si>
    <t xml:space="preserve">Gorny &amp; Mosch Auction #268.2019 Munich Ancient Art.Like New .(60) </t>
  </si>
  <si>
    <t>1967 MANGA GRECIA ANCIENT ART OF THE MEDITERRANEAN EXHIBIT PROGRAM - J 3801</t>
  </si>
  <si>
    <t>1971 Michel Dumez-Onof, London W.I., Art Booklet Catalog "Ancient Works of Art"</t>
  </si>
  <si>
    <t>Hans Schulman Ancient Art Roman Greek Cycladic Vintage Auction Coin Catalog</t>
  </si>
  <si>
    <t>Deities Dignitaries in Ancient Egyptian Art L'Ibis Gallery NYC 1989 Catalog</t>
  </si>
  <si>
    <t>HERITAGE Antiquities Greek Egypt Mesopotamia Seals Native American Catalog 2008</t>
  </si>
  <si>
    <t xml:space="preserve">Sotheby's New York - Antiquitues, Pre-Columbian, Ethnographic, &amp; Later Works </t>
  </si>
  <si>
    <t>Wealth of The Ancient World, Nelson Bunker Hunt Collection￼, Art &amp; Coins 1983 HC</t>
  </si>
  <si>
    <t>50 Figures From A Site In Veracruz Kerr, Justin Merrin Gallery 1970</t>
  </si>
  <si>
    <t>Vintage Alex G. Malloy 1978 Ancient Art &amp; Antiquities Catalogue Scarce, Like New</t>
  </si>
  <si>
    <t>SUMMA GALLERIES Catalog 3 1977  Ancient Art Ancient Vases Sculptures-Staplebound</t>
  </si>
  <si>
    <t>Vintage Alex G. Malloy 1973 Ancient Art &amp; Antiquities Catalogue Scarce, Like New</t>
  </si>
  <si>
    <t>Vintage Alex G. Malloy 1977 Ancient Art &amp; Antiquities Catalogue Scarce, Like New</t>
  </si>
  <si>
    <t>Vintage Alex G. Malloy 1974 Ancient Art &amp; Antiquities Catalogue Scarce, Like New</t>
  </si>
  <si>
    <t>Art of the Ancient World Catalog Volume XV 2004 Royal Athena Galleries NY PPB</t>
  </si>
  <si>
    <t>SUMMA GALLERIES Auction Catalog 1976  Ancient Art Ancient Vases Sculptures Book</t>
  </si>
  <si>
    <t>Ancient Bronzes Ceramics and Seals  The Nasli M  Heeramaneck Collecti</t>
  </si>
  <si>
    <t>HTF 1965 Illustrated Catalog Jerome Eisenberg Art Ancient World Chicago +Pricing</t>
  </si>
  <si>
    <t xml:space="preserve"> Art Of The Ancient World Volume II, Dec. 1966 Eisenberg, Jerome M New York</t>
  </si>
  <si>
    <t>Royal Portraits and the Hellenistic Kingdoms (1999, paperback)</t>
  </si>
  <si>
    <t>Amenhotep III: Egypt's Radiant Pharaoh</t>
  </si>
  <si>
    <t>Amazon</t>
  </si>
  <si>
    <t>ART PRECOLOMBIEN : COLLECTION LILIANE ET MICHEL DURAND-DESSERT.</t>
  </si>
  <si>
    <t xml:space="preserve">Amazon </t>
  </si>
  <si>
    <t>Ten Centuries That Shaped the West: Greek and Roman Art in Texas Collections.</t>
  </si>
  <si>
    <t>Cabinets of Curiosities</t>
  </si>
  <si>
    <t>The Content family collection of ancient cameos</t>
  </si>
  <si>
    <t>100 Werke Antiker Kleinkunst Katalog 1</t>
  </si>
  <si>
    <t>A Catalogue of Engraved Gems in the British Museum: Department of Greek and Roman Antiquities</t>
  </si>
  <si>
    <t>Cyclinder Seals</t>
  </si>
  <si>
    <t>Ebay</t>
  </si>
  <si>
    <t>A Collection of Auction and Dealer Catalogues</t>
  </si>
  <si>
    <t>Forge&amp;Lynch</t>
  </si>
  <si>
    <t>Wire</t>
  </si>
  <si>
    <t>Lost Cities of the Mayas:</t>
  </si>
  <si>
    <t>Renaissance Jewels and Jeweled Objects, from the Melvin Gutman Collection</t>
  </si>
  <si>
    <t>Christie's Catalogue Northwick Park</t>
  </si>
  <si>
    <t>Harmer Rooke 1986</t>
  </si>
  <si>
    <t>Grimani Palace Flyer</t>
  </si>
  <si>
    <t>CoC Book</t>
  </si>
  <si>
    <t>Jewelry Books</t>
  </si>
  <si>
    <t>Fred Schultz Library</t>
  </si>
  <si>
    <t>Sales 2022</t>
  </si>
  <si>
    <t>Object</t>
  </si>
  <si>
    <t>Cost</t>
  </si>
  <si>
    <t>To</t>
  </si>
  <si>
    <t>Sale Price</t>
  </si>
  <si>
    <t>Sale Date</t>
  </si>
  <si>
    <t>Net Income</t>
  </si>
  <si>
    <t>ROI (%)</t>
  </si>
  <si>
    <t xml:space="preserve">Days in Inventory </t>
  </si>
  <si>
    <t>An Ashanti Wood Fertility Figure</t>
  </si>
  <si>
    <t>Live Auctioneers</t>
  </si>
  <si>
    <t>Hindman</t>
  </si>
  <si>
    <t>A Large Maya Hardstone Celt</t>
  </si>
  <si>
    <t>A Mezcala Stone Figure</t>
  </si>
  <si>
    <t>A Veracruz Sonriente Figure</t>
  </si>
  <si>
    <t>A Tairona Metal Tumbaga</t>
  </si>
  <si>
    <t>Four Thracian Gilt-Silver Double Eagle Plaques</t>
  </si>
  <si>
    <t>A Thracian Gilt-Silver Tondo of a Female Bust</t>
  </si>
  <si>
    <t>A Pair of Canosan Painted Pottery Oinochoai</t>
  </si>
  <si>
    <t>Thirteen Saharan Stone Bracelets and Discoidals </t>
  </si>
  <si>
    <t>Amyas Naegele</t>
  </si>
  <si>
    <t>Aquinas Hobor</t>
  </si>
  <si>
    <t>A Greek Style Bronze Corinthian Helmet</t>
  </si>
  <si>
    <t>EBay</t>
  </si>
  <si>
    <t>Marco Mercanti</t>
  </si>
  <si>
    <t>Sales 2023</t>
  </si>
  <si>
    <t>Greek Bronze Cheek Pieces</t>
  </si>
  <si>
    <t>eBay</t>
  </si>
  <si>
    <t>Egyptian Neolithic Flint Tools (2)</t>
  </si>
  <si>
    <t>Arte Primitivo</t>
  </si>
  <si>
    <t>Apulian Red Figure Fragment</t>
  </si>
  <si>
    <t>Aaron Berk</t>
  </si>
  <si>
    <t>A Roman-Style Rock Crystal Amphoriskos</t>
  </si>
  <si>
    <r>
      <rPr>
        <rFont val="Calibri"/>
        <b val="0"/>
        <color theme="1"/>
        <sz val="11.0"/>
      </rPr>
      <t>A</t>
    </r>
    <r>
      <rPr>
        <rFont val="Calibri"/>
        <b/>
        <color theme="1"/>
        <sz val="11.0"/>
      </rPr>
      <t xml:space="preserve"> </t>
    </r>
    <r>
      <rPr>
        <rFont val="Calibri"/>
        <b val="0"/>
        <color theme="1"/>
        <sz val="11.0"/>
      </rPr>
      <t>Roman Mosaic</t>
    </r>
  </si>
  <si>
    <t>Pre-Columbian Jade Earspools</t>
  </si>
  <si>
    <t>Teo Alabaster Mask</t>
  </si>
  <si>
    <t>Mezcala Stone Temple</t>
  </si>
  <si>
    <t>Mezcala Stone Figure</t>
  </si>
  <si>
    <t>GREEK BRONZE HELMET OF PHRYGIAN TYPE</t>
  </si>
  <si>
    <t>Bactrian Style Stone Votive</t>
  </si>
  <si>
    <t>A Roman Bronze Knife</t>
  </si>
  <si>
    <t>Gift</t>
  </si>
  <si>
    <t>Collection of Cylinder Seals</t>
  </si>
  <si>
    <t>Erdal Dere</t>
  </si>
  <si>
    <t>An Egyptian Cylinder Seal</t>
  </si>
  <si>
    <t>A Collection of Tablets</t>
  </si>
  <si>
    <t>Danny Anavian</t>
  </si>
  <si>
    <t>A Gold Coin</t>
  </si>
  <si>
    <t>Felix Brejente</t>
  </si>
  <si>
    <t>Bactrian Chlorite Vessel</t>
  </si>
  <si>
    <t>An Egyptian Limestone Head of Hathor</t>
  </si>
  <si>
    <t>Harlan J. Berk</t>
  </si>
  <si>
    <t>Native America Banner Stone (Butterfly)</t>
  </si>
  <si>
    <t>Native America Banner Stone (Anthro)</t>
  </si>
  <si>
    <t>Sales 2024</t>
  </si>
  <si>
    <t>A Valdivian Stone Votive Axe</t>
  </si>
  <si>
    <t>A Roman Marble Leg</t>
  </si>
  <si>
    <t>WhiteCube</t>
  </si>
  <si>
    <t>Sword 10th Century Viking</t>
  </si>
  <si>
    <t>Zevantiques</t>
  </si>
  <si>
    <t>A Collection of Cylinder Seal</t>
  </si>
  <si>
    <t>A Roman Glass Beaker</t>
  </si>
  <si>
    <t>An Egyptian Limestone Head of a Pharaoh</t>
  </si>
  <si>
    <t>Indus Valley Vessels</t>
  </si>
  <si>
    <t>Sales 2025</t>
  </si>
  <si>
    <t>A Group of 10 Engraved Gems</t>
  </si>
  <si>
    <t>A Greek Amber(?) Ram's Head Protome</t>
  </si>
  <si>
    <t>A Stone Cylinder Seal</t>
  </si>
  <si>
    <t>Estate Sale</t>
  </si>
  <si>
    <t>Commission on Cypriot Head</t>
  </si>
  <si>
    <t>Asher Edelman</t>
  </si>
  <si>
    <t>Commission on Seal Collection</t>
  </si>
  <si>
    <t>Scythian Faience Horse Plaque</t>
  </si>
  <si>
    <t>Syro-Hittite Terracotta Figure</t>
  </si>
  <si>
    <t>A Group of 6 Roman Oil Lamps</t>
  </si>
  <si>
    <t>A Cypriot Limestine Head</t>
  </si>
  <si>
    <t>A Roman Marble Torso</t>
  </si>
  <si>
    <t>William Pearlstein</t>
  </si>
  <si>
    <t>Cypriot Bichrome Juglet</t>
  </si>
  <si>
    <t>An Attic Black-Figured Fragment</t>
  </si>
  <si>
    <t>A Luristan Bronze Ibex</t>
  </si>
  <si>
    <t>An Egyptian Swivel Ring with Scarab</t>
  </si>
  <si>
    <t>A Canosan Terracotta Horse</t>
  </si>
  <si>
    <t>An Attic Black-Figured Column-Krater</t>
  </si>
  <si>
    <t>Antiquarium/Benningson</t>
  </si>
  <si>
    <t>Roman Marble Base with Foot</t>
  </si>
  <si>
    <t>Neolithic Flint Celt</t>
  </si>
  <si>
    <t>Neolithic Danish Chert Adze</t>
  </si>
  <si>
    <t>Three Lots from Lithics Sale</t>
  </si>
  <si>
    <t>A Collection of Seals</t>
  </si>
  <si>
    <t>Three Ancient Mosaics</t>
  </si>
  <si>
    <t>Jamal Rifai and Antiquarium</t>
  </si>
  <si>
    <t>Jonathan Yantis</t>
  </si>
  <si>
    <t>Canosan Terracotta Horse</t>
  </si>
  <si>
    <t>Art Purchases/Inventory</t>
  </si>
  <si>
    <t>30 Paleothic and Neolithic Stone Tools</t>
  </si>
  <si>
    <t>Holestein</t>
  </si>
  <si>
    <t>A Tairona Figure</t>
  </si>
  <si>
    <t>A Pair of Greek Bronze Greeves</t>
  </si>
  <si>
    <t>An Illyrian Bronze Helmet</t>
  </si>
  <si>
    <t>An Egyptian Faience Ibis</t>
  </si>
  <si>
    <t>African Stone Bracelet Upper Volta River 1 0f 4</t>
  </si>
  <si>
    <t>African Stone Bracelet Upper Volta River 2 0f 4</t>
  </si>
  <si>
    <t>African Stone Bracelet Upper Volta River 4 0f 4</t>
  </si>
  <si>
    <t>A Saharan Stone Discoidal</t>
  </si>
  <si>
    <t>Pace African Art</t>
  </si>
  <si>
    <t>Carved Ostrish Egg</t>
  </si>
  <si>
    <t xml:space="preserve">Etsy </t>
  </si>
  <si>
    <t>Carved Goose Egg</t>
  </si>
  <si>
    <t>Etsy</t>
  </si>
  <si>
    <t>Quimbaya Figure (Gift)</t>
  </si>
  <si>
    <t>Jeffrey Norris</t>
  </si>
  <si>
    <t>A Saharan Stone Discoidal (Gift)</t>
  </si>
  <si>
    <t>Two Songye and Bozo Vessels</t>
  </si>
  <si>
    <t xml:space="preserve">Sword 9th Century </t>
  </si>
  <si>
    <t>A Roman Marble Plaque with Insciption</t>
  </si>
  <si>
    <t>Erotic Intaglio Finger Ring</t>
  </si>
  <si>
    <t>Office/Business Inventory</t>
  </si>
  <si>
    <t>Sofa</t>
  </si>
  <si>
    <t>Space Heater</t>
  </si>
  <si>
    <t>Shelving</t>
  </si>
  <si>
    <t>Storage Bins</t>
  </si>
  <si>
    <t>Table</t>
  </si>
  <si>
    <t>Computer</t>
  </si>
  <si>
    <t>Standing Desk</t>
  </si>
  <si>
    <t>GCM Boards 2022</t>
  </si>
  <si>
    <t>Fees</t>
  </si>
  <si>
    <t>Q1</t>
  </si>
  <si>
    <t>Q2</t>
  </si>
  <si>
    <t>Q3</t>
  </si>
  <si>
    <t>Q4</t>
  </si>
  <si>
    <t>GCM Board</t>
  </si>
  <si>
    <t>Gates SPC</t>
  </si>
  <si>
    <t>Grand Total</t>
  </si>
  <si>
    <t>GCM Boards 2023</t>
  </si>
  <si>
    <t>GCM Boards 2024</t>
  </si>
  <si>
    <t>Contractual Employee 2023</t>
  </si>
  <si>
    <t>Salary</t>
  </si>
  <si>
    <t>Bonus</t>
  </si>
  <si>
    <t>Total Revenues</t>
  </si>
  <si>
    <t>Contractual Employee 2024</t>
  </si>
  <si>
    <t>Contractual Employee 2022</t>
  </si>
  <si>
    <t>Fidelity</t>
  </si>
  <si>
    <t>SEP IRA</t>
  </si>
  <si>
    <t xml:space="preserve">ML </t>
  </si>
  <si>
    <t>UTMA EMMA COLEY</t>
  </si>
  <si>
    <t>ML</t>
  </si>
  <si>
    <t>UTMA PHOEBE COLEY</t>
  </si>
  <si>
    <t>524 Ferdinand Avenue, Unit 1</t>
  </si>
  <si>
    <t>GROUNDSKEEPING</t>
  </si>
  <si>
    <t>CORRESPONCES</t>
  </si>
  <si>
    <t>INTERIOR DESINGOR</t>
  </si>
  <si>
    <t>TERMITE INSPECTION</t>
  </si>
  <si>
    <t>https://forst.tax/tax-deductions-owner-occupied-multi-family-property/</t>
  </si>
  <si>
    <t>https://www.realtor.com/realestateandhomes-detail/524-Ferdinand-Ave_Forest-Park_IL_60130_M81246-00338</t>
  </si>
  <si>
    <t>Misc Closing Costs</t>
  </si>
  <si>
    <t>Clear View Home Inspection</t>
  </si>
  <si>
    <t>~15000</t>
  </si>
  <si>
    <t xml:space="preserve">Deductions as Investment </t>
  </si>
  <si>
    <t>Mortgage interest</t>
  </si>
  <si>
    <t>Property tax</t>
  </si>
  <si>
    <t>Operating expenses</t>
  </si>
  <si>
    <t>Depreciation</t>
  </si>
  <si>
    <t>Repairs</t>
  </si>
  <si>
    <t>Deductions as Primary Residence</t>
  </si>
  <si>
    <t xml:space="preserve">First time home owner tax credit </t>
  </si>
  <si>
    <t>Questions for Advisor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</si>
</sst>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quot;$&quot;* #,##0.00_);_(&quot;$&quot;* \(#,##0.00\);_(&quot;$&quot;* &quot;-&quot;??_);_(@_)"/>
    <numFmt numFmtId="165" formatCode="&quot;$&quot;#,##0.00"/>
    <numFmt numFmtId="166" formatCode="_([$$-409]* #,##0.00_);_([$$-409]* \(#,##0.00\);_([$$-409]* &quot;-&quot;??_);_(@_)"/>
    <numFmt numFmtId="167" formatCode="&quot;$&quot;#,##0.00_);[Red]\(&quot;$&quot;#,##0.00\)"/>
    <numFmt numFmtId="168" formatCode="&quot;$&quot;#,##0_);[Red]\(&quot;$&quot;#,##0\)"/>
    <numFmt numFmtId="169" formatCode="_([$CAD]\ * #,##0.00_);_([$CAD]\ * \(#,##0.00\);_([$CAD]\ * &quot;-&quot;??_);_(@_)"/>
  </numFmts>
  <fonts count="24">
    <font>
      <sz val="11.0"/>
      <color theme="1"/>
      <name val="Calibri"/>
      <scheme val="minor"/>
    </font>
    <font>
      <sz val="11.0"/>
      <color theme="1"/>
      <name val="Calibri"/>
    </font>
    <font>
      <color theme="1"/>
      <name val="Calibri"/>
      <scheme val="minor"/>
    </font>
    <font>
      <b/>
      <sz val="11.0"/>
      <color theme="1"/>
      <name val="Calibri"/>
    </font>
    <font>
      <sz val="12.0"/>
      <color theme="1"/>
      <name val="Arial"/>
    </font>
    <font>
      <b/>
      <sz val="18.0"/>
      <color rgb="FF2F5496"/>
      <name val="Century Gothic"/>
    </font>
    <font>
      <b/>
      <sz val="14.0"/>
      <color rgb="FF595959"/>
      <name val="Century Gothic"/>
    </font>
    <font/>
    <font>
      <sz val="12.0"/>
      <color theme="1"/>
      <name val="Century Gothic"/>
    </font>
    <font>
      <sz val="12.0"/>
      <color theme="0"/>
      <name val="Century Gothic"/>
    </font>
    <font>
      <b/>
      <sz val="11.0"/>
      <color theme="1"/>
      <name val="Century Gothic"/>
    </font>
    <font>
      <sz val="10.0"/>
      <color theme="1"/>
      <name val="Calibri"/>
    </font>
    <font>
      <sz val="10.0"/>
      <color theme="1"/>
      <name val="Century Gothic"/>
    </font>
    <font>
      <b/>
      <sz val="10.0"/>
      <color theme="1"/>
      <name val="Century Gothic"/>
    </font>
    <font>
      <b/>
      <sz val="10.0"/>
      <color theme="0"/>
      <name val="Century Gothic"/>
    </font>
    <font>
      <sz val="10.0"/>
      <color theme="0"/>
      <name val="Century Gothic"/>
    </font>
    <font>
      <sz val="10.0"/>
      <color rgb="FFFF0000"/>
      <name val="Century Gothic"/>
    </font>
    <font>
      <sz val="8.0"/>
      <color rgb="FF333333"/>
      <name val="&quot;Helvetica Neue&quot;"/>
    </font>
    <font>
      <b/>
      <sz val="16.0"/>
      <color theme="1"/>
      <name val="Calibri"/>
    </font>
    <font>
      <b/>
      <sz val="10.0"/>
      <color theme="1"/>
      <name val="Calibri"/>
    </font>
    <font>
      <b/>
      <sz val="12.0"/>
      <color theme="1"/>
      <name val="Calibri"/>
    </font>
    <font>
      <sz val="14.0"/>
      <color theme="1"/>
      <name val="Calibri"/>
    </font>
    <font>
      <b/>
      <sz val="14.0"/>
      <color theme="1"/>
      <name val="Calibri"/>
    </font>
    <font>
      <i/>
      <sz val="11.0"/>
      <color theme="1"/>
      <name val="Calibri"/>
    </font>
  </fonts>
  <fills count="23">
    <fill>
      <patternFill patternType="none"/>
    </fill>
    <fill>
      <patternFill patternType="lightGray"/>
    </fill>
    <fill>
      <patternFill patternType="solid">
        <fgColor rgb="FF1F3864"/>
        <bgColor rgb="FF1F3864"/>
      </patternFill>
    </fill>
    <fill>
      <patternFill patternType="solid">
        <fgColor rgb="FF833C0B"/>
        <bgColor rgb="FF833C0B"/>
      </patternFill>
    </fill>
    <fill>
      <patternFill patternType="solid">
        <fgColor rgb="FF525252"/>
        <bgColor rgb="FF525252"/>
      </patternFill>
    </fill>
    <fill>
      <patternFill patternType="solid">
        <fgColor rgb="FF7F6000"/>
        <bgColor rgb="FF7F6000"/>
      </patternFill>
    </fill>
    <fill>
      <patternFill patternType="solid">
        <fgColor rgb="FF1E4E79"/>
        <bgColor rgb="FF1E4E79"/>
      </patternFill>
    </fill>
    <fill>
      <patternFill patternType="solid">
        <fgColor rgb="FFD9E2F3"/>
        <bgColor rgb="FFD9E2F3"/>
      </patternFill>
    </fill>
    <fill>
      <patternFill patternType="solid">
        <fgColor theme="0"/>
        <bgColor theme="0"/>
      </patternFill>
    </fill>
    <fill>
      <patternFill patternType="solid">
        <fgColor rgb="FFF7CAAC"/>
        <bgColor rgb="FFF7CAAC"/>
      </patternFill>
    </fill>
    <fill>
      <patternFill patternType="solid">
        <fgColor rgb="FFDADADA"/>
        <bgColor rgb="FFDADADA"/>
      </patternFill>
    </fill>
    <fill>
      <patternFill patternType="solid">
        <fgColor rgb="FFFFE598"/>
        <bgColor rgb="FFFFE598"/>
      </patternFill>
    </fill>
    <fill>
      <patternFill patternType="solid">
        <fgColor rgb="FFBDD6EE"/>
        <bgColor rgb="FFBDD6EE"/>
      </patternFill>
    </fill>
    <fill>
      <patternFill patternType="solid">
        <fgColor rgb="FFB4C6E7"/>
        <bgColor rgb="FFB4C6E7"/>
      </patternFill>
    </fill>
    <fill>
      <patternFill patternType="solid">
        <fgColor rgb="FFD0CECE"/>
        <bgColor rgb="FFD0CECE"/>
      </patternFill>
    </fill>
    <fill>
      <patternFill patternType="solid">
        <fgColor rgb="FFFFFFFF"/>
        <bgColor rgb="FFFFFFFF"/>
      </patternFill>
    </fill>
    <fill>
      <patternFill patternType="solid">
        <fgColor rgb="FFC55A11"/>
        <bgColor rgb="FFC55A11"/>
      </patternFill>
    </fill>
    <fill>
      <patternFill patternType="solid">
        <fgColor rgb="FF7B7B7B"/>
        <bgColor rgb="FF7B7B7B"/>
      </patternFill>
    </fill>
    <fill>
      <patternFill patternType="solid">
        <fgColor rgb="FFBF9000"/>
        <bgColor rgb="FFBF9000"/>
      </patternFill>
    </fill>
    <fill>
      <patternFill patternType="solid">
        <fgColor rgb="FF2E75B5"/>
        <bgColor rgb="FF2E75B5"/>
      </patternFill>
    </fill>
    <fill>
      <patternFill patternType="solid">
        <fgColor rgb="FF2F5496"/>
        <bgColor rgb="FF2F5496"/>
      </patternFill>
    </fill>
    <fill>
      <patternFill patternType="solid">
        <fgColor rgb="FF92D050"/>
        <bgColor rgb="FF92D050"/>
      </patternFill>
    </fill>
    <fill>
      <patternFill patternType="solid">
        <fgColor rgb="FFFFFF00"/>
        <bgColor rgb="FFFFFF00"/>
      </patternFill>
    </fill>
  </fills>
  <borders count="26">
    <border/>
    <border>
      <left style="thin">
        <color rgb="FF000000"/>
      </left>
    </border>
    <border>
      <top style="thin">
        <color rgb="FF000000"/>
      </top>
      <bottom style="thin">
        <color rgb="FF000000"/>
      </bottom>
    </border>
    <border>
      <left style="thin">
        <color rgb="FF000000"/>
      </left>
      <top style="thin">
        <color rgb="FF000000"/>
      </top>
      <bottom style="thin">
        <color rgb="FF000000"/>
      </bottom>
    </border>
    <border>
      <bottom style="thin">
        <color rgb="FFF2F2F2"/>
      </bottom>
    </border>
    <border>
      <left style="thin">
        <color rgb="FFF2F2F2"/>
      </left>
      <right style="thin">
        <color rgb="FFF2F2F2"/>
      </right>
      <top style="thin">
        <color rgb="FFF2F2F2"/>
      </top>
      <bottom style="thin">
        <color rgb="FFF2F2F2"/>
      </bottom>
    </border>
    <border>
      <left/>
      <right style="thin">
        <color rgb="FFF2F2F2"/>
      </right>
      <top style="thin">
        <color rgb="FFF2F2F2"/>
      </top>
      <bottom style="thin">
        <color rgb="FFF2F2F2"/>
      </bottom>
    </border>
    <border>
      <left style="thin">
        <color rgb="FFF2F2F2"/>
      </left>
      <right style="double">
        <color rgb="FFBFBFBF"/>
      </right>
      <top style="thin">
        <color rgb="FFF2F2F2"/>
      </top>
      <bottom style="thin">
        <color rgb="FFF2F2F2"/>
      </bottom>
    </border>
    <border>
      <left/>
      <right/>
      <top style="thin">
        <color rgb="FFF2F2F2"/>
      </top>
      <bottom style="thin">
        <color rgb="FFF2F2F2"/>
      </bottom>
    </border>
    <border>
      <left style="thin">
        <color rgb="FFF2F2F2"/>
      </left>
      <right style="thin">
        <color rgb="FFF2F2F2"/>
      </right>
      <top style="thin">
        <color rgb="FFF2F2F2"/>
      </top>
      <bottom style="medium">
        <color rgb="FFF2F2F2"/>
      </bottom>
    </border>
    <border>
      <left/>
      <right style="thin">
        <color rgb="FFF2F2F2"/>
      </right>
      <top style="thin">
        <color rgb="FFF2F2F2"/>
      </top>
      <bottom style="medium">
        <color rgb="FFF2F2F2"/>
      </bottom>
    </border>
    <border>
      <left style="thin">
        <color rgb="FFF2F2F2"/>
      </left>
      <right style="double">
        <color rgb="FFBFBFBF"/>
      </right>
      <top style="thin">
        <color rgb="FFF2F2F2"/>
      </top>
      <bottom style="medium">
        <color rgb="FFF2F2F2"/>
      </bottom>
    </border>
    <border>
      <left style="thin">
        <color rgb="FFF2F2F2"/>
      </left>
      <right style="thin">
        <color rgb="FFF2F2F2"/>
      </right>
      <top style="medium">
        <color rgb="FFBFBFBF"/>
      </top>
      <bottom style="thin">
        <color rgb="FFBFBFBF"/>
      </bottom>
    </border>
    <border>
      <left/>
      <right style="thin">
        <color rgb="FFF2F2F2"/>
      </right>
      <top style="medium">
        <color rgb="FFBFBFBF"/>
      </top>
      <bottom style="thin">
        <color rgb="FFBFBFBF"/>
      </bottom>
    </border>
    <border>
      <left style="thin">
        <color rgb="FFF2F2F2"/>
      </left>
      <right style="double">
        <color rgb="FFBFBFBF"/>
      </right>
      <top style="medium">
        <color rgb="FFBFBFBF"/>
      </top>
      <bottom style="thin">
        <color rgb="FFBFBFBF"/>
      </bottom>
    </border>
    <border>
      <left/>
      <right/>
      <top style="medium">
        <color rgb="FFBFBFBF"/>
      </top>
      <bottom style="thin">
        <color rgb="FFBFBFBF"/>
      </bottom>
    </border>
    <border>
      <top style="thin">
        <color rgb="FF000000"/>
      </top>
    </border>
    <border>
      <bottom style="thin">
        <color rgb="FF000000"/>
      </bottom>
    </border>
    <border>
      <left/>
      <right/>
      <top/>
      <bottom/>
    </border>
    <border>
      <top style="thin">
        <color rgb="FF000000"/>
      </top>
      <bottom style="medium">
        <color rgb="FF000000"/>
      </bottom>
    </border>
    <border>
      <left style="thin">
        <color rgb="FF000000"/>
      </left>
      <top style="thin">
        <color rgb="FF000000"/>
      </top>
    </border>
    <border>
      <right style="thin">
        <color rgb="FF000000"/>
      </right>
      <top style="thin">
        <color rgb="FF000000"/>
      </top>
    </border>
    <border>
      <left/>
      <right style="thin">
        <color rgb="FF000000"/>
      </right>
      <top/>
      <bottom/>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Font="1"/>
    <xf borderId="0" fillId="0" fontId="2" numFmtId="0" xfId="0" applyFont="1"/>
    <xf borderId="1" fillId="0" fontId="1" numFmtId="0" xfId="0" applyBorder="1" applyFont="1"/>
    <xf borderId="0" fillId="0" fontId="1" numFmtId="164" xfId="0" applyFont="1" applyNumberFormat="1"/>
    <xf borderId="0" fillId="0" fontId="3" numFmtId="0" xfId="0" applyFont="1"/>
    <xf borderId="1" fillId="0" fontId="1" numFmtId="164" xfId="0" applyBorder="1" applyFont="1" applyNumberFormat="1"/>
    <xf borderId="1" fillId="0" fontId="1" numFmtId="165" xfId="0" applyBorder="1" applyFont="1" applyNumberFormat="1"/>
    <xf borderId="0" fillId="0" fontId="2" numFmtId="165" xfId="0" applyAlignment="1" applyFont="1" applyNumberFormat="1">
      <alignment readingOrder="0"/>
    </xf>
    <xf borderId="0" fillId="0" fontId="2" numFmtId="165" xfId="0" applyFont="1" applyNumberFormat="1"/>
    <xf borderId="0" fillId="0" fontId="1" numFmtId="165" xfId="0" applyFont="1" applyNumberFormat="1"/>
    <xf borderId="1" fillId="0" fontId="1" numFmtId="165" xfId="0" applyAlignment="1" applyBorder="1" applyFont="1" applyNumberFormat="1">
      <alignment readingOrder="0"/>
    </xf>
    <xf borderId="2" fillId="0" fontId="3" numFmtId="0" xfId="0" applyBorder="1" applyFont="1"/>
    <xf borderId="2" fillId="0" fontId="1" numFmtId="164" xfId="0" applyBorder="1" applyFont="1" applyNumberFormat="1"/>
    <xf borderId="3" fillId="0" fontId="1" numFmtId="165" xfId="0" applyBorder="1" applyFont="1" applyNumberFormat="1"/>
    <xf borderId="2" fillId="0" fontId="1" numFmtId="165" xfId="0" applyBorder="1" applyFont="1" applyNumberFormat="1"/>
    <xf borderId="0" fillId="0" fontId="4" numFmtId="0" xfId="0" applyAlignment="1" applyFont="1">
      <alignment vertical="center"/>
    </xf>
    <xf borderId="0" fillId="0" fontId="5" numFmtId="0" xfId="0" applyAlignment="1" applyFont="1">
      <alignment vertical="center"/>
    </xf>
    <xf borderId="4" fillId="0" fontId="6" numFmtId="0" xfId="0" applyAlignment="1" applyBorder="1" applyFont="1">
      <alignment horizontal="left" vertical="center"/>
    </xf>
    <xf borderId="4" fillId="0" fontId="7" numFmtId="0" xfId="0" applyBorder="1" applyFont="1"/>
    <xf borderId="0" fillId="0" fontId="8" numFmtId="0" xfId="0" applyAlignment="1" applyFont="1">
      <alignment horizontal="center" vertical="center"/>
    </xf>
    <xf borderId="5" fillId="2" fontId="9" numFmtId="0" xfId="0" applyAlignment="1" applyBorder="1" applyFill="1" applyFont="1">
      <alignment horizontal="left" vertical="center"/>
    </xf>
    <xf borderId="5" fillId="3" fontId="9" numFmtId="0" xfId="0" applyAlignment="1" applyBorder="1" applyFill="1" applyFont="1">
      <alignment horizontal="center" vertical="center"/>
    </xf>
    <xf borderId="6" fillId="4" fontId="9" numFmtId="0" xfId="0" applyAlignment="1" applyBorder="1" applyFill="1" applyFont="1">
      <alignment horizontal="center" vertical="center"/>
    </xf>
    <xf borderId="5" fillId="4" fontId="9" numFmtId="0" xfId="0" applyAlignment="1" applyBorder="1" applyFont="1">
      <alignment horizontal="center" vertical="center"/>
    </xf>
    <xf borderId="6" fillId="5" fontId="9" numFmtId="0" xfId="0" applyAlignment="1" applyBorder="1" applyFill="1" applyFont="1">
      <alignment horizontal="center" vertical="center"/>
    </xf>
    <xf borderId="5" fillId="5" fontId="9" numFmtId="0" xfId="0" applyAlignment="1" applyBorder="1" applyFont="1">
      <alignment horizontal="center" vertical="center"/>
    </xf>
    <xf borderId="6" fillId="6" fontId="9" numFmtId="0" xfId="0" applyAlignment="1" applyBorder="1" applyFill="1" applyFont="1">
      <alignment horizontal="center" vertical="center"/>
    </xf>
    <xf borderId="5" fillId="6" fontId="9" numFmtId="0" xfId="0" applyAlignment="1" applyBorder="1" applyFont="1">
      <alignment horizontal="center" vertical="center"/>
    </xf>
    <xf borderId="7" fillId="6" fontId="9" numFmtId="0" xfId="0" applyAlignment="1" applyBorder="1" applyFont="1">
      <alignment horizontal="center" vertical="center"/>
    </xf>
    <xf borderId="8" fillId="2" fontId="9" numFmtId="0" xfId="0" applyAlignment="1" applyBorder="1" applyFont="1">
      <alignment horizontal="center" vertical="center"/>
    </xf>
    <xf borderId="5" fillId="7" fontId="10" numFmtId="0" xfId="0" applyAlignment="1" applyBorder="1" applyFill="1" applyFont="1">
      <alignment horizontal="left" vertical="center"/>
    </xf>
    <xf borderId="5" fillId="8" fontId="11" numFmtId="0" xfId="0" applyAlignment="1" applyBorder="1" applyFill="1" applyFont="1">
      <alignment vertical="center"/>
    </xf>
    <xf borderId="6" fillId="8" fontId="11" numFmtId="0" xfId="0" applyAlignment="1" applyBorder="1" applyFont="1">
      <alignment vertical="center"/>
    </xf>
    <xf borderId="7" fillId="8" fontId="11" numFmtId="0" xfId="0" applyAlignment="1" applyBorder="1" applyFont="1">
      <alignment vertical="center"/>
    </xf>
    <xf borderId="8" fillId="8" fontId="11" numFmtId="0" xfId="0" applyAlignment="1" applyBorder="1" applyFont="1">
      <alignment vertical="center"/>
    </xf>
    <xf borderId="5" fillId="0" fontId="12" numFmtId="0" xfId="0" applyAlignment="1" applyBorder="1" applyFont="1">
      <alignment horizontal="left" readingOrder="0" vertical="center"/>
    </xf>
    <xf borderId="5" fillId="9" fontId="12" numFmtId="164" xfId="0" applyAlignment="1" applyBorder="1" applyFill="1" applyFont="1" applyNumberFormat="1">
      <alignment vertical="center"/>
    </xf>
    <xf borderId="6" fillId="10" fontId="12" numFmtId="164" xfId="0" applyAlignment="1" applyBorder="1" applyFill="1" applyFont="1" applyNumberFormat="1">
      <alignment vertical="center"/>
    </xf>
    <xf borderId="5" fillId="10" fontId="12" numFmtId="164" xfId="0" applyAlignment="1" applyBorder="1" applyFont="1" applyNumberFormat="1">
      <alignment vertical="center"/>
    </xf>
    <xf borderId="6" fillId="11" fontId="12" numFmtId="164" xfId="0" applyAlignment="1" applyBorder="1" applyFill="1" applyFont="1" applyNumberFormat="1">
      <alignment vertical="center"/>
    </xf>
    <xf borderId="5" fillId="11" fontId="12" numFmtId="164" xfId="0" applyAlignment="1" applyBorder="1" applyFont="1" applyNumberFormat="1">
      <alignment vertical="center"/>
    </xf>
    <xf borderId="6" fillId="12" fontId="12" numFmtId="164" xfId="0" applyAlignment="1" applyBorder="1" applyFill="1" applyFont="1" applyNumberFormat="1">
      <alignment vertical="center"/>
    </xf>
    <xf borderId="5" fillId="12" fontId="12" numFmtId="164" xfId="0" applyAlignment="1" applyBorder="1" applyFont="1" applyNumberFormat="1">
      <alignment vertical="center"/>
    </xf>
    <xf borderId="7" fillId="12" fontId="12" numFmtId="164" xfId="0" applyAlignment="1" applyBorder="1" applyFont="1" applyNumberFormat="1">
      <alignment vertical="center"/>
    </xf>
    <xf borderId="8" fillId="13" fontId="13" numFmtId="164" xfId="0" applyAlignment="1" applyBorder="1" applyFill="1" applyFont="1" applyNumberFormat="1">
      <alignment vertical="center"/>
    </xf>
    <xf borderId="5" fillId="14" fontId="12" numFmtId="164" xfId="0" applyAlignment="1" applyBorder="1" applyFill="1" applyFont="1" applyNumberFormat="1">
      <alignment vertical="center"/>
    </xf>
    <xf borderId="9" fillId="2" fontId="14" numFmtId="0" xfId="0" applyAlignment="1" applyBorder="1" applyFont="1">
      <alignment horizontal="right" vertical="center"/>
    </xf>
    <xf borderId="9" fillId="3" fontId="15" numFmtId="164" xfId="0" applyAlignment="1" applyBorder="1" applyFont="1" applyNumberFormat="1">
      <alignment vertical="center"/>
    </xf>
    <xf borderId="10" fillId="4" fontId="15" numFmtId="164" xfId="0" applyAlignment="1" applyBorder="1" applyFont="1" applyNumberFormat="1">
      <alignment vertical="center"/>
    </xf>
    <xf borderId="9" fillId="4" fontId="15" numFmtId="164" xfId="0" applyAlignment="1" applyBorder="1" applyFont="1" applyNumberFormat="1">
      <alignment vertical="center"/>
    </xf>
    <xf borderId="10" fillId="5" fontId="15" numFmtId="164" xfId="0" applyAlignment="1" applyBorder="1" applyFont="1" applyNumberFormat="1">
      <alignment vertical="center"/>
    </xf>
    <xf borderId="9" fillId="5" fontId="15" numFmtId="164" xfId="0" applyAlignment="1" applyBorder="1" applyFont="1" applyNumberFormat="1">
      <alignment vertical="center"/>
    </xf>
    <xf borderId="10" fillId="6" fontId="15" numFmtId="164" xfId="0" applyAlignment="1" applyBorder="1" applyFont="1" applyNumberFormat="1">
      <alignment vertical="center"/>
    </xf>
    <xf borderId="9" fillId="6" fontId="15" numFmtId="164" xfId="0" applyAlignment="1" applyBorder="1" applyFont="1" applyNumberFormat="1">
      <alignment vertical="center"/>
    </xf>
    <xf borderId="11" fillId="6" fontId="15" numFmtId="164" xfId="0" applyAlignment="1" applyBorder="1" applyFont="1" applyNumberFormat="1">
      <alignment vertical="center"/>
    </xf>
    <xf borderId="8" fillId="2" fontId="14" numFmtId="164" xfId="0" applyAlignment="1" applyBorder="1" applyFont="1" applyNumberFormat="1">
      <alignment vertical="center"/>
    </xf>
    <xf borderId="5" fillId="0" fontId="12" numFmtId="0" xfId="0" applyAlignment="1" applyBorder="1" applyFont="1">
      <alignment horizontal="left" vertical="center"/>
    </xf>
    <xf borderId="5" fillId="0" fontId="16" numFmtId="0" xfId="0" applyAlignment="1" applyBorder="1" applyFont="1">
      <alignment horizontal="left" vertical="center"/>
    </xf>
    <xf borderId="5" fillId="12" fontId="12" numFmtId="164" xfId="0" applyAlignment="1" applyBorder="1" applyFont="1" applyNumberFormat="1">
      <alignment readingOrder="0" vertical="center"/>
    </xf>
    <xf quotePrefix="1" borderId="5" fillId="0" fontId="16" numFmtId="0" xfId="0" applyAlignment="1" applyBorder="1" applyFont="1">
      <alignment horizontal="left" vertical="center"/>
    </xf>
    <xf borderId="8" fillId="13" fontId="13" numFmtId="164" xfId="0" applyAlignment="1" applyBorder="1" applyFont="1" applyNumberFormat="1">
      <alignment readingOrder="0" vertical="center"/>
    </xf>
    <xf borderId="0" fillId="15" fontId="17" numFmtId="164" xfId="0" applyAlignment="1" applyFill="1" applyFont="1" applyNumberFormat="1">
      <alignment horizontal="center" readingOrder="0"/>
    </xf>
    <xf borderId="7" fillId="12" fontId="12" numFmtId="164" xfId="0" applyAlignment="1" applyBorder="1" applyFont="1" applyNumberFormat="1">
      <alignment readingOrder="0" vertical="center"/>
    </xf>
    <xf borderId="5" fillId="9" fontId="12" numFmtId="164" xfId="0" applyAlignment="1" applyBorder="1" applyFont="1" applyNumberFormat="1">
      <alignment readingOrder="0" vertical="center"/>
    </xf>
    <xf borderId="6" fillId="10" fontId="12" numFmtId="164" xfId="0" applyAlignment="1" applyBorder="1" applyFont="1" applyNumberFormat="1">
      <alignment readingOrder="0" vertical="center"/>
    </xf>
    <xf borderId="5" fillId="10" fontId="12" numFmtId="164" xfId="0" applyAlignment="1" applyBorder="1" applyFont="1" applyNumberFormat="1">
      <alignment readingOrder="0" vertical="center"/>
    </xf>
    <xf borderId="6" fillId="11" fontId="12" numFmtId="164" xfId="0" applyAlignment="1" applyBorder="1" applyFont="1" applyNumberFormat="1">
      <alignment readingOrder="0" vertical="center"/>
    </xf>
    <xf borderId="5" fillId="11" fontId="12" numFmtId="164" xfId="0" applyAlignment="1" applyBorder="1" applyFont="1" applyNumberFormat="1">
      <alignment readingOrder="0" vertical="center"/>
    </xf>
    <xf borderId="6" fillId="12" fontId="12" numFmtId="164" xfId="0" applyAlignment="1" applyBorder="1" applyFont="1" applyNumberFormat="1">
      <alignment readingOrder="0" vertical="center"/>
    </xf>
    <xf borderId="12" fillId="2" fontId="14" numFmtId="0" xfId="0" applyAlignment="1" applyBorder="1" applyFont="1">
      <alignment horizontal="right" vertical="center"/>
    </xf>
    <xf borderId="12" fillId="16" fontId="15" numFmtId="164" xfId="0" applyAlignment="1" applyBorder="1" applyFill="1" applyFont="1" applyNumberFormat="1">
      <alignment vertical="center"/>
    </xf>
    <xf borderId="13" fillId="17" fontId="15" numFmtId="164" xfId="0" applyAlignment="1" applyBorder="1" applyFill="1" applyFont="1" applyNumberFormat="1">
      <alignment vertical="center"/>
    </xf>
    <xf borderId="12" fillId="17" fontId="15" numFmtId="164" xfId="0" applyAlignment="1" applyBorder="1" applyFont="1" applyNumberFormat="1">
      <alignment vertical="center"/>
    </xf>
    <xf borderId="13" fillId="18" fontId="15" numFmtId="164" xfId="0" applyAlignment="1" applyBorder="1" applyFill="1" applyFont="1" applyNumberFormat="1">
      <alignment vertical="center"/>
    </xf>
    <xf borderId="12" fillId="18" fontId="15" numFmtId="164" xfId="0" applyAlignment="1" applyBorder="1" applyFont="1" applyNumberFormat="1">
      <alignment vertical="center"/>
    </xf>
    <xf borderId="13" fillId="19" fontId="15" numFmtId="164" xfId="0" applyAlignment="1" applyBorder="1" applyFill="1" applyFont="1" applyNumberFormat="1">
      <alignment vertical="center"/>
    </xf>
    <xf borderId="12" fillId="19" fontId="15" numFmtId="164" xfId="0" applyAlignment="1" applyBorder="1" applyFont="1" applyNumberFormat="1">
      <alignment vertical="center"/>
    </xf>
    <xf borderId="14" fillId="19" fontId="15" numFmtId="164" xfId="0" applyAlignment="1" applyBorder="1" applyFont="1" applyNumberFormat="1">
      <alignment vertical="center"/>
    </xf>
    <xf borderId="15" fillId="20" fontId="14" numFmtId="164" xfId="0" applyAlignment="1" applyBorder="1" applyFill="1" applyFont="1" applyNumberFormat="1">
      <alignment vertical="center"/>
    </xf>
    <xf borderId="0" fillId="0" fontId="1" numFmtId="164" xfId="0" applyAlignment="1" applyFont="1" applyNumberFormat="1">
      <alignment shrinkToFit="0" wrapText="1"/>
    </xf>
    <xf borderId="0" fillId="0" fontId="1" numFmtId="10" xfId="0" applyFont="1" applyNumberFormat="1"/>
    <xf borderId="0" fillId="0" fontId="18" numFmtId="0" xfId="0" applyAlignment="1" applyFont="1">
      <alignment horizontal="center" vertical="center"/>
    </xf>
    <xf borderId="2" fillId="0" fontId="19" numFmtId="0" xfId="0" applyAlignment="1" applyBorder="1" applyFont="1">
      <alignment horizontal="center" vertical="center"/>
    </xf>
    <xf borderId="2" fillId="0" fontId="1" numFmtId="0" xfId="0" applyBorder="1" applyFont="1"/>
    <xf borderId="2" fillId="0" fontId="20" numFmtId="0" xfId="0" applyAlignment="1" applyBorder="1" applyFont="1">
      <alignment horizontal="left" vertical="center"/>
    </xf>
    <xf borderId="0" fillId="0" fontId="3" numFmtId="164" xfId="0" applyFont="1" applyNumberFormat="1"/>
    <xf borderId="2" fillId="0" fontId="3" numFmtId="164" xfId="0" applyBorder="1" applyFont="1" applyNumberFormat="1"/>
    <xf borderId="0" fillId="0" fontId="1" numFmtId="164" xfId="0" applyAlignment="1" applyFont="1" applyNumberFormat="1">
      <alignment readingOrder="0"/>
    </xf>
    <xf borderId="0" fillId="0" fontId="3" numFmtId="0" xfId="0" applyAlignment="1" applyFont="1">
      <alignment horizontal="left"/>
    </xf>
    <xf borderId="0" fillId="0" fontId="3" numFmtId="164" xfId="0" applyAlignment="1" applyFont="1" applyNumberFormat="1">
      <alignment horizontal="left"/>
    </xf>
    <xf borderId="0" fillId="0" fontId="3" numFmtId="14" xfId="0" applyAlignment="1" applyFont="1" applyNumberFormat="1">
      <alignment horizontal="left"/>
    </xf>
    <xf borderId="0" fillId="0" fontId="1" numFmtId="14" xfId="0" applyFont="1" applyNumberFormat="1"/>
    <xf borderId="0" fillId="0" fontId="1" numFmtId="166" xfId="0" applyFont="1" applyNumberFormat="1"/>
    <xf borderId="0" fillId="0" fontId="1" numFmtId="167" xfId="0" applyFont="1" applyNumberFormat="1"/>
    <xf borderId="16" fillId="0" fontId="3" numFmtId="0" xfId="0" applyBorder="1" applyFont="1"/>
    <xf borderId="16" fillId="0" fontId="3" numFmtId="164" xfId="0" applyBorder="1" applyFont="1" applyNumberFormat="1"/>
    <xf borderId="16" fillId="0" fontId="1" numFmtId="14" xfId="0" applyBorder="1" applyFont="1" applyNumberFormat="1"/>
    <xf borderId="16" fillId="0" fontId="1" numFmtId="0" xfId="0" applyBorder="1" applyFont="1"/>
    <xf borderId="17" fillId="0" fontId="1" numFmtId="0" xfId="0" applyBorder="1" applyFont="1"/>
    <xf borderId="17" fillId="0" fontId="1" numFmtId="164" xfId="0" applyBorder="1" applyFont="1" applyNumberFormat="1"/>
    <xf borderId="17" fillId="0" fontId="1" numFmtId="14" xfId="0" applyBorder="1" applyFont="1" applyNumberFormat="1"/>
    <xf borderId="0" fillId="0" fontId="1" numFmtId="0" xfId="0" applyAlignment="1" applyFont="1">
      <alignment shrinkToFit="0" wrapText="1"/>
    </xf>
    <xf borderId="0" fillId="0" fontId="1" numFmtId="168" xfId="0" applyFont="1" applyNumberFormat="1"/>
    <xf borderId="0" fillId="0" fontId="1" numFmtId="0" xfId="0" applyAlignment="1" applyFont="1">
      <alignment horizontal="left" vertical="center"/>
    </xf>
    <xf borderId="0" fillId="0" fontId="1" numFmtId="9" xfId="0" applyFont="1" applyNumberFormat="1"/>
    <xf borderId="0" fillId="0" fontId="21" numFmtId="0" xfId="0" applyFont="1"/>
    <xf borderId="0" fillId="0" fontId="3" numFmtId="0" xfId="0" applyAlignment="1" applyFont="1">
      <alignment horizontal="left" vertical="center"/>
    </xf>
    <xf borderId="0" fillId="0" fontId="3" numFmtId="9" xfId="0" applyAlignment="1" applyFont="1" applyNumberFormat="1">
      <alignment horizontal="left"/>
    </xf>
    <xf borderId="0" fillId="0" fontId="1" numFmtId="164" xfId="0" applyAlignment="1" applyFont="1" applyNumberFormat="1">
      <alignment horizontal="right" vertical="center"/>
    </xf>
    <xf borderId="18" fillId="21" fontId="3" numFmtId="164" xfId="0" applyBorder="1" applyFill="1" applyFont="1" applyNumberFormat="1"/>
    <xf borderId="0" fillId="0" fontId="1" numFmtId="1" xfId="0" applyFont="1" applyNumberFormat="1"/>
    <xf borderId="0" fillId="0" fontId="3" numFmtId="168" xfId="0" applyFont="1" applyNumberFormat="1"/>
    <xf borderId="0" fillId="0" fontId="1" numFmtId="0" xfId="0" applyAlignment="1" applyFont="1">
      <alignment horizontal="left"/>
    </xf>
    <xf borderId="0" fillId="0" fontId="1" numFmtId="164" xfId="0" applyAlignment="1" applyFont="1" applyNumberFormat="1">
      <alignment horizontal="left"/>
    </xf>
    <xf borderId="0" fillId="0" fontId="1" numFmtId="14" xfId="0" applyAlignment="1" applyFont="1" applyNumberFormat="1">
      <alignment horizontal="left"/>
    </xf>
    <xf borderId="0" fillId="0" fontId="1" numFmtId="164" xfId="0" applyAlignment="1" applyFont="1" applyNumberFormat="1">
      <alignment horizontal="left" vertical="center"/>
    </xf>
    <xf borderId="0" fillId="0" fontId="22" numFmtId="0" xfId="0" applyAlignment="1" applyFont="1">
      <alignment horizontal="left" vertical="center"/>
    </xf>
    <xf borderId="0" fillId="0" fontId="22" numFmtId="0" xfId="0" applyAlignment="1" applyFont="1">
      <alignment horizontal="center"/>
    </xf>
    <xf borderId="17" fillId="0" fontId="3" numFmtId="0" xfId="0" applyBorder="1" applyFont="1"/>
    <xf borderId="17" fillId="0" fontId="1" numFmtId="0" xfId="0" applyAlignment="1" applyBorder="1" applyFont="1">
      <alignment horizontal="left" vertical="center"/>
    </xf>
    <xf borderId="17" fillId="0" fontId="1" numFmtId="9" xfId="0" applyBorder="1" applyFont="1" applyNumberFormat="1"/>
    <xf borderId="0" fillId="0" fontId="2" numFmtId="0" xfId="0" applyAlignment="1" applyFont="1">
      <alignment readingOrder="0"/>
    </xf>
    <xf borderId="19" fillId="0" fontId="21" numFmtId="0" xfId="0" applyAlignment="1" applyBorder="1" applyFont="1">
      <alignment horizontal="center"/>
    </xf>
    <xf borderId="19" fillId="0" fontId="7" numFmtId="0" xfId="0" applyBorder="1" applyFont="1"/>
    <xf borderId="0" fillId="0" fontId="23" numFmtId="164" xfId="0" applyFont="1" applyNumberFormat="1"/>
    <xf borderId="0" fillId="0" fontId="1" numFmtId="169" xfId="0" applyFont="1" applyNumberFormat="1"/>
    <xf borderId="0" fillId="0" fontId="3" numFmtId="169" xfId="0" applyFont="1" applyNumberFormat="1"/>
    <xf borderId="5" fillId="7" fontId="10" numFmtId="0" xfId="0" applyAlignment="1" applyBorder="1" applyFont="1">
      <alignment horizontal="left" readingOrder="0" vertical="center"/>
    </xf>
    <xf borderId="20" fillId="0" fontId="3" numFmtId="0" xfId="0" applyBorder="1" applyFont="1"/>
    <xf borderId="21" fillId="0" fontId="1" numFmtId="0" xfId="0" applyBorder="1" applyFont="1"/>
    <xf borderId="22" fillId="22" fontId="1" numFmtId="168" xfId="0" applyBorder="1" applyFill="1" applyFont="1" applyNumberFormat="1"/>
    <xf borderId="23" fillId="0" fontId="1" numFmtId="168" xfId="0" applyBorder="1" applyFont="1" applyNumberFormat="1"/>
    <xf borderId="23" fillId="0" fontId="1" numFmtId="0" xfId="0" applyBorder="1" applyFont="1"/>
    <xf borderId="1" fillId="0" fontId="3" numFmtId="0" xfId="0" applyBorder="1" applyFont="1"/>
    <xf borderId="24" fillId="0" fontId="1" numFmtId="0" xfId="0" applyBorder="1" applyFont="1"/>
    <xf borderId="25" fillId="0" fontId="1"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1.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cobcoley\Downloads\IC-Property-Management-Spreadsheet-907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perty Management Overview"/>
      <sheetName val="Property 1"/>
      <sheetName val="Property 2"/>
      <sheetName val="Property 3"/>
      <sheetName val="Property 4"/>
      <sheetName val="Property 5"/>
      <sheetName val="Property 6"/>
      <sheetName val="Property 7"/>
      <sheetName val="Property 8"/>
      <sheetName val="Property 9"/>
      <sheetName val="Property 10"/>
      <sheetName val="Property 11"/>
      <sheetName val="Property 12"/>
      <sheetName val="- Disclaimer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1.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9.57"/>
    <col customWidth="1" min="2" max="2" width="16.71"/>
    <col customWidth="1" min="3" max="3" width="16.86"/>
    <col customWidth="1" min="4" max="4" width="12.71"/>
    <col customWidth="1" min="5" max="5" width="12.14"/>
    <col customWidth="1" min="6" max="6" width="8.71"/>
    <col customWidth="1" min="7" max="7" width="11.14"/>
    <col customWidth="1" min="8" max="26" width="8.71"/>
  </cols>
  <sheetData>
    <row r="1" ht="14.25" customHeight="1">
      <c r="B1" s="1">
        <v>2022.0</v>
      </c>
      <c r="C1" s="2">
        <v>2022.0</v>
      </c>
      <c r="D1" s="3">
        <v>2023.0</v>
      </c>
      <c r="E1" s="2">
        <v>2023.0</v>
      </c>
      <c r="F1" s="3">
        <v>2024.0</v>
      </c>
      <c r="G1" s="2">
        <v>2024.0</v>
      </c>
    </row>
    <row r="2" ht="14.25" customHeight="1">
      <c r="B2" s="4" t="s">
        <v>0</v>
      </c>
      <c r="C2" s="2" t="s">
        <v>1</v>
      </c>
      <c r="D2" s="3" t="s">
        <v>0</v>
      </c>
      <c r="E2" s="2" t="s">
        <v>1</v>
      </c>
      <c r="F2" s="3" t="s">
        <v>2</v>
      </c>
      <c r="G2" s="2" t="s">
        <v>1</v>
      </c>
    </row>
    <row r="3" ht="14.25" customHeight="1">
      <c r="A3" s="5" t="s">
        <v>3</v>
      </c>
      <c r="B3" s="4"/>
      <c r="D3" s="3"/>
      <c r="F3" s="3"/>
    </row>
    <row r="4" ht="14.25" customHeight="1">
      <c r="A4" s="2" t="s">
        <v>4</v>
      </c>
      <c r="B4" s="4">
        <v>92000.0</v>
      </c>
      <c r="C4" s="4">
        <v>97876.85</v>
      </c>
      <c r="D4" s="6">
        <v>110000.0</v>
      </c>
      <c r="E4" s="4">
        <v>115000.0</v>
      </c>
      <c r="F4" s="7">
        <v>110000.0</v>
      </c>
      <c r="G4" s="8"/>
    </row>
    <row r="5" ht="14.25" customHeight="1">
      <c r="A5" s="2" t="s">
        <v>5</v>
      </c>
      <c r="B5" s="4">
        <v>0.0</v>
      </c>
      <c r="C5" s="4">
        <v>125.0</v>
      </c>
      <c r="D5" s="6">
        <v>1500.0</v>
      </c>
      <c r="E5" s="4"/>
      <c r="F5" s="7">
        <v>1500.0</v>
      </c>
      <c r="G5" s="8"/>
    </row>
    <row r="6" ht="14.25" customHeight="1">
      <c r="A6" s="2" t="s">
        <v>6</v>
      </c>
      <c r="B6" s="4"/>
      <c r="C6" s="4"/>
      <c r="D6" s="6"/>
      <c r="E6" s="4"/>
      <c r="F6" s="7">
        <v>20000.0</v>
      </c>
      <c r="G6" s="9"/>
    </row>
    <row r="7" ht="14.25" customHeight="1">
      <c r="A7" s="2" t="s">
        <v>7</v>
      </c>
      <c r="B7" s="4">
        <v>14000.0</v>
      </c>
      <c r="C7" s="4">
        <v>25875.0</v>
      </c>
      <c r="D7" s="6">
        <v>14700.0</v>
      </c>
      <c r="E7" s="4">
        <v>14700.0</v>
      </c>
      <c r="F7" s="7">
        <v>16000.0</v>
      </c>
      <c r="G7" s="10"/>
    </row>
    <row r="8" ht="14.25" customHeight="1">
      <c r="A8" s="2" t="s">
        <v>8</v>
      </c>
      <c r="B8" s="4">
        <v>10000.0</v>
      </c>
      <c r="C8" s="4">
        <v>15000.0</v>
      </c>
      <c r="D8" s="6">
        <v>15000.0</v>
      </c>
      <c r="E8" s="4">
        <v>54777.25</v>
      </c>
      <c r="F8" s="7">
        <v>20000.0</v>
      </c>
      <c r="G8" s="9"/>
    </row>
    <row r="9" ht="14.25" customHeight="1">
      <c r="A9" s="2" t="s">
        <v>9</v>
      </c>
      <c r="B9" s="4">
        <v>67000.0</v>
      </c>
      <c r="C9" s="4">
        <v>67000.0</v>
      </c>
      <c r="D9" s="6">
        <v>74000.0</v>
      </c>
      <c r="E9" s="4"/>
      <c r="F9" s="11">
        <v>0.0</v>
      </c>
      <c r="G9" s="9"/>
    </row>
    <row r="10" ht="14.25" customHeight="1">
      <c r="A10" s="12" t="s">
        <v>10</v>
      </c>
      <c r="B10" s="13">
        <f t="shared" ref="B10:G10" si="1">SUM(B4:B9)</f>
        <v>183000</v>
      </c>
      <c r="C10" s="13">
        <f t="shared" si="1"/>
        <v>205876.85</v>
      </c>
      <c r="D10" s="13">
        <f t="shared" si="1"/>
        <v>215200</v>
      </c>
      <c r="E10" s="13">
        <f t="shared" si="1"/>
        <v>184477.25</v>
      </c>
      <c r="F10" s="14">
        <f t="shared" si="1"/>
        <v>167500</v>
      </c>
      <c r="G10" s="15">
        <f t="shared" si="1"/>
        <v>0</v>
      </c>
    </row>
    <row r="11" ht="14.25" customHeight="1">
      <c r="A11" s="5"/>
      <c r="B11" s="4"/>
    </row>
    <row r="12" ht="14.25" customHeight="1">
      <c r="B12" s="4"/>
    </row>
    <row r="13" ht="14.25" customHeight="1">
      <c r="B13" s="4"/>
    </row>
    <row r="14" ht="14.25" customHeight="1">
      <c r="B14" s="4"/>
    </row>
    <row r="15" ht="14.25" customHeight="1">
      <c r="B15" s="4"/>
    </row>
    <row r="16" ht="14.25" customHeight="1">
      <c r="B16" s="4"/>
    </row>
    <row r="17" ht="14.25" customHeight="1">
      <c r="B17" s="4"/>
    </row>
    <row r="18" ht="14.25" customHeight="1">
      <c r="B18" s="4"/>
    </row>
    <row r="19" ht="14.25" customHeight="1">
      <c r="B19" s="4"/>
    </row>
    <row r="20" ht="14.25" customHeight="1">
      <c r="B20" s="4"/>
    </row>
    <row r="21" ht="14.25" customHeight="1">
      <c r="B21" s="4"/>
    </row>
    <row r="22" ht="14.25" customHeight="1">
      <c r="B22" s="4"/>
    </row>
    <row r="23" ht="14.25" customHeight="1">
      <c r="B23" s="4"/>
    </row>
    <row r="24" ht="14.25" customHeight="1">
      <c r="B24" s="4"/>
    </row>
    <row r="25" ht="14.25" customHeight="1">
      <c r="B25" s="4"/>
    </row>
    <row r="26" ht="14.25" customHeight="1">
      <c r="B26" s="4"/>
    </row>
    <row r="27" ht="14.25" customHeight="1">
      <c r="B27" s="4"/>
    </row>
    <row r="28" ht="14.25" customHeight="1">
      <c r="B28" s="4"/>
    </row>
    <row r="29" ht="14.25" customHeight="1">
      <c r="B29" s="4"/>
    </row>
    <row r="30" ht="14.25" customHeight="1">
      <c r="B30" s="4"/>
    </row>
    <row r="31" ht="14.25" customHeight="1">
      <c r="B31" s="4"/>
    </row>
    <row r="32" ht="14.25" customHeight="1">
      <c r="B32" s="4"/>
    </row>
    <row r="33" ht="14.25" customHeight="1">
      <c r="B33" s="4"/>
    </row>
    <row r="34" ht="14.25" customHeight="1">
      <c r="B34" s="4"/>
    </row>
    <row r="35" ht="14.25" customHeight="1">
      <c r="B35" s="4"/>
    </row>
    <row r="36" ht="14.25" customHeight="1">
      <c r="B36" s="4"/>
    </row>
    <row r="37" ht="14.25" customHeight="1">
      <c r="B37" s="4"/>
    </row>
    <row r="38" ht="14.25" customHeight="1">
      <c r="B38" s="4"/>
    </row>
    <row r="39" ht="14.25" customHeight="1">
      <c r="B39" s="4"/>
    </row>
    <row r="40" ht="14.25" customHeight="1">
      <c r="B40" s="4"/>
    </row>
    <row r="41" ht="14.25" customHeight="1">
      <c r="B41" s="4"/>
    </row>
    <row r="42" ht="14.25" customHeight="1">
      <c r="B42" s="4"/>
    </row>
    <row r="43" ht="14.25" customHeight="1">
      <c r="B43" s="4"/>
    </row>
    <row r="44" ht="14.25" customHeight="1">
      <c r="B44" s="4"/>
    </row>
    <row r="45" ht="14.25" customHeight="1">
      <c r="B45" s="4"/>
    </row>
    <row r="46" ht="14.25" customHeight="1">
      <c r="B46" s="4"/>
    </row>
    <row r="47" ht="14.25" customHeight="1">
      <c r="B47" s="4"/>
    </row>
    <row r="48" ht="14.25" customHeight="1">
      <c r="B48" s="4"/>
    </row>
    <row r="49" ht="14.25" customHeight="1">
      <c r="B49" s="4"/>
    </row>
    <row r="50" ht="14.25" customHeight="1">
      <c r="B50" s="4"/>
    </row>
    <row r="51" ht="14.25" customHeight="1">
      <c r="B51" s="4"/>
    </row>
    <row r="52" ht="14.25" customHeight="1">
      <c r="B52" s="4"/>
    </row>
    <row r="53" ht="14.25" customHeight="1">
      <c r="B53" s="4"/>
    </row>
    <row r="54" ht="14.25" customHeight="1">
      <c r="B54" s="4"/>
    </row>
    <row r="55" ht="14.25" customHeight="1">
      <c r="B55" s="4"/>
    </row>
    <row r="56" ht="14.25" customHeight="1">
      <c r="B56" s="4"/>
    </row>
    <row r="57" ht="14.25" customHeight="1">
      <c r="B57" s="4"/>
    </row>
    <row r="58" ht="14.25" customHeight="1">
      <c r="B58" s="4"/>
    </row>
    <row r="59" ht="14.25" customHeight="1">
      <c r="B59" s="4"/>
    </row>
    <row r="60" ht="14.25" customHeight="1">
      <c r="B60" s="4"/>
    </row>
    <row r="61" ht="14.25" customHeight="1">
      <c r="B61" s="4"/>
    </row>
    <row r="62" ht="14.25" customHeight="1">
      <c r="B62" s="4"/>
    </row>
    <row r="63" ht="14.25" customHeight="1">
      <c r="B63" s="4"/>
    </row>
    <row r="64" ht="14.25" customHeight="1">
      <c r="B64" s="4"/>
    </row>
    <row r="65" ht="14.25" customHeight="1">
      <c r="B65" s="4"/>
    </row>
    <row r="66" ht="14.25" customHeight="1">
      <c r="B66" s="4"/>
    </row>
    <row r="67" ht="14.25" customHeight="1">
      <c r="B67" s="4"/>
    </row>
    <row r="68" ht="14.25" customHeight="1">
      <c r="B68" s="4"/>
    </row>
    <row r="69" ht="14.25" customHeight="1">
      <c r="B69" s="4"/>
    </row>
    <row r="70" ht="14.25" customHeight="1">
      <c r="B70" s="4"/>
    </row>
    <row r="71" ht="14.25" customHeight="1">
      <c r="B71" s="4"/>
    </row>
    <row r="72" ht="14.25" customHeight="1">
      <c r="B72" s="4"/>
    </row>
    <row r="73" ht="14.25" customHeight="1">
      <c r="B73" s="4"/>
    </row>
    <row r="74" ht="14.25" customHeight="1">
      <c r="B74" s="4"/>
    </row>
    <row r="75" ht="14.25" customHeight="1">
      <c r="B75" s="4"/>
    </row>
    <row r="76" ht="14.25" customHeight="1">
      <c r="B76" s="4"/>
    </row>
    <row r="77" ht="14.25" customHeight="1">
      <c r="B77" s="4"/>
    </row>
    <row r="78" ht="14.25" customHeight="1">
      <c r="B78" s="4"/>
    </row>
    <row r="79" ht="14.25" customHeight="1">
      <c r="B79" s="4"/>
    </row>
    <row r="80" ht="14.25" customHeight="1">
      <c r="B80" s="4"/>
    </row>
    <row r="81" ht="14.25" customHeight="1">
      <c r="B81" s="4"/>
    </row>
    <row r="82" ht="14.25" customHeight="1">
      <c r="B82" s="4"/>
    </row>
    <row r="83" ht="14.25" customHeight="1">
      <c r="B83" s="4"/>
    </row>
    <row r="84" ht="14.25" customHeight="1">
      <c r="B84" s="4"/>
    </row>
    <row r="85" ht="14.25" customHeight="1">
      <c r="B85" s="4"/>
    </row>
    <row r="86" ht="14.25" customHeight="1">
      <c r="B86" s="4"/>
    </row>
    <row r="87" ht="14.25" customHeight="1">
      <c r="B87" s="4"/>
    </row>
    <row r="88" ht="14.25" customHeight="1">
      <c r="B88" s="4"/>
    </row>
    <row r="89" ht="14.25" customHeight="1">
      <c r="B89" s="4"/>
    </row>
    <row r="90" ht="14.25" customHeight="1">
      <c r="B90" s="4"/>
    </row>
    <row r="91" ht="14.25" customHeight="1">
      <c r="B91" s="4"/>
    </row>
    <row r="92" ht="14.25" customHeight="1">
      <c r="B92" s="4"/>
    </row>
    <row r="93" ht="14.25" customHeight="1">
      <c r="B93" s="4"/>
    </row>
    <row r="94" ht="14.25" customHeight="1">
      <c r="B94" s="4"/>
    </row>
    <row r="95" ht="14.25" customHeight="1">
      <c r="B95" s="4"/>
    </row>
    <row r="96" ht="14.25" customHeight="1">
      <c r="B96" s="4"/>
    </row>
    <row r="97" ht="14.25" customHeight="1">
      <c r="B97" s="4"/>
    </row>
    <row r="98" ht="14.25" customHeight="1">
      <c r="B98" s="4"/>
    </row>
    <row r="99" ht="14.25" customHeight="1">
      <c r="B99" s="4"/>
    </row>
    <row r="100" ht="14.25" customHeight="1">
      <c r="B100" s="4"/>
    </row>
    <row r="101" ht="14.25" customHeight="1">
      <c r="B101" s="4"/>
    </row>
    <row r="102" ht="14.25" customHeight="1">
      <c r="B102" s="4"/>
    </row>
    <row r="103" ht="14.25" customHeight="1">
      <c r="B103" s="4"/>
    </row>
    <row r="104" ht="14.25" customHeight="1">
      <c r="B104" s="4"/>
    </row>
    <row r="105" ht="14.25" customHeight="1">
      <c r="B105" s="4"/>
    </row>
    <row r="106" ht="14.25" customHeight="1">
      <c r="B106" s="4"/>
    </row>
    <row r="107" ht="14.25" customHeight="1">
      <c r="B107" s="4"/>
    </row>
    <row r="108" ht="14.25" customHeight="1">
      <c r="B108" s="4"/>
    </row>
    <row r="109" ht="14.25" customHeight="1">
      <c r="B109" s="4"/>
    </row>
    <row r="110" ht="14.25" customHeight="1">
      <c r="B110" s="4"/>
    </row>
    <row r="111" ht="14.25" customHeight="1">
      <c r="B111" s="4"/>
    </row>
    <row r="112" ht="14.25" customHeight="1">
      <c r="B112" s="4"/>
    </row>
    <row r="113" ht="14.25" customHeight="1">
      <c r="B113" s="4"/>
    </row>
    <row r="114" ht="14.25" customHeight="1">
      <c r="B114" s="4"/>
    </row>
    <row r="115" ht="14.25" customHeight="1">
      <c r="B115" s="4"/>
    </row>
    <row r="116" ht="14.25" customHeight="1">
      <c r="B116" s="4"/>
    </row>
    <row r="117" ht="14.25" customHeight="1">
      <c r="B117" s="4"/>
    </row>
    <row r="118" ht="14.25" customHeight="1">
      <c r="B118" s="4"/>
    </row>
    <row r="119" ht="14.25" customHeight="1">
      <c r="B119" s="4"/>
    </row>
    <row r="120" ht="14.25" customHeight="1">
      <c r="B120" s="4"/>
    </row>
    <row r="121" ht="14.25" customHeight="1">
      <c r="B121" s="4"/>
    </row>
    <row r="122" ht="14.25" customHeight="1">
      <c r="B122" s="4"/>
    </row>
    <row r="123" ht="14.25" customHeight="1">
      <c r="B123" s="4"/>
    </row>
    <row r="124" ht="14.25" customHeight="1">
      <c r="B124" s="4"/>
    </row>
    <row r="125" ht="14.25" customHeight="1">
      <c r="B125" s="4"/>
    </row>
    <row r="126" ht="14.25" customHeight="1">
      <c r="B126" s="4"/>
    </row>
    <row r="127" ht="14.25" customHeight="1">
      <c r="B127" s="4"/>
    </row>
    <row r="128" ht="14.25" customHeight="1">
      <c r="B128" s="4"/>
    </row>
    <row r="129" ht="14.25" customHeight="1">
      <c r="B129" s="4"/>
    </row>
    <row r="130" ht="14.25" customHeight="1">
      <c r="B130" s="4"/>
    </row>
    <row r="131" ht="14.25" customHeight="1">
      <c r="B131" s="4"/>
    </row>
    <row r="132" ht="14.25" customHeight="1">
      <c r="B132" s="4"/>
    </row>
    <row r="133" ht="14.25" customHeight="1">
      <c r="B133" s="4"/>
    </row>
    <row r="134" ht="14.25" customHeight="1">
      <c r="B134" s="4"/>
    </row>
    <row r="135" ht="14.25" customHeight="1">
      <c r="B135" s="4"/>
    </row>
    <row r="136" ht="14.25" customHeight="1">
      <c r="B136" s="4"/>
    </row>
    <row r="137" ht="14.25" customHeight="1">
      <c r="B137" s="4"/>
    </row>
    <row r="138" ht="14.25" customHeight="1">
      <c r="B138" s="4"/>
    </row>
    <row r="139" ht="14.25" customHeight="1">
      <c r="B139" s="4"/>
    </row>
    <row r="140" ht="14.25" customHeight="1">
      <c r="B140" s="4"/>
    </row>
    <row r="141" ht="14.25" customHeight="1">
      <c r="B141" s="4"/>
    </row>
    <row r="142" ht="14.25" customHeight="1">
      <c r="B142" s="4"/>
    </row>
    <row r="143" ht="14.25" customHeight="1">
      <c r="B143" s="4"/>
    </row>
    <row r="144" ht="14.25" customHeight="1">
      <c r="B144" s="4"/>
    </row>
    <row r="145" ht="14.25" customHeight="1">
      <c r="B145" s="4"/>
    </row>
    <row r="146" ht="14.25" customHeight="1">
      <c r="B146" s="4"/>
    </row>
    <row r="147" ht="14.25" customHeight="1">
      <c r="B147" s="4"/>
    </row>
    <row r="148" ht="14.25" customHeight="1">
      <c r="B148" s="4"/>
    </row>
    <row r="149" ht="14.25" customHeight="1">
      <c r="B149" s="4"/>
    </row>
    <row r="150" ht="14.25" customHeight="1">
      <c r="B150" s="4"/>
    </row>
    <row r="151" ht="14.25" customHeight="1">
      <c r="B151" s="4"/>
    </row>
    <row r="152" ht="14.25" customHeight="1">
      <c r="B152" s="4"/>
    </row>
    <row r="153" ht="14.25" customHeight="1">
      <c r="B153" s="4"/>
    </row>
    <row r="154" ht="14.25" customHeight="1">
      <c r="B154" s="4"/>
    </row>
    <row r="155" ht="14.25" customHeight="1">
      <c r="B155" s="4"/>
    </row>
    <row r="156" ht="14.25" customHeight="1">
      <c r="B156" s="4"/>
    </row>
    <row r="157" ht="14.25" customHeight="1">
      <c r="B157" s="4"/>
    </row>
    <row r="158" ht="14.25" customHeight="1">
      <c r="B158" s="4"/>
    </row>
    <row r="159" ht="14.25" customHeight="1">
      <c r="B159" s="4"/>
    </row>
    <row r="160" ht="14.25" customHeight="1">
      <c r="B160" s="4"/>
    </row>
    <row r="161" ht="14.25" customHeight="1">
      <c r="B161" s="4"/>
    </row>
    <row r="162" ht="14.25" customHeight="1">
      <c r="B162" s="4"/>
    </row>
    <row r="163" ht="14.25" customHeight="1">
      <c r="B163" s="4"/>
    </row>
    <row r="164" ht="14.25" customHeight="1">
      <c r="B164" s="4"/>
    </row>
    <row r="165" ht="14.25" customHeight="1">
      <c r="B165" s="4"/>
    </row>
    <row r="166" ht="14.25" customHeight="1">
      <c r="B166" s="4"/>
    </row>
    <row r="167" ht="14.25" customHeight="1">
      <c r="B167" s="4"/>
    </row>
    <row r="168" ht="14.25" customHeight="1">
      <c r="B168" s="4"/>
    </row>
    <row r="169" ht="14.25" customHeight="1">
      <c r="B169" s="4"/>
    </row>
    <row r="170" ht="14.25" customHeight="1">
      <c r="B170" s="4"/>
    </row>
    <row r="171" ht="14.25" customHeight="1">
      <c r="B171" s="4"/>
    </row>
    <row r="172" ht="14.25" customHeight="1">
      <c r="B172" s="4"/>
    </row>
    <row r="173" ht="14.25" customHeight="1">
      <c r="B173" s="4"/>
    </row>
    <row r="174" ht="14.25" customHeight="1">
      <c r="B174" s="4"/>
    </row>
    <row r="175" ht="14.25" customHeight="1">
      <c r="B175" s="4"/>
    </row>
    <row r="176" ht="14.25" customHeight="1">
      <c r="B176" s="4"/>
    </row>
    <row r="177" ht="14.25" customHeight="1">
      <c r="B177" s="4"/>
    </row>
    <row r="178" ht="14.25" customHeight="1">
      <c r="B178" s="4"/>
    </row>
    <row r="179" ht="14.25" customHeight="1">
      <c r="B179" s="4"/>
    </row>
    <row r="180" ht="14.25" customHeight="1">
      <c r="B180" s="4"/>
    </row>
    <row r="181" ht="14.25" customHeight="1">
      <c r="B181" s="4"/>
    </row>
    <row r="182" ht="14.25" customHeight="1">
      <c r="B182" s="4"/>
    </row>
    <row r="183" ht="14.25" customHeight="1">
      <c r="B183" s="4"/>
    </row>
    <row r="184" ht="14.25" customHeight="1">
      <c r="B184" s="4"/>
    </row>
    <row r="185" ht="14.25" customHeight="1">
      <c r="B185" s="4"/>
    </row>
    <row r="186" ht="14.25" customHeight="1">
      <c r="B186" s="4"/>
    </row>
    <row r="187" ht="14.25" customHeight="1">
      <c r="B187" s="4"/>
    </row>
    <row r="188" ht="14.25" customHeight="1">
      <c r="B188" s="4"/>
    </row>
    <row r="189" ht="14.25" customHeight="1">
      <c r="B189" s="4"/>
    </row>
    <row r="190" ht="14.25" customHeight="1">
      <c r="B190" s="4"/>
    </row>
    <row r="191" ht="14.25" customHeight="1">
      <c r="B191" s="4"/>
    </row>
    <row r="192" ht="14.25" customHeight="1">
      <c r="B192" s="4"/>
    </row>
    <row r="193" ht="14.25" customHeight="1">
      <c r="B193" s="4"/>
    </row>
    <row r="194" ht="14.25" customHeight="1">
      <c r="B194" s="4"/>
    </row>
    <row r="195" ht="14.25" customHeight="1">
      <c r="B195" s="4"/>
    </row>
    <row r="196" ht="14.25" customHeight="1">
      <c r="B196" s="4"/>
    </row>
    <row r="197" ht="14.25" customHeight="1">
      <c r="B197" s="4"/>
    </row>
    <row r="198" ht="14.25" customHeight="1">
      <c r="B198" s="4"/>
    </row>
    <row r="199" ht="14.25" customHeight="1">
      <c r="B199" s="4"/>
    </row>
    <row r="200" ht="14.25" customHeight="1">
      <c r="B200" s="4"/>
    </row>
    <row r="201" ht="14.25" customHeight="1">
      <c r="B201" s="4"/>
    </row>
    <row r="202" ht="14.25" customHeight="1">
      <c r="B202" s="4"/>
    </row>
    <row r="203" ht="14.25" customHeight="1">
      <c r="B203" s="4"/>
    </row>
    <row r="204" ht="14.25" customHeight="1">
      <c r="B204" s="4"/>
    </row>
    <row r="205" ht="14.25" customHeight="1">
      <c r="B205" s="4"/>
    </row>
    <row r="206" ht="14.25" customHeight="1">
      <c r="B206" s="4"/>
    </row>
    <row r="207" ht="14.25" customHeight="1">
      <c r="B207" s="4"/>
    </row>
    <row r="208" ht="14.25" customHeight="1">
      <c r="B208" s="4"/>
    </row>
    <row r="209" ht="14.25" customHeight="1">
      <c r="B209" s="4"/>
    </row>
    <row r="210" ht="14.25" customHeight="1">
      <c r="B210" s="4"/>
    </row>
    <row r="211" ht="14.25" customHeight="1">
      <c r="B211" s="4"/>
    </row>
    <row r="212" ht="14.25" customHeight="1">
      <c r="B212" s="4"/>
    </row>
    <row r="213" ht="14.25" customHeight="1">
      <c r="B213" s="4"/>
    </row>
    <row r="214" ht="14.25" customHeight="1">
      <c r="B214" s="4"/>
    </row>
    <row r="215" ht="14.25" customHeight="1">
      <c r="B215" s="4"/>
    </row>
    <row r="216" ht="14.25" customHeight="1">
      <c r="B216" s="4"/>
    </row>
    <row r="217" ht="14.25" customHeight="1">
      <c r="B217" s="4"/>
    </row>
    <row r="218" ht="14.25" customHeight="1">
      <c r="B218" s="4"/>
    </row>
    <row r="219" ht="14.25" customHeight="1">
      <c r="B219" s="4"/>
    </row>
    <row r="220" ht="14.25" customHeight="1">
      <c r="B220" s="4"/>
    </row>
    <row r="221" ht="14.25" customHeight="1">
      <c r="B221" s="4"/>
    </row>
    <row r="222" ht="14.25" customHeight="1">
      <c r="B222" s="4"/>
    </row>
    <row r="223" ht="14.25" customHeight="1">
      <c r="B223" s="4"/>
    </row>
    <row r="224" ht="14.25" customHeight="1">
      <c r="B224" s="4"/>
    </row>
    <row r="225" ht="14.25" customHeight="1">
      <c r="B225" s="4"/>
    </row>
    <row r="226" ht="14.25" customHeight="1">
      <c r="B226" s="4"/>
    </row>
    <row r="227" ht="14.25" customHeight="1">
      <c r="B227" s="4"/>
    </row>
    <row r="228" ht="14.25" customHeight="1">
      <c r="B228" s="4"/>
    </row>
    <row r="229" ht="14.25" customHeight="1">
      <c r="B229" s="4"/>
    </row>
    <row r="230" ht="14.25" customHeight="1">
      <c r="B230" s="4"/>
    </row>
    <row r="231" ht="14.25" customHeight="1">
      <c r="B231" s="4"/>
    </row>
    <row r="232" ht="14.25" customHeight="1">
      <c r="B232" s="4"/>
    </row>
    <row r="233" ht="14.25" customHeight="1">
      <c r="B233" s="4"/>
    </row>
    <row r="234" ht="14.25" customHeight="1">
      <c r="B234" s="4"/>
    </row>
    <row r="235" ht="14.25" customHeight="1">
      <c r="B235" s="4"/>
    </row>
    <row r="236" ht="14.25" customHeight="1">
      <c r="B236" s="4"/>
    </row>
    <row r="237" ht="14.25" customHeight="1">
      <c r="B237" s="4"/>
    </row>
    <row r="238" ht="14.25" customHeight="1">
      <c r="B238" s="4"/>
    </row>
    <row r="239" ht="14.25" customHeight="1">
      <c r="B239" s="4"/>
    </row>
    <row r="240" ht="14.25" customHeight="1">
      <c r="B240" s="4"/>
    </row>
    <row r="241" ht="14.25" customHeight="1">
      <c r="B241" s="4"/>
    </row>
    <row r="242" ht="14.25" customHeight="1">
      <c r="B242" s="4"/>
    </row>
    <row r="243" ht="14.25" customHeight="1">
      <c r="B243" s="4"/>
    </row>
    <row r="244" ht="14.25" customHeight="1">
      <c r="B244" s="4"/>
    </row>
    <row r="245" ht="14.25" customHeight="1">
      <c r="B245" s="4"/>
    </row>
    <row r="246" ht="14.25" customHeight="1">
      <c r="B246" s="4"/>
    </row>
    <row r="247" ht="14.25" customHeight="1">
      <c r="B247" s="4"/>
    </row>
    <row r="248" ht="14.25" customHeight="1">
      <c r="B248" s="4"/>
    </row>
    <row r="249" ht="14.25" customHeight="1">
      <c r="B249" s="4"/>
    </row>
    <row r="250" ht="14.25" customHeight="1">
      <c r="B250" s="4"/>
    </row>
    <row r="251" ht="14.25" customHeight="1">
      <c r="B251" s="4"/>
    </row>
    <row r="252" ht="14.25" customHeight="1">
      <c r="B252" s="4"/>
    </row>
    <row r="253" ht="14.25" customHeight="1">
      <c r="B253" s="4"/>
    </row>
    <row r="254" ht="14.25" customHeight="1">
      <c r="B254" s="4"/>
    </row>
    <row r="255" ht="14.25" customHeight="1">
      <c r="B255" s="4"/>
    </row>
    <row r="256" ht="14.25" customHeight="1">
      <c r="B256" s="4"/>
    </row>
    <row r="257" ht="14.25" customHeight="1">
      <c r="B257" s="4"/>
    </row>
    <row r="258" ht="14.25" customHeight="1">
      <c r="B258" s="4"/>
    </row>
    <row r="259" ht="14.25" customHeight="1">
      <c r="B259" s="4"/>
    </row>
    <row r="260" ht="14.25" customHeight="1">
      <c r="B260" s="4"/>
    </row>
    <row r="261" ht="14.25" customHeight="1">
      <c r="B261" s="4"/>
    </row>
    <row r="262" ht="14.25" customHeight="1">
      <c r="B262" s="4"/>
    </row>
    <row r="263" ht="14.25" customHeight="1">
      <c r="B263" s="4"/>
    </row>
    <row r="264" ht="14.25" customHeight="1">
      <c r="B264" s="4"/>
    </row>
    <row r="265" ht="14.25" customHeight="1">
      <c r="B265" s="4"/>
    </row>
    <row r="266" ht="14.25" customHeight="1">
      <c r="B266" s="4"/>
    </row>
    <row r="267" ht="14.25" customHeight="1">
      <c r="B267" s="4"/>
    </row>
    <row r="268" ht="14.25" customHeight="1">
      <c r="B268" s="4"/>
    </row>
    <row r="269" ht="14.25" customHeight="1">
      <c r="B269" s="4"/>
    </row>
    <row r="270" ht="14.25" customHeight="1">
      <c r="B270" s="4"/>
    </row>
    <row r="271" ht="14.25" customHeight="1">
      <c r="B271" s="4"/>
    </row>
    <row r="272" ht="14.25" customHeight="1">
      <c r="B272" s="4"/>
    </row>
    <row r="273" ht="14.25" customHeight="1">
      <c r="B273" s="4"/>
    </row>
    <row r="274" ht="14.25" customHeight="1">
      <c r="B274" s="4"/>
    </row>
    <row r="275" ht="14.25" customHeight="1">
      <c r="B275" s="4"/>
    </row>
    <row r="276" ht="14.25" customHeight="1">
      <c r="B276" s="4"/>
    </row>
    <row r="277" ht="14.25" customHeight="1">
      <c r="B277" s="4"/>
    </row>
    <row r="278" ht="14.25" customHeight="1">
      <c r="B278" s="4"/>
    </row>
    <row r="279" ht="14.25" customHeight="1">
      <c r="B279" s="4"/>
    </row>
    <row r="280" ht="14.25" customHeight="1">
      <c r="B280" s="4"/>
    </row>
    <row r="281" ht="14.25" customHeight="1">
      <c r="B281" s="4"/>
    </row>
    <row r="282" ht="14.25" customHeight="1">
      <c r="B282" s="4"/>
    </row>
    <row r="283" ht="14.25" customHeight="1">
      <c r="B283" s="4"/>
    </row>
    <row r="284" ht="14.25" customHeight="1">
      <c r="B284" s="4"/>
    </row>
    <row r="285" ht="14.25" customHeight="1">
      <c r="B285" s="4"/>
    </row>
    <row r="286" ht="14.25" customHeight="1">
      <c r="B286" s="4"/>
    </row>
    <row r="287" ht="14.25" customHeight="1">
      <c r="B287" s="4"/>
    </row>
    <row r="288" ht="14.25" customHeight="1">
      <c r="B288" s="4"/>
    </row>
    <row r="289" ht="14.25" customHeight="1">
      <c r="B289" s="4"/>
    </row>
    <row r="290" ht="14.25" customHeight="1">
      <c r="B290" s="4"/>
    </row>
    <row r="291" ht="14.25" customHeight="1">
      <c r="B291" s="4"/>
    </row>
    <row r="292" ht="14.25" customHeight="1">
      <c r="B292" s="4"/>
    </row>
    <row r="293" ht="14.25" customHeight="1">
      <c r="B293" s="4"/>
    </row>
    <row r="294" ht="14.25" customHeight="1">
      <c r="B294" s="4"/>
    </row>
    <row r="295" ht="14.25" customHeight="1">
      <c r="B295" s="4"/>
    </row>
    <row r="296" ht="14.25" customHeight="1">
      <c r="B296" s="4"/>
    </row>
    <row r="297" ht="14.25" customHeight="1">
      <c r="B297" s="4"/>
    </row>
    <row r="298" ht="14.25" customHeight="1">
      <c r="B298" s="4"/>
    </row>
    <row r="299" ht="14.25" customHeight="1">
      <c r="B299" s="4"/>
    </row>
    <row r="300" ht="14.25" customHeight="1">
      <c r="B300" s="4"/>
    </row>
    <row r="301" ht="14.25" customHeight="1">
      <c r="B301" s="4"/>
    </row>
    <row r="302" ht="14.25" customHeight="1">
      <c r="B302" s="4"/>
    </row>
    <row r="303" ht="14.25" customHeight="1">
      <c r="B303" s="4"/>
    </row>
    <row r="304" ht="14.25" customHeight="1">
      <c r="B304" s="4"/>
    </row>
    <row r="305" ht="14.25" customHeight="1">
      <c r="B305" s="4"/>
    </row>
    <row r="306" ht="14.25" customHeight="1">
      <c r="B306" s="4"/>
    </row>
    <row r="307" ht="14.25" customHeight="1">
      <c r="B307" s="4"/>
    </row>
    <row r="308" ht="14.25" customHeight="1">
      <c r="B308" s="4"/>
    </row>
    <row r="309" ht="14.25" customHeight="1">
      <c r="B309" s="4"/>
    </row>
    <row r="310" ht="14.25" customHeight="1">
      <c r="B310" s="4"/>
    </row>
    <row r="311" ht="14.25" customHeight="1">
      <c r="B311" s="4"/>
    </row>
    <row r="312" ht="14.25" customHeight="1">
      <c r="B312" s="4"/>
    </row>
    <row r="313" ht="14.25" customHeight="1">
      <c r="B313" s="4"/>
    </row>
    <row r="314" ht="14.25" customHeight="1">
      <c r="B314" s="4"/>
    </row>
    <row r="315" ht="14.25" customHeight="1">
      <c r="B315" s="4"/>
    </row>
    <row r="316" ht="14.25" customHeight="1">
      <c r="B316" s="4"/>
    </row>
    <row r="317" ht="14.25" customHeight="1">
      <c r="B317" s="4"/>
    </row>
    <row r="318" ht="14.25" customHeight="1">
      <c r="B318" s="4"/>
    </row>
    <row r="319" ht="14.25" customHeight="1">
      <c r="B319" s="4"/>
    </row>
    <row r="320" ht="14.25" customHeight="1">
      <c r="B320" s="4"/>
    </row>
    <row r="321" ht="14.25" customHeight="1">
      <c r="B321" s="4"/>
    </row>
    <row r="322" ht="14.25" customHeight="1">
      <c r="B322" s="4"/>
    </row>
    <row r="323" ht="14.25" customHeight="1">
      <c r="B323" s="4"/>
    </row>
    <row r="324" ht="14.25" customHeight="1">
      <c r="B324" s="4"/>
    </row>
    <row r="325" ht="14.25" customHeight="1">
      <c r="B325" s="4"/>
    </row>
    <row r="326" ht="14.25" customHeight="1">
      <c r="B326" s="4"/>
    </row>
    <row r="327" ht="14.25" customHeight="1">
      <c r="B327" s="4"/>
    </row>
    <row r="328" ht="14.25" customHeight="1">
      <c r="B328" s="4"/>
    </row>
    <row r="329" ht="14.25" customHeight="1">
      <c r="B329" s="4"/>
    </row>
    <row r="330" ht="14.25" customHeight="1">
      <c r="B330" s="4"/>
    </row>
    <row r="331" ht="14.25" customHeight="1">
      <c r="B331" s="4"/>
    </row>
    <row r="332" ht="14.25" customHeight="1">
      <c r="B332" s="4"/>
    </row>
    <row r="333" ht="14.25" customHeight="1">
      <c r="B333" s="4"/>
    </row>
    <row r="334" ht="14.25" customHeight="1">
      <c r="B334" s="4"/>
    </row>
    <row r="335" ht="14.25" customHeight="1">
      <c r="B335" s="4"/>
    </row>
    <row r="336" ht="14.25" customHeight="1">
      <c r="B336" s="4"/>
    </row>
    <row r="337" ht="14.25" customHeight="1">
      <c r="B337" s="4"/>
    </row>
    <row r="338" ht="14.25" customHeight="1">
      <c r="B338" s="4"/>
    </row>
    <row r="339" ht="14.25" customHeight="1">
      <c r="B339" s="4"/>
    </row>
    <row r="340" ht="14.25" customHeight="1">
      <c r="B340" s="4"/>
    </row>
    <row r="341" ht="14.25" customHeight="1">
      <c r="B341" s="4"/>
    </row>
    <row r="342" ht="14.25" customHeight="1">
      <c r="B342" s="4"/>
    </row>
    <row r="343" ht="14.25" customHeight="1">
      <c r="B343" s="4"/>
    </row>
    <row r="344" ht="14.25" customHeight="1">
      <c r="B344" s="4"/>
    </row>
    <row r="345" ht="14.25" customHeight="1">
      <c r="B345" s="4"/>
    </row>
    <row r="346" ht="14.25" customHeight="1">
      <c r="B346" s="4"/>
    </row>
    <row r="347" ht="14.25" customHeight="1">
      <c r="B347" s="4"/>
    </row>
    <row r="348" ht="14.25" customHeight="1">
      <c r="B348" s="4"/>
    </row>
    <row r="349" ht="14.25" customHeight="1">
      <c r="B349" s="4"/>
    </row>
    <row r="350" ht="14.25" customHeight="1">
      <c r="B350" s="4"/>
    </row>
    <row r="351" ht="14.25" customHeight="1">
      <c r="B351" s="4"/>
    </row>
    <row r="352" ht="14.25" customHeight="1">
      <c r="B352" s="4"/>
    </row>
    <row r="353" ht="14.25" customHeight="1">
      <c r="B353" s="4"/>
    </row>
    <row r="354" ht="14.25" customHeight="1">
      <c r="B354" s="4"/>
    </row>
    <row r="355" ht="14.25" customHeight="1">
      <c r="B355" s="4"/>
    </row>
    <row r="356" ht="14.25" customHeight="1">
      <c r="B356" s="4"/>
    </row>
    <row r="357" ht="14.25" customHeight="1">
      <c r="B357" s="4"/>
    </row>
    <row r="358" ht="14.25" customHeight="1">
      <c r="B358" s="4"/>
    </row>
    <row r="359" ht="14.25" customHeight="1">
      <c r="B359" s="4"/>
    </row>
    <row r="360" ht="14.25" customHeight="1">
      <c r="B360" s="4"/>
    </row>
    <row r="361" ht="14.25" customHeight="1">
      <c r="B361" s="4"/>
    </row>
    <row r="362" ht="14.25" customHeight="1">
      <c r="B362" s="4"/>
    </row>
    <row r="363" ht="14.25" customHeight="1">
      <c r="B363" s="4"/>
    </row>
    <row r="364" ht="14.25" customHeight="1">
      <c r="B364" s="4"/>
    </row>
    <row r="365" ht="14.25" customHeight="1">
      <c r="B365" s="4"/>
    </row>
    <row r="366" ht="14.25" customHeight="1">
      <c r="B366" s="4"/>
    </row>
    <row r="367" ht="14.25" customHeight="1">
      <c r="B367" s="4"/>
    </row>
    <row r="368" ht="14.25" customHeight="1">
      <c r="B368" s="4"/>
    </row>
    <row r="369" ht="14.25" customHeight="1">
      <c r="B369" s="4"/>
    </row>
    <row r="370" ht="14.25" customHeight="1">
      <c r="B370" s="4"/>
    </row>
    <row r="371" ht="14.25" customHeight="1">
      <c r="B371" s="4"/>
    </row>
    <row r="372" ht="14.25" customHeight="1">
      <c r="B372" s="4"/>
    </row>
    <row r="373" ht="14.25" customHeight="1">
      <c r="B373" s="4"/>
    </row>
    <row r="374" ht="14.25" customHeight="1">
      <c r="B374" s="4"/>
    </row>
    <row r="375" ht="14.25" customHeight="1">
      <c r="B375" s="4"/>
    </row>
    <row r="376" ht="14.25" customHeight="1">
      <c r="B376" s="4"/>
    </row>
    <row r="377" ht="14.25" customHeight="1">
      <c r="B377" s="4"/>
    </row>
    <row r="378" ht="14.25" customHeight="1">
      <c r="B378" s="4"/>
    </row>
    <row r="379" ht="14.25" customHeight="1">
      <c r="B379" s="4"/>
    </row>
    <row r="380" ht="14.25" customHeight="1">
      <c r="B380" s="4"/>
    </row>
    <row r="381" ht="14.25" customHeight="1">
      <c r="B381" s="4"/>
    </row>
    <row r="382" ht="14.25" customHeight="1">
      <c r="B382" s="4"/>
    </row>
    <row r="383" ht="14.25" customHeight="1">
      <c r="B383" s="4"/>
    </row>
    <row r="384" ht="14.25" customHeight="1">
      <c r="B384" s="4"/>
    </row>
    <row r="385" ht="14.25" customHeight="1">
      <c r="B385" s="4"/>
    </row>
    <row r="386" ht="14.25" customHeight="1">
      <c r="B386" s="4"/>
    </row>
    <row r="387" ht="14.25" customHeight="1">
      <c r="B387" s="4"/>
    </row>
    <row r="388" ht="14.25" customHeight="1">
      <c r="B388" s="4"/>
    </row>
    <row r="389" ht="14.25" customHeight="1">
      <c r="B389" s="4"/>
    </row>
    <row r="390" ht="14.25" customHeight="1">
      <c r="B390" s="4"/>
    </row>
    <row r="391" ht="14.25" customHeight="1">
      <c r="B391" s="4"/>
    </row>
    <row r="392" ht="14.25" customHeight="1">
      <c r="B392" s="4"/>
    </row>
    <row r="393" ht="14.25" customHeight="1">
      <c r="B393" s="4"/>
    </row>
    <row r="394" ht="14.25" customHeight="1">
      <c r="B394" s="4"/>
    </row>
    <row r="395" ht="14.25" customHeight="1">
      <c r="B395" s="4"/>
    </row>
    <row r="396" ht="14.25" customHeight="1">
      <c r="B396" s="4"/>
    </row>
    <row r="397" ht="14.25" customHeight="1">
      <c r="B397" s="4"/>
    </row>
    <row r="398" ht="14.25" customHeight="1">
      <c r="B398" s="4"/>
    </row>
    <row r="399" ht="14.25" customHeight="1">
      <c r="B399" s="4"/>
    </row>
    <row r="400" ht="14.25" customHeight="1">
      <c r="B400" s="4"/>
    </row>
    <row r="401" ht="14.25" customHeight="1">
      <c r="B401" s="4"/>
    </row>
    <row r="402" ht="14.25" customHeight="1">
      <c r="B402" s="4"/>
    </row>
    <row r="403" ht="14.25" customHeight="1">
      <c r="B403" s="4"/>
    </row>
    <row r="404" ht="14.25" customHeight="1">
      <c r="B404" s="4"/>
    </row>
    <row r="405" ht="14.25" customHeight="1">
      <c r="B405" s="4"/>
    </row>
    <row r="406" ht="14.25" customHeight="1">
      <c r="B406" s="4"/>
    </row>
    <row r="407" ht="14.25" customHeight="1">
      <c r="B407" s="4"/>
    </row>
    <row r="408" ht="14.25" customHeight="1">
      <c r="B408" s="4"/>
    </row>
    <row r="409" ht="14.25" customHeight="1">
      <c r="B409" s="4"/>
    </row>
    <row r="410" ht="14.25" customHeight="1">
      <c r="B410" s="4"/>
    </row>
    <row r="411" ht="14.25" customHeight="1">
      <c r="B411" s="4"/>
    </row>
    <row r="412" ht="14.25" customHeight="1">
      <c r="B412" s="4"/>
    </row>
    <row r="413" ht="14.25" customHeight="1">
      <c r="B413" s="4"/>
    </row>
    <row r="414" ht="14.25" customHeight="1">
      <c r="B414" s="4"/>
    </row>
    <row r="415" ht="14.25" customHeight="1">
      <c r="B415" s="4"/>
    </row>
    <row r="416" ht="14.25" customHeight="1">
      <c r="B416" s="4"/>
    </row>
    <row r="417" ht="14.25" customHeight="1">
      <c r="B417" s="4"/>
    </row>
    <row r="418" ht="14.25" customHeight="1">
      <c r="B418" s="4"/>
    </row>
    <row r="419" ht="14.25" customHeight="1">
      <c r="B419" s="4"/>
    </row>
    <row r="420" ht="14.25" customHeight="1">
      <c r="B420" s="4"/>
    </row>
    <row r="421" ht="14.25" customHeight="1">
      <c r="B421" s="4"/>
    </row>
    <row r="422" ht="14.25" customHeight="1">
      <c r="B422" s="4"/>
    </row>
    <row r="423" ht="14.25" customHeight="1">
      <c r="B423" s="4"/>
    </row>
    <row r="424" ht="14.25" customHeight="1">
      <c r="B424" s="4"/>
    </row>
    <row r="425" ht="14.25" customHeight="1">
      <c r="B425" s="4"/>
    </row>
    <row r="426" ht="14.25" customHeight="1">
      <c r="B426" s="4"/>
    </row>
    <row r="427" ht="14.25" customHeight="1">
      <c r="B427" s="4"/>
    </row>
    <row r="428" ht="14.25" customHeight="1">
      <c r="B428" s="4"/>
    </row>
    <row r="429" ht="14.25" customHeight="1">
      <c r="B429" s="4"/>
    </row>
    <row r="430" ht="14.25" customHeight="1">
      <c r="B430" s="4"/>
    </row>
    <row r="431" ht="14.25" customHeight="1">
      <c r="B431" s="4"/>
    </row>
    <row r="432" ht="14.25" customHeight="1">
      <c r="B432" s="4"/>
    </row>
    <row r="433" ht="14.25" customHeight="1">
      <c r="B433" s="4"/>
    </row>
    <row r="434" ht="14.25" customHeight="1">
      <c r="B434" s="4"/>
    </row>
    <row r="435" ht="14.25" customHeight="1">
      <c r="B435" s="4"/>
    </row>
    <row r="436" ht="14.25" customHeight="1">
      <c r="B436" s="4"/>
    </row>
    <row r="437" ht="14.25" customHeight="1">
      <c r="B437" s="4"/>
    </row>
    <row r="438" ht="14.25" customHeight="1">
      <c r="B438" s="4"/>
    </row>
    <row r="439" ht="14.25" customHeight="1">
      <c r="B439" s="4"/>
    </row>
    <row r="440" ht="14.25" customHeight="1">
      <c r="B440" s="4"/>
    </row>
    <row r="441" ht="14.25" customHeight="1">
      <c r="B441" s="4"/>
    </row>
    <row r="442" ht="14.25" customHeight="1">
      <c r="B442" s="4"/>
    </row>
    <row r="443" ht="14.25" customHeight="1">
      <c r="B443" s="4"/>
    </row>
    <row r="444" ht="14.25" customHeight="1">
      <c r="B444" s="4"/>
    </row>
    <row r="445" ht="14.25" customHeight="1">
      <c r="B445" s="4"/>
    </row>
    <row r="446" ht="14.25" customHeight="1">
      <c r="B446" s="4"/>
    </row>
    <row r="447" ht="14.25" customHeight="1">
      <c r="B447" s="4"/>
    </row>
    <row r="448" ht="14.25" customHeight="1">
      <c r="B448" s="4"/>
    </row>
    <row r="449" ht="14.25" customHeight="1">
      <c r="B449" s="4"/>
    </row>
    <row r="450" ht="14.25" customHeight="1">
      <c r="B450" s="4"/>
    </row>
    <row r="451" ht="14.25" customHeight="1">
      <c r="B451" s="4"/>
    </row>
    <row r="452" ht="14.25" customHeight="1">
      <c r="B452" s="4"/>
    </row>
    <row r="453" ht="14.25" customHeight="1">
      <c r="B453" s="4"/>
    </row>
    <row r="454" ht="14.25" customHeight="1">
      <c r="B454" s="4"/>
    </row>
    <row r="455" ht="14.25" customHeight="1">
      <c r="B455" s="4"/>
    </row>
    <row r="456" ht="14.25" customHeight="1">
      <c r="B456" s="4"/>
    </row>
    <row r="457" ht="14.25" customHeight="1">
      <c r="B457" s="4"/>
    </row>
    <row r="458" ht="14.25" customHeight="1">
      <c r="B458" s="4"/>
    </row>
    <row r="459" ht="14.25" customHeight="1">
      <c r="B459" s="4"/>
    </row>
    <row r="460" ht="14.25" customHeight="1">
      <c r="B460" s="4"/>
    </row>
    <row r="461" ht="14.25" customHeight="1">
      <c r="B461" s="4"/>
    </row>
    <row r="462" ht="14.25" customHeight="1">
      <c r="B462" s="4"/>
    </row>
    <row r="463" ht="14.25" customHeight="1">
      <c r="B463" s="4"/>
    </row>
    <row r="464" ht="14.25" customHeight="1">
      <c r="B464" s="4"/>
    </row>
    <row r="465" ht="14.25" customHeight="1">
      <c r="B465" s="4"/>
    </row>
    <row r="466" ht="14.25" customHeight="1">
      <c r="B466" s="4"/>
    </row>
    <row r="467" ht="14.25" customHeight="1">
      <c r="B467" s="4"/>
    </row>
    <row r="468" ht="14.25" customHeight="1">
      <c r="B468" s="4"/>
    </row>
    <row r="469" ht="14.25" customHeight="1">
      <c r="B469" s="4"/>
    </row>
    <row r="470" ht="14.25" customHeight="1">
      <c r="B470" s="4"/>
    </row>
    <row r="471" ht="14.25" customHeight="1">
      <c r="B471" s="4"/>
    </row>
    <row r="472" ht="14.25" customHeight="1">
      <c r="B472" s="4"/>
    </row>
    <row r="473" ht="14.25" customHeight="1">
      <c r="B473" s="4"/>
    </row>
    <row r="474" ht="14.25" customHeight="1">
      <c r="B474" s="4"/>
    </row>
    <row r="475" ht="14.25" customHeight="1">
      <c r="B475" s="4"/>
    </row>
    <row r="476" ht="14.25" customHeight="1">
      <c r="B476" s="4"/>
    </row>
    <row r="477" ht="14.25" customHeight="1">
      <c r="B477" s="4"/>
    </row>
    <row r="478" ht="14.25" customHeight="1">
      <c r="B478" s="4"/>
    </row>
    <row r="479" ht="14.25" customHeight="1">
      <c r="B479" s="4"/>
    </row>
    <row r="480" ht="14.25" customHeight="1">
      <c r="B480" s="4"/>
    </row>
    <row r="481" ht="14.25" customHeight="1">
      <c r="B481" s="4"/>
    </row>
    <row r="482" ht="14.25" customHeight="1">
      <c r="B482" s="4"/>
    </row>
    <row r="483" ht="14.25" customHeight="1">
      <c r="B483" s="4"/>
    </row>
    <row r="484" ht="14.25" customHeight="1">
      <c r="B484" s="4"/>
    </row>
    <row r="485" ht="14.25" customHeight="1">
      <c r="B485" s="4"/>
    </row>
    <row r="486" ht="14.25" customHeight="1">
      <c r="B486" s="4"/>
    </row>
    <row r="487" ht="14.25" customHeight="1">
      <c r="B487" s="4"/>
    </row>
    <row r="488" ht="14.25" customHeight="1">
      <c r="B488" s="4"/>
    </row>
    <row r="489" ht="14.25" customHeight="1">
      <c r="B489" s="4"/>
    </row>
    <row r="490" ht="14.25" customHeight="1">
      <c r="B490" s="4"/>
    </row>
    <row r="491" ht="14.25" customHeight="1">
      <c r="B491" s="4"/>
    </row>
    <row r="492" ht="14.25" customHeight="1">
      <c r="B492" s="4"/>
    </row>
    <row r="493" ht="14.25" customHeight="1">
      <c r="B493" s="4"/>
    </row>
    <row r="494" ht="14.25" customHeight="1">
      <c r="B494" s="4"/>
    </row>
    <row r="495" ht="14.25" customHeight="1">
      <c r="B495" s="4"/>
    </row>
    <row r="496" ht="14.25" customHeight="1">
      <c r="B496" s="4"/>
    </row>
    <row r="497" ht="14.25" customHeight="1">
      <c r="B497" s="4"/>
    </row>
    <row r="498" ht="14.25" customHeight="1">
      <c r="B498" s="4"/>
    </row>
    <row r="499" ht="14.25" customHeight="1">
      <c r="B499" s="4"/>
    </row>
    <row r="500" ht="14.25" customHeight="1">
      <c r="B500" s="4"/>
    </row>
    <row r="501" ht="14.25" customHeight="1">
      <c r="B501" s="4"/>
    </row>
    <row r="502" ht="14.25" customHeight="1">
      <c r="B502" s="4"/>
    </row>
    <row r="503" ht="14.25" customHeight="1">
      <c r="B503" s="4"/>
    </row>
    <row r="504" ht="14.25" customHeight="1">
      <c r="B504" s="4"/>
    </row>
    <row r="505" ht="14.25" customHeight="1">
      <c r="B505" s="4"/>
    </row>
    <row r="506" ht="14.25" customHeight="1">
      <c r="B506" s="4"/>
    </row>
    <row r="507" ht="14.25" customHeight="1">
      <c r="B507" s="4"/>
    </row>
    <row r="508" ht="14.25" customHeight="1">
      <c r="B508" s="4"/>
    </row>
    <row r="509" ht="14.25" customHeight="1">
      <c r="B509" s="4"/>
    </row>
    <row r="510" ht="14.25" customHeight="1">
      <c r="B510" s="4"/>
    </row>
    <row r="511" ht="14.25" customHeight="1">
      <c r="B511" s="4"/>
    </row>
    <row r="512" ht="14.25" customHeight="1">
      <c r="B512" s="4"/>
    </row>
    <row r="513" ht="14.25" customHeight="1">
      <c r="B513" s="4"/>
    </row>
    <row r="514" ht="14.25" customHeight="1">
      <c r="B514" s="4"/>
    </row>
    <row r="515" ht="14.25" customHeight="1">
      <c r="B515" s="4"/>
    </row>
    <row r="516" ht="14.25" customHeight="1">
      <c r="B516" s="4"/>
    </row>
    <row r="517" ht="14.25" customHeight="1">
      <c r="B517" s="4"/>
    </row>
    <row r="518" ht="14.25" customHeight="1">
      <c r="B518" s="4"/>
    </row>
    <row r="519" ht="14.25" customHeight="1">
      <c r="B519" s="4"/>
    </row>
    <row r="520" ht="14.25" customHeight="1">
      <c r="B520" s="4"/>
    </row>
    <row r="521" ht="14.25" customHeight="1">
      <c r="B521" s="4"/>
    </row>
    <row r="522" ht="14.25" customHeight="1">
      <c r="B522" s="4"/>
    </row>
    <row r="523" ht="14.25" customHeight="1">
      <c r="B523" s="4"/>
    </row>
    <row r="524" ht="14.25" customHeight="1">
      <c r="B524" s="4"/>
    </row>
    <row r="525" ht="14.25" customHeight="1">
      <c r="B525" s="4"/>
    </row>
    <row r="526" ht="14.25" customHeight="1">
      <c r="B526" s="4"/>
    </row>
    <row r="527" ht="14.25" customHeight="1">
      <c r="B527" s="4"/>
    </row>
    <row r="528" ht="14.25" customHeight="1">
      <c r="B528" s="4"/>
    </row>
    <row r="529" ht="14.25" customHeight="1">
      <c r="B529" s="4"/>
    </row>
    <row r="530" ht="14.25" customHeight="1">
      <c r="B530" s="4"/>
    </row>
    <row r="531" ht="14.25" customHeight="1">
      <c r="B531" s="4"/>
    </row>
    <row r="532" ht="14.25" customHeight="1">
      <c r="B532" s="4"/>
    </row>
    <row r="533" ht="14.25" customHeight="1">
      <c r="B533" s="4"/>
    </row>
    <row r="534" ht="14.25" customHeight="1">
      <c r="B534" s="4"/>
    </row>
    <row r="535" ht="14.25" customHeight="1">
      <c r="B535" s="4"/>
    </row>
    <row r="536" ht="14.25" customHeight="1">
      <c r="B536" s="4"/>
    </row>
    <row r="537" ht="14.25" customHeight="1">
      <c r="B537" s="4"/>
    </row>
    <row r="538" ht="14.25" customHeight="1">
      <c r="B538" s="4"/>
    </row>
    <row r="539" ht="14.25" customHeight="1">
      <c r="B539" s="4"/>
    </row>
    <row r="540" ht="14.25" customHeight="1">
      <c r="B540" s="4"/>
    </row>
    <row r="541" ht="14.25" customHeight="1">
      <c r="B541" s="4"/>
    </row>
    <row r="542" ht="14.25" customHeight="1">
      <c r="B542" s="4"/>
    </row>
    <row r="543" ht="14.25" customHeight="1">
      <c r="B543" s="4"/>
    </row>
    <row r="544" ht="14.25" customHeight="1">
      <c r="B544" s="4"/>
    </row>
    <row r="545" ht="14.25" customHeight="1">
      <c r="B545" s="4"/>
    </row>
    <row r="546" ht="14.25" customHeight="1">
      <c r="B546" s="4"/>
    </row>
    <row r="547" ht="14.25" customHeight="1">
      <c r="B547" s="4"/>
    </row>
    <row r="548" ht="14.25" customHeight="1">
      <c r="B548" s="4"/>
    </row>
    <row r="549" ht="14.25" customHeight="1">
      <c r="B549" s="4"/>
    </row>
    <row r="550" ht="14.25" customHeight="1">
      <c r="B550" s="4"/>
    </row>
    <row r="551" ht="14.25" customHeight="1">
      <c r="B551" s="4"/>
    </row>
    <row r="552" ht="14.25" customHeight="1">
      <c r="B552" s="4"/>
    </row>
    <row r="553" ht="14.25" customHeight="1">
      <c r="B553" s="4"/>
    </row>
    <row r="554" ht="14.25" customHeight="1">
      <c r="B554" s="4"/>
    </row>
    <row r="555" ht="14.25" customHeight="1">
      <c r="B555" s="4"/>
    </row>
    <row r="556" ht="14.25" customHeight="1">
      <c r="B556" s="4"/>
    </row>
    <row r="557" ht="14.25" customHeight="1">
      <c r="B557" s="4"/>
    </row>
    <row r="558" ht="14.25" customHeight="1">
      <c r="B558" s="4"/>
    </row>
    <row r="559" ht="14.25" customHeight="1">
      <c r="B559" s="4"/>
    </row>
    <row r="560" ht="14.25" customHeight="1">
      <c r="B560" s="4"/>
    </row>
    <row r="561" ht="14.25" customHeight="1">
      <c r="B561" s="4"/>
    </row>
    <row r="562" ht="14.25" customHeight="1">
      <c r="B562" s="4"/>
    </row>
    <row r="563" ht="14.25" customHeight="1">
      <c r="B563" s="4"/>
    </row>
    <row r="564" ht="14.25" customHeight="1">
      <c r="B564" s="4"/>
    </row>
    <row r="565" ht="14.25" customHeight="1">
      <c r="B565" s="4"/>
    </row>
    <row r="566" ht="14.25" customHeight="1">
      <c r="B566" s="4"/>
    </row>
    <row r="567" ht="14.25" customHeight="1">
      <c r="B567" s="4"/>
    </row>
    <row r="568" ht="14.25" customHeight="1">
      <c r="B568" s="4"/>
    </row>
    <row r="569" ht="14.25" customHeight="1">
      <c r="B569" s="4"/>
    </row>
    <row r="570" ht="14.25" customHeight="1">
      <c r="B570" s="4"/>
    </row>
    <row r="571" ht="14.25" customHeight="1">
      <c r="B571" s="4"/>
    </row>
    <row r="572" ht="14.25" customHeight="1">
      <c r="B572" s="4"/>
    </row>
    <row r="573" ht="14.25" customHeight="1">
      <c r="B573" s="4"/>
    </row>
    <row r="574" ht="14.25" customHeight="1">
      <c r="B574" s="4"/>
    </row>
    <row r="575" ht="14.25" customHeight="1">
      <c r="B575" s="4"/>
    </row>
    <row r="576" ht="14.25" customHeight="1">
      <c r="B576" s="4"/>
    </row>
    <row r="577" ht="14.25" customHeight="1">
      <c r="B577" s="4"/>
    </row>
    <row r="578" ht="14.25" customHeight="1">
      <c r="B578" s="4"/>
    </row>
    <row r="579" ht="14.25" customHeight="1">
      <c r="B579" s="4"/>
    </row>
    <row r="580" ht="14.25" customHeight="1">
      <c r="B580" s="4"/>
    </row>
    <row r="581" ht="14.25" customHeight="1">
      <c r="B581" s="4"/>
    </row>
    <row r="582" ht="14.25" customHeight="1">
      <c r="B582" s="4"/>
    </row>
    <row r="583" ht="14.25" customHeight="1">
      <c r="B583" s="4"/>
    </row>
    <row r="584" ht="14.25" customHeight="1">
      <c r="B584" s="4"/>
    </row>
    <row r="585" ht="14.25" customHeight="1">
      <c r="B585" s="4"/>
    </row>
    <row r="586" ht="14.25" customHeight="1">
      <c r="B586" s="4"/>
    </row>
    <row r="587" ht="14.25" customHeight="1">
      <c r="B587" s="4"/>
    </row>
    <row r="588" ht="14.25" customHeight="1">
      <c r="B588" s="4"/>
    </row>
    <row r="589" ht="14.25" customHeight="1">
      <c r="B589" s="4"/>
    </row>
    <row r="590" ht="14.25" customHeight="1">
      <c r="B590" s="4"/>
    </row>
    <row r="591" ht="14.25" customHeight="1">
      <c r="B591" s="4"/>
    </row>
    <row r="592" ht="14.25" customHeight="1">
      <c r="B592" s="4"/>
    </row>
    <row r="593" ht="14.25" customHeight="1">
      <c r="B593" s="4"/>
    </row>
    <row r="594" ht="14.25" customHeight="1">
      <c r="B594" s="4"/>
    </row>
    <row r="595" ht="14.25" customHeight="1">
      <c r="B595" s="4"/>
    </row>
    <row r="596" ht="14.25" customHeight="1">
      <c r="B596" s="4"/>
    </row>
    <row r="597" ht="14.25" customHeight="1">
      <c r="B597" s="4"/>
    </row>
    <row r="598" ht="14.25" customHeight="1">
      <c r="B598" s="4"/>
    </row>
    <row r="599" ht="14.25" customHeight="1">
      <c r="B599" s="4"/>
    </row>
    <row r="600" ht="14.25" customHeight="1">
      <c r="B600" s="4"/>
    </row>
    <row r="601" ht="14.25" customHeight="1">
      <c r="B601" s="4"/>
    </row>
    <row r="602" ht="14.25" customHeight="1">
      <c r="B602" s="4"/>
    </row>
    <row r="603" ht="14.25" customHeight="1">
      <c r="B603" s="4"/>
    </row>
    <row r="604" ht="14.25" customHeight="1">
      <c r="B604" s="4"/>
    </row>
    <row r="605" ht="14.25" customHeight="1">
      <c r="B605" s="4"/>
    </row>
    <row r="606" ht="14.25" customHeight="1">
      <c r="B606" s="4"/>
    </row>
    <row r="607" ht="14.25" customHeight="1">
      <c r="B607" s="4"/>
    </row>
    <row r="608" ht="14.25" customHeight="1">
      <c r="B608" s="4"/>
    </row>
    <row r="609" ht="14.25" customHeight="1">
      <c r="B609" s="4"/>
    </row>
    <row r="610" ht="14.25" customHeight="1">
      <c r="B610" s="4"/>
    </row>
    <row r="611" ht="14.25" customHeight="1">
      <c r="B611" s="4"/>
    </row>
    <row r="612" ht="14.25" customHeight="1">
      <c r="B612" s="4"/>
    </row>
    <row r="613" ht="14.25" customHeight="1">
      <c r="B613" s="4"/>
    </row>
    <row r="614" ht="14.25" customHeight="1">
      <c r="B614" s="4"/>
    </row>
    <row r="615" ht="14.25" customHeight="1">
      <c r="B615" s="4"/>
    </row>
    <row r="616" ht="14.25" customHeight="1">
      <c r="B616" s="4"/>
    </row>
    <row r="617" ht="14.25" customHeight="1">
      <c r="B617" s="4"/>
    </row>
    <row r="618" ht="14.25" customHeight="1">
      <c r="B618" s="4"/>
    </row>
    <row r="619" ht="14.25" customHeight="1">
      <c r="B619" s="4"/>
    </row>
    <row r="620" ht="14.25" customHeight="1">
      <c r="B620" s="4"/>
    </row>
    <row r="621" ht="14.25" customHeight="1">
      <c r="B621" s="4"/>
    </row>
    <row r="622" ht="14.25" customHeight="1">
      <c r="B622" s="4"/>
    </row>
    <row r="623" ht="14.25" customHeight="1">
      <c r="B623" s="4"/>
    </row>
    <row r="624" ht="14.25" customHeight="1">
      <c r="B624" s="4"/>
    </row>
    <row r="625" ht="14.25" customHeight="1">
      <c r="B625" s="4"/>
    </row>
    <row r="626" ht="14.25" customHeight="1">
      <c r="B626" s="4"/>
    </row>
    <row r="627" ht="14.25" customHeight="1">
      <c r="B627" s="4"/>
    </row>
    <row r="628" ht="14.25" customHeight="1">
      <c r="B628" s="4"/>
    </row>
    <row r="629" ht="14.25" customHeight="1">
      <c r="B629" s="4"/>
    </row>
    <row r="630" ht="14.25" customHeight="1">
      <c r="B630" s="4"/>
    </row>
    <row r="631" ht="14.25" customHeight="1">
      <c r="B631" s="4"/>
    </row>
    <row r="632" ht="14.25" customHeight="1">
      <c r="B632" s="4"/>
    </row>
    <row r="633" ht="14.25" customHeight="1">
      <c r="B633" s="4"/>
    </row>
    <row r="634" ht="14.25" customHeight="1">
      <c r="B634" s="4"/>
    </row>
    <row r="635" ht="14.25" customHeight="1">
      <c r="B635" s="4"/>
    </row>
    <row r="636" ht="14.25" customHeight="1">
      <c r="B636" s="4"/>
    </row>
    <row r="637" ht="14.25" customHeight="1">
      <c r="B637" s="4"/>
    </row>
    <row r="638" ht="14.25" customHeight="1">
      <c r="B638" s="4"/>
    </row>
    <row r="639" ht="14.25" customHeight="1">
      <c r="B639" s="4"/>
    </row>
    <row r="640" ht="14.25" customHeight="1">
      <c r="B640" s="4"/>
    </row>
    <row r="641" ht="14.25" customHeight="1">
      <c r="B641" s="4"/>
    </row>
    <row r="642" ht="14.25" customHeight="1">
      <c r="B642" s="4"/>
    </row>
    <row r="643" ht="14.25" customHeight="1">
      <c r="B643" s="4"/>
    </row>
    <row r="644" ht="14.25" customHeight="1">
      <c r="B644" s="4"/>
    </row>
    <row r="645" ht="14.25" customHeight="1">
      <c r="B645" s="4"/>
    </row>
    <row r="646" ht="14.25" customHeight="1">
      <c r="B646" s="4"/>
    </row>
    <row r="647" ht="14.25" customHeight="1">
      <c r="B647" s="4"/>
    </row>
    <row r="648" ht="14.25" customHeight="1">
      <c r="B648" s="4"/>
    </row>
    <row r="649" ht="14.25" customHeight="1">
      <c r="B649" s="4"/>
    </row>
    <row r="650" ht="14.25" customHeight="1">
      <c r="B650" s="4"/>
    </row>
    <row r="651" ht="14.25" customHeight="1">
      <c r="B651" s="4"/>
    </row>
    <row r="652" ht="14.25" customHeight="1">
      <c r="B652" s="4"/>
    </row>
    <row r="653" ht="14.25" customHeight="1">
      <c r="B653" s="4"/>
    </row>
    <row r="654" ht="14.25" customHeight="1">
      <c r="B654" s="4"/>
    </row>
    <row r="655" ht="14.25" customHeight="1">
      <c r="B655" s="4"/>
    </row>
    <row r="656" ht="14.25" customHeight="1">
      <c r="B656" s="4"/>
    </row>
    <row r="657" ht="14.25" customHeight="1">
      <c r="B657" s="4"/>
    </row>
    <row r="658" ht="14.25" customHeight="1">
      <c r="B658" s="4"/>
    </row>
    <row r="659" ht="14.25" customHeight="1">
      <c r="B659" s="4"/>
    </row>
    <row r="660" ht="14.25" customHeight="1">
      <c r="B660" s="4"/>
    </row>
    <row r="661" ht="14.25" customHeight="1">
      <c r="B661" s="4"/>
    </row>
    <row r="662" ht="14.25" customHeight="1">
      <c r="B662" s="4"/>
    </row>
    <row r="663" ht="14.25" customHeight="1">
      <c r="B663" s="4"/>
    </row>
    <row r="664" ht="14.25" customHeight="1">
      <c r="B664" s="4"/>
    </row>
    <row r="665" ht="14.25" customHeight="1">
      <c r="B665" s="4"/>
    </row>
    <row r="666" ht="14.25" customHeight="1">
      <c r="B666" s="4"/>
    </row>
    <row r="667" ht="14.25" customHeight="1">
      <c r="B667" s="4"/>
    </row>
    <row r="668" ht="14.25" customHeight="1">
      <c r="B668" s="4"/>
    </row>
    <row r="669" ht="14.25" customHeight="1">
      <c r="B669" s="4"/>
    </row>
    <row r="670" ht="14.25" customHeight="1">
      <c r="B670" s="4"/>
    </row>
    <row r="671" ht="14.25" customHeight="1">
      <c r="B671" s="4"/>
    </row>
    <row r="672" ht="14.25" customHeight="1">
      <c r="B672" s="4"/>
    </row>
    <row r="673" ht="14.25" customHeight="1">
      <c r="B673" s="4"/>
    </row>
    <row r="674" ht="14.25" customHeight="1">
      <c r="B674" s="4"/>
    </row>
    <row r="675" ht="14.25" customHeight="1">
      <c r="B675" s="4"/>
    </row>
    <row r="676" ht="14.25" customHeight="1">
      <c r="B676" s="4"/>
    </row>
    <row r="677" ht="14.25" customHeight="1">
      <c r="B677" s="4"/>
    </row>
    <row r="678" ht="14.25" customHeight="1">
      <c r="B678" s="4"/>
    </row>
    <row r="679" ht="14.25" customHeight="1">
      <c r="B679" s="4"/>
    </row>
    <row r="680" ht="14.25" customHeight="1">
      <c r="B680" s="4"/>
    </row>
    <row r="681" ht="14.25" customHeight="1">
      <c r="B681" s="4"/>
    </row>
    <row r="682" ht="14.25" customHeight="1">
      <c r="B682" s="4"/>
    </row>
    <row r="683" ht="14.25" customHeight="1">
      <c r="B683" s="4"/>
    </row>
    <row r="684" ht="14.25" customHeight="1">
      <c r="B684" s="4"/>
    </row>
    <row r="685" ht="14.25" customHeight="1">
      <c r="B685" s="4"/>
    </row>
    <row r="686" ht="14.25" customHeight="1">
      <c r="B686" s="4"/>
    </row>
    <row r="687" ht="14.25" customHeight="1">
      <c r="B687" s="4"/>
    </row>
    <row r="688" ht="14.25" customHeight="1">
      <c r="B688" s="4"/>
    </row>
    <row r="689" ht="14.25" customHeight="1">
      <c r="B689" s="4"/>
    </row>
    <row r="690" ht="14.25" customHeight="1">
      <c r="B690" s="4"/>
    </row>
    <row r="691" ht="14.25" customHeight="1">
      <c r="B691" s="4"/>
    </row>
    <row r="692" ht="14.25" customHeight="1">
      <c r="B692" s="4"/>
    </row>
    <row r="693" ht="14.25" customHeight="1">
      <c r="B693" s="4"/>
    </row>
    <row r="694" ht="14.25" customHeight="1">
      <c r="B694" s="4"/>
    </row>
    <row r="695" ht="14.25" customHeight="1">
      <c r="B695" s="4"/>
    </row>
    <row r="696" ht="14.25" customHeight="1">
      <c r="B696" s="4"/>
    </row>
    <row r="697" ht="14.25" customHeight="1">
      <c r="B697" s="4"/>
    </row>
    <row r="698" ht="14.25" customHeight="1">
      <c r="B698" s="4"/>
    </row>
    <row r="699" ht="14.25" customHeight="1">
      <c r="B699" s="4"/>
    </row>
    <row r="700" ht="14.25" customHeight="1">
      <c r="B700" s="4"/>
    </row>
    <row r="701" ht="14.25" customHeight="1">
      <c r="B701" s="4"/>
    </row>
    <row r="702" ht="14.25" customHeight="1">
      <c r="B702" s="4"/>
    </row>
    <row r="703" ht="14.25" customHeight="1">
      <c r="B703" s="4"/>
    </row>
    <row r="704" ht="14.25" customHeight="1">
      <c r="B704" s="4"/>
    </row>
    <row r="705" ht="14.25" customHeight="1">
      <c r="B705" s="4"/>
    </row>
    <row r="706" ht="14.25" customHeight="1">
      <c r="B706" s="4"/>
    </row>
    <row r="707" ht="14.25" customHeight="1">
      <c r="B707" s="4"/>
    </row>
    <row r="708" ht="14.25" customHeight="1">
      <c r="B708" s="4"/>
    </row>
    <row r="709" ht="14.25" customHeight="1">
      <c r="B709" s="4"/>
    </row>
    <row r="710" ht="14.25" customHeight="1">
      <c r="B710" s="4"/>
    </row>
    <row r="711" ht="14.25" customHeight="1">
      <c r="B711" s="4"/>
    </row>
    <row r="712" ht="14.25" customHeight="1">
      <c r="B712" s="4"/>
    </row>
    <row r="713" ht="14.25" customHeight="1">
      <c r="B713" s="4"/>
    </row>
    <row r="714" ht="14.25" customHeight="1">
      <c r="B714" s="4"/>
    </row>
    <row r="715" ht="14.25" customHeight="1">
      <c r="B715" s="4"/>
    </row>
    <row r="716" ht="14.25" customHeight="1">
      <c r="B716" s="4"/>
    </row>
    <row r="717" ht="14.25" customHeight="1">
      <c r="B717" s="4"/>
    </row>
    <row r="718" ht="14.25" customHeight="1">
      <c r="B718" s="4"/>
    </row>
    <row r="719" ht="14.25" customHeight="1">
      <c r="B719" s="4"/>
    </row>
    <row r="720" ht="14.25" customHeight="1">
      <c r="B720" s="4"/>
    </row>
    <row r="721" ht="14.25" customHeight="1">
      <c r="B721" s="4"/>
    </row>
    <row r="722" ht="14.25" customHeight="1">
      <c r="B722" s="4"/>
    </row>
    <row r="723" ht="14.25" customHeight="1">
      <c r="B723" s="4"/>
    </row>
    <row r="724" ht="14.25" customHeight="1">
      <c r="B724" s="4"/>
    </row>
    <row r="725" ht="14.25" customHeight="1">
      <c r="B725" s="4"/>
    </row>
    <row r="726" ht="14.25" customHeight="1">
      <c r="B726" s="4"/>
    </row>
    <row r="727" ht="14.25" customHeight="1">
      <c r="B727" s="4"/>
    </row>
    <row r="728" ht="14.25" customHeight="1">
      <c r="B728" s="4"/>
    </row>
    <row r="729" ht="14.25" customHeight="1">
      <c r="B729" s="4"/>
    </row>
    <row r="730" ht="14.25" customHeight="1">
      <c r="B730" s="4"/>
    </row>
    <row r="731" ht="14.25" customHeight="1">
      <c r="B731" s="4"/>
    </row>
    <row r="732" ht="14.25" customHeight="1">
      <c r="B732" s="4"/>
    </row>
    <row r="733" ht="14.25" customHeight="1">
      <c r="B733" s="4"/>
    </row>
    <row r="734" ht="14.25" customHeight="1">
      <c r="B734" s="4"/>
    </row>
    <row r="735" ht="14.25" customHeight="1">
      <c r="B735" s="4"/>
    </row>
    <row r="736" ht="14.25" customHeight="1">
      <c r="B736" s="4"/>
    </row>
    <row r="737" ht="14.25" customHeight="1">
      <c r="B737" s="4"/>
    </row>
    <row r="738" ht="14.25" customHeight="1">
      <c r="B738" s="4"/>
    </row>
    <row r="739" ht="14.25" customHeight="1">
      <c r="B739" s="4"/>
    </row>
    <row r="740" ht="14.25" customHeight="1">
      <c r="B740" s="4"/>
    </row>
    <row r="741" ht="14.25" customHeight="1">
      <c r="B741" s="4"/>
    </row>
    <row r="742" ht="14.25" customHeight="1">
      <c r="B742" s="4"/>
    </row>
    <row r="743" ht="14.25" customHeight="1">
      <c r="B743" s="4"/>
    </row>
    <row r="744" ht="14.25" customHeight="1">
      <c r="B744" s="4"/>
    </row>
    <row r="745" ht="14.25" customHeight="1">
      <c r="B745" s="4"/>
    </row>
    <row r="746" ht="14.25" customHeight="1">
      <c r="B746" s="4"/>
    </row>
    <row r="747" ht="14.25" customHeight="1">
      <c r="B747" s="4"/>
    </row>
    <row r="748" ht="14.25" customHeight="1">
      <c r="B748" s="4"/>
    </row>
    <row r="749" ht="14.25" customHeight="1">
      <c r="B749" s="4"/>
    </row>
    <row r="750" ht="14.25" customHeight="1">
      <c r="B750" s="4"/>
    </row>
    <row r="751" ht="14.25" customHeight="1">
      <c r="B751" s="4"/>
    </row>
    <row r="752" ht="14.25" customHeight="1">
      <c r="B752" s="4"/>
    </row>
    <row r="753" ht="14.25" customHeight="1">
      <c r="B753" s="4"/>
    </row>
    <row r="754" ht="14.25" customHeight="1">
      <c r="B754" s="4"/>
    </row>
    <row r="755" ht="14.25" customHeight="1">
      <c r="B755" s="4"/>
    </row>
    <row r="756" ht="14.25" customHeight="1">
      <c r="B756" s="4"/>
    </row>
    <row r="757" ht="14.25" customHeight="1">
      <c r="B757" s="4"/>
    </row>
    <row r="758" ht="14.25" customHeight="1">
      <c r="B758" s="4"/>
    </row>
    <row r="759" ht="14.25" customHeight="1">
      <c r="B759" s="4"/>
    </row>
    <row r="760" ht="14.25" customHeight="1">
      <c r="B760" s="4"/>
    </row>
    <row r="761" ht="14.25" customHeight="1">
      <c r="B761" s="4"/>
    </row>
    <row r="762" ht="14.25" customHeight="1">
      <c r="B762" s="4"/>
    </row>
    <row r="763" ht="14.25" customHeight="1">
      <c r="B763" s="4"/>
    </row>
    <row r="764" ht="14.25" customHeight="1">
      <c r="B764" s="4"/>
    </row>
    <row r="765" ht="14.25" customHeight="1">
      <c r="B765" s="4"/>
    </row>
    <row r="766" ht="14.25" customHeight="1">
      <c r="B766" s="4"/>
    </row>
    <row r="767" ht="14.25" customHeight="1">
      <c r="B767" s="4"/>
    </row>
    <row r="768" ht="14.25" customHeight="1">
      <c r="B768" s="4"/>
    </row>
    <row r="769" ht="14.25" customHeight="1">
      <c r="B769" s="4"/>
    </row>
    <row r="770" ht="14.25" customHeight="1">
      <c r="B770" s="4"/>
    </row>
    <row r="771" ht="14.25" customHeight="1">
      <c r="B771" s="4"/>
    </row>
    <row r="772" ht="14.25" customHeight="1">
      <c r="B772" s="4"/>
    </row>
    <row r="773" ht="14.25" customHeight="1">
      <c r="B773" s="4"/>
    </row>
    <row r="774" ht="14.25" customHeight="1">
      <c r="B774" s="4"/>
    </row>
    <row r="775" ht="14.25" customHeight="1">
      <c r="B775" s="4"/>
    </row>
    <row r="776" ht="14.25" customHeight="1">
      <c r="B776" s="4"/>
    </row>
    <row r="777" ht="14.25" customHeight="1">
      <c r="B777" s="4"/>
    </row>
    <row r="778" ht="14.25" customHeight="1">
      <c r="B778" s="4"/>
    </row>
    <row r="779" ht="14.25" customHeight="1">
      <c r="B779" s="4"/>
    </row>
    <row r="780" ht="14.25" customHeight="1">
      <c r="B780" s="4"/>
    </row>
    <row r="781" ht="14.25" customHeight="1">
      <c r="B781" s="4"/>
    </row>
    <row r="782" ht="14.25" customHeight="1">
      <c r="B782" s="4"/>
    </row>
    <row r="783" ht="14.25" customHeight="1">
      <c r="B783" s="4"/>
    </row>
    <row r="784" ht="14.25" customHeight="1">
      <c r="B784" s="4"/>
    </row>
    <row r="785" ht="14.25" customHeight="1">
      <c r="B785" s="4"/>
    </row>
    <row r="786" ht="14.25" customHeight="1">
      <c r="B786" s="4"/>
    </row>
    <row r="787" ht="14.25" customHeight="1">
      <c r="B787" s="4"/>
    </row>
    <row r="788" ht="14.25" customHeight="1">
      <c r="B788" s="4"/>
    </row>
    <row r="789" ht="14.25" customHeight="1">
      <c r="B789" s="4"/>
    </row>
    <row r="790" ht="14.25" customHeight="1">
      <c r="B790" s="4"/>
    </row>
    <row r="791" ht="14.25" customHeight="1">
      <c r="B791" s="4"/>
    </row>
    <row r="792" ht="14.25" customHeight="1">
      <c r="B792" s="4"/>
    </row>
    <row r="793" ht="14.25" customHeight="1">
      <c r="B793" s="4"/>
    </row>
    <row r="794" ht="14.25" customHeight="1">
      <c r="B794" s="4"/>
    </row>
    <row r="795" ht="14.25" customHeight="1">
      <c r="B795" s="4"/>
    </row>
    <row r="796" ht="14.25" customHeight="1">
      <c r="B796" s="4"/>
    </row>
    <row r="797" ht="14.25" customHeight="1">
      <c r="B797" s="4"/>
    </row>
    <row r="798" ht="14.25" customHeight="1">
      <c r="B798" s="4"/>
    </row>
    <row r="799" ht="14.25" customHeight="1">
      <c r="B799" s="4"/>
    </row>
    <row r="800" ht="14.25" customHeight="1">
      <c r="B800" s="4"/>
    </row>
    <row r="801" ht="14.25" customHeight="1">
      <c r="B801" s="4"/>
    </row>
    <row r="802" ht="14.25" customHeight="1">
      <c r="B802" s="4"/>
    </row>
    <row r="803" ht="14.25" customHeight="1">
      <c r="B803" s="4"/>
    </row>
    <row r="804" ht="14.25" customHeight="1">
      <c r="B804" s="4"/>
    </row>
    <row r="805" ht="14.25" customHeight="1">
      <c r="B805" s="4"/>
    </row>
    <row r="806" ht="14.25" customHeight="1">
      <c r="B806" s="4"/>
    </row>
    <row r="807" ht="14.25" customHeight="1">
      <c r="B807" s="4"/>
    </row>
    <row r="808" ht="14.25" customHeight="1">
      <c r="B808" s="4"/>
    </row>
    <row r="809" ht="14.25" customHeight="1">
      <c r="B809" s="4"/>
    </row>
    <row r="810" ht="14.25" customHeight="1">
      <c r="B810" s="4"/>
    </row>
    <row r="811" ht="14.25" customHeight="1">
      <c r="B811" s="4"/>
    </row>
    <row r="812" ht="14.25" customHeight="1">
      <c r="B812" s="4"/>
    </row>
    <row r="813" ht="14.25" customHeight="1">
      <c r="B813" s="4"/>
    </row>
    <row r="814" ht="14.25" customHeight="1">
      <c r="B814" s="4"/>
    </row>
    <row r="815" ht="14.25" customHeight="1">
      <c r="B815" s="4"/>
    </row>
    <row r="816" ht="14.25" customHeight="1">
      <c r="B816" s="4"/>
    </row>
    <row r="817" ht="14.25" customHeight="1">
      <c r="B817" s="4"/>
    </row>
    <row r="818" ht="14.25" customHeight="1">
      <c r="B818" s="4"/>
    </row>
    <row r="819" ht="14.25" customHeight="1">
      <c r="B819" s="4"/>
    </row>
    <row r="820" ht="14.25" customHeight="1">
      <c r="B820" s="4"/>
    </row>
    <row r="821" ht="14.25" customHeight="1">
      <c r="B821" s="4"/>
    </row>
    <row r="822" ht="14.25" customHeight="1">
      <c r="B822" s="4"/>
    </row>
    <row r="823" ht="14.25" customHeight="1">
      <c r="B823" s="4"/>
    </row>
    <row r="824" ht="14.25" customHeight="1">
      <c r="B824" s="4"/>
    </row>
    <row r="825" ht="14.25" customHeight="1">
      <c r="B825" s="4"/>
    </row>
    <row r="826" ht="14.25" customHeight="1">
      <c r="B826" s="4"/>
    </row>
    <row r="827" ht="14.25" customHeight="1">
      <c r="B827" s="4"/>
    </row>
    <row r="828" ht="14.25" customHeight="1">
      <c r="B828" s="4"/>
    </row>
    <row r="829" ht="14.25" customHeight="1">
      <c r="B829" s="4"/>
    </row>
    <row r="830" ht="14.25" customHeight="1">
      <c r="B830" s="4"/>
    </row>
    <row r="831" ht="14.25" customHeight="1">
      <c r="B831" s="4"/>
    </row>
    <row r="832" ht="14.25" customHeight="1">
      <c r="B832" s="4"/>
    </row>
    <row r="833" ht="14.25" customHeight="1">
      <c r="B833" s="4"/>
    </row>
    <row r="834" ht="14.25" customHeight="1">
      <c r="B834" s="4"/>
    </row>
    <row r="835" ht="14.25" customHeight="1">
      <c r="B835" s="4"/>
    </row>
    <row r="836" ht="14.25" customHeight="1">
      <c r="B836" s="4"/>
    </row>
    <row r="837" ht="14.25" customHeight="1">
      <c r="B837" s="4"/>
    </row>
    <row r="838" ht="14.25" customHeight="1">
      <c r="B838" s="4"/>
    </row>
    <row r="839" ht="14.25" customHeight="1">
      <c r="B839" s="4"/>
    </row>
    <row r="840" ht="14.25" customHeight="1">
      <c r="B840" s="4"/>
    </row>
    <row r="841" ht="14.25" customHeight="1">
      <c r="B841" s="4"/>
    </row>
    <row r="842" ht="14.25" customHeight="1">
      <c r="B842" s="4"/>
    </row>
    <row r="843" ht="14.25" customHeight="1">
      <c r="B843" s="4"/>
    </row>
    <row r="844" ht="14.25" customHeight="1">
      <c r="B844" s="4"/>
    </row>
    <row r="845" ht="14.25" customHeight="1">
      <c r="B845" s="4"/>
    </row>
    <row r="846" ht="14.25" customHeight="1">
      <c r="B846" s="4"/>
    </row>
    <row r="847" ht="14.25" customHeight="1">
      <c r="B847" s="4"/>
    </row>
    <row r="848" ht="14.25" customHeight="1">
      <c r="B848" s="4"/>
    </row>
    <row r="849" ht="14.25" customHeight="1">
      <c r="B849" s="4"/>
    </row>
    <row r="850" ht="14.25" customHeight="1">
      <c r="B850" s="4"/>
    </row>
    <row r="851" ht="14.25" customHeight="1">
      <c r="B851" s="4"/>
    </row>
    <row r="852" ht="14.25" customHeight="1">
      <c r="B852" s="4"/>
    </row>
    <row r="853" ht="14.25" customHeight="1">
      <c r="B853" s="4"/>
    </row>
    <row r="854" ht="14.25" customHeight="1">
      <c r="B854" s="4"/>
    </row>
    <row r="855" ht="14.25" customHeight="1">
      <c r="B855" s="4"/>
    </row>
    <row r="856" ht="14.25" customHeight="1">
      <c r="B856" s="4"/>
    </row>
    <row r="857" ht="14.25" customHeight="1">
      <c r="B857" s="4"/>
    </row>
    <row r="858" ht="14.25" customHeight="1">
      <c r="B858" s="4"/>
    </row>
    <row r="859" ht="14.25" customHeight="1">
      <c r="B859" s="4"/>
    </row>
    <row r="860" ht="14.25" customHeight="1">
      <c r="B860" s="4"/>
    </row>
    <row r="861" ht="14.25" customHeight="1">
      <c r="B861" s="4"/>
    </row>
    <row r="862" ht="14.25" customHeight="1">
      <c r="B862" s="4"/>
    </row>
    <row r="863" ht="14.25" customHeight="1">
      <c r="B863" s="4"/>
    </row>
    <row r="864" ht="14.25" customHeight="1">
      <c r="B864" s="4"/>
    </row>
    <row r="865" ht="14.25" customHeight="1">
      <c r="B865" s="4"/>
    </row>
    <row r="866" ht="14.25" customHeight="1">
      <c r="B866" s="4"/>
    </row>
    <row r="867" ht="14.25" customHeight="1">
      <c r="B867" s="4"/>
    </row>
    <row r="868" ht="14.25" customHeight="1">
      <c r="B868" s="4"/>
    </row>
    <row r="869" ht="14.25" customHeight="1">
      <c r="B869" s="4"/>
    </row>
    <row r="870" ht="14.25" customHeight="1">
      <c r="B870" s="4"/>
    </row>
    <row r="871" ht="14.25" customHeight="1">
      <c r="B871" s="4"/>
    </row>
    <row r="872" ht="14.25" customHeight="1">
      <c r="B872" s="4"/>
    </row>
    <row r="873" ht="14.25" customHeight="1">
      <c r="B873" s="4"/>
    </row>
    <row r="874" ht="14.25" customHeight="1">
      <c r="B874" s="4"/>
    </row>
    <row r="875" ht="14.25" customHeight="1">
      <c r="B875" s="4"/>
    </row>
    <row r="876" ht="14.25" customHeight="1">
      <c r="B876" s="4"/>
    </row>
    <row r="877" ht="14.25" customHeight="1">
      <c r="B877" s="4"/>
    </row>
    <row r="878" ht="14.25" customHeight="1">
      <c r="B878" s="4"/>
    </row>
    <row r="879" ht="14.25" customHeight="1">
      <c r="B879" s="4"/>
    </row>
    <row r="880" ht="14.25" customHeight="1">
      <c r="B880" s="4"/>
    </row>
    <row r="881" ht="14.25" customHeight="1">
      <c r="B881" s="4"/>
    </row>
    <row r="882" ht="14.25" customHeight="1">
      <c r="B882" s="4"/>
    </row>
    <row r="883" ht="14.25" customHeight="1">
      <c r="B883" s="4"/>
    </row>
    <row r="884" ht="14.25" customHeight="1">
      <c r="B884" s="4"/>
    </row>
    <row r="885" ht="14.25" customHeight="1">
      <c r="B885" s="4"/>
    </row>
    <row r="886" ht="14.25" customHeight="1">
      <c r="B886" s="4"/>
    </row>
    <row r="887" ht="14.25" customHeight="1">
      <c r="B887" s="4"/>
    </row>
    <row r="888" ht="14.25" customHeight="1">
      <c r="B888" s="4"/>
    </row>
    <row r="889" ht="14.25" customHeight="1">
      <c r="B889" s="4"/>
    </row>
    <row r="890" ht="14.25" customHeight="1">
      <c r="B890" s="4"/>
    </row>
    <row r="891" ht="14.25" customHeight="1">
      <c r="B891" s="4"/>
    </row>
    <row r="892" ht="14.25" customHeight="1">
      <c r="B892" s="4"/>
    </row>
    <row r="893" ht="14.25" customHeight="1">
      <c r="B893" s="4"/>
    </row>
    <row r="894" ht="14.25" customHeight="1">
      <c r="B894" s="4"/>
    </row>
    <row r="895" ht="14.25" customHeight="1">
      <c r="B895" s="4"/>
    </row>
    <row r="896" ht="14.25" customHeight="1">
      <c r="B896" s="4"/>
    </row>
    <row r="897" ht="14.25" customHeight="1">
      <c r="B897" s="4"/>
    </row>
    <row r="898" ht="14.25" customHeight="1">
      <c r="B898" s="4"/>
    </row>
    <row r="899" ht="14.25" customHeight="1">
      <c r="B899" s="4"/>
    </row>
    <row r="900" ht="14.25" customHeight="1">
      <c r="B900" s="4"/>
    </row>
    <row r="901" ht="14.25" customHeight="1">
      <c r="B901" s="4"/>
    </row>
    <row r="902" ht="14.25" customHeight="1">
      <c r="B902" s="4"/>
    </row>
    <row r="903" ht="14.25" customHeight="1">
      <c r="B903" s="4"/>
    </row>
    <row r="904" ht="14.25" customHeight="1">
      <c r="B904" s="4"/>
    </row>
    <row r="905" ht="14.25" customHeight="1">
      <c r="B905" s="4"/>
    </row>
    <row r="906" ht="14.25" customHeight="1">
      <c r="B906" s="4"/>
    </row>
    <row r="907" ht="14.25" customHeight="1">
      <c r="B907" s="4"/>
    </row>
    <row r="908" ht="14.25" customHeight="1">
      <c r="B908" s="4"/>
    </row>
    <row r="909" ht="14.25" customHeight="1">
      <c r="B909" s="4"/>
    </row>
    <row r="910" ht="14.25" customHeight="1">
      <c r="B910" s="4"/>
    </row>
    <row r="911" ht="14.25" customHeight="1">
      <c r="B911" s="4"/>
    </row>
    <row r="912" ht="14.25" customHeight="1">
      <c r="B912" s="4"/>
    </row>
    <row r="913" ht="14.25" customHeight="1">
      <c r="B913" s="4"/>
    </row>
    <row r="914" ht="14.25" customHeight="1">
      <c r="B914" s="4"/>
    </row>
    <row r="915" ht="14.25" customHeight="1">
      <c r="B915" s="4"/>
    </row>
    <row r="916" ht="14.25" customHeight="1">
      <c r="B916" s="4"/>
    </row>
    <row r="917" ht="14.25" customHeight="1">
      <c r="B917" s="4"/>
    </row>
    <row r="918" ht="14.25" customHeight="1">
      <c r="B918" s="4"/>
    </row>
    <row r="919" ht="14.25" customHeight="1">
      <c r="B919" s="4"/>
    </row>
    <row r="920" ht="14.25" customHeight="1">
      <c r="B920" s="4"/>
    </row>
    <row r="921" ht="14.25" customHeight="1">
      <c r="B921" s="4"/>
    </row>
    <row r="922" ht="14.25" customHeight="1">
      <c r="B922" s="4"/>
    </row>
    <row r="923" ht="14.25" customHeight="1">
      <c r="B923" s="4"/>
    </row>
    <row r="924" ht="14.25" customHeight="1">
      <c r="B924" s="4"/>
    </row>
    <row r="925" ht="14.25" customHeight="1">
      <c r="B925" s="4"/>
    </row>
    <row r="926" ht="14.25" customHeight="1">
      <c r="B926" s="4"/>
    </row>
    <row r="927" ht="14.25" customHeight="1">
      <c r="B927" s="4"/>
    </row>
    <row r="928" ht="14.25" customHeight="1">
      <c r="B928" s="4"/>
    </row>
    <row r="929" ht="14.25" customHeight="1">
      <c r="B929" s="4"/>
    </row>
    <row r="930" ht="14.25" customHeight="1">
      <c r="B930" s="4"/>
    </row>
    <row r="931" ht="14.25" customHeight="1">
      <c r="B931" s="4"/>
    </row>
    <row r="932" ht="14.25" customHeight="1">
      <c r="B932" s="4"/>
    </row>
    <row r="933" ht="14.25" customHeight="1">
      <c r="B933" s="4"/>
    </row>
    <row r="934" ht="14.25" customHeight="1">
      <c r="B934" s="4"/>
    </row>
    <row r="935" ht="14.25" customHeight="1">
      <c r="B935" s="4"/>
    </row>
    <row r="936" ht="14.25" customHeight="1">
      <c r="B936" s="4"/>
    </row>
    <row r="937" ht="14.25" customHeight="1">
      <c r="B937" s="4"/>
    </row>
    <row r="938" ht="14.25" customHeight="1">
      <c r="B938" s="4"/>
    </row>
    <row r="939" ht="14.25" customHeight="1">
      <c r="B939" s="4"/>
    </row>
    <row r="940" ht="14.25" customHeight="1">
      <c r="B940" s="4"/>
    </row>
    <row r="941" ht="14.25" customHeight="1">
      <c r="B941" s="4"/>
    </row>
    <row r="942" ht="14.25" customHeight="1">
      <c r="B942" s="4"/>
    </row>
    <row r="943" ht="14.25" customHeight="1">
      <c r="B943" s="4"/>
    </row>
    <row r="944" ht="14.25" customHeight="1">
      <c r="B944" s="4"/>
    </row>
    <row r="945" ht="14.25" customHeight="1">
      <c r="B945" s="4"/>
    </row>
    <row r="946" ht="14.25" customHeight="1">
      <c r="B946" s="4"/>
    </row>
    <row r="947" ht="14.25" customHeight="1">
      <c r="B947" s="4"/>
    </row>
    <row r="948" ht="14.25" customHeight="1">
      <c r="B948" s="4"/>
    </row>
    <row r="949" ht="14.25" customHeight="1">
      <c r="B949" s="4"/>
    </row>
    <row r="950" ht="14.25" customHeight="1">
      <c r="B950" s="4"/>
    </row>
    <row r="951" ht="14.25" customHeight="1">
      <c r="B951" s="4"/>
    </row>
    <row r="952" ht="14.25" customHeight="1">
      <c r="B952" s="4"/>
    </row>
    <row r="953" ht="14.25" customHeight="1">
      <c r="B953" s="4"/>
    </row>
    <row r="954" ht="14.25" customHeight="1">
      <c r="B954" s="4"/>
    </row>
    <row r="955" ht="14.25" customHeight="1">
      <c r="B955" s="4"/>
    </row>
    <row r="956" ht="14.25" customHeight="1">
      <c r="B956" s="4"/>
    </row>
    <row r="957" ht="14.25" customHeight="1">
      <c r="B957" s="4"/>
    </row>
    <row r="958" ht="14.25" customHeight="1">
      <c r="B958" s="4"/>
    </row>
    <row r="959" ht="14.25" customHeight="1">
      <c r="B959" s="4"/>
    </row>
    <row r="960" ht="14.25" customHeight="1">
      <c r="B960" s="4"/>
    </row>
    <row r="961" ht="14.25" customHeight="1">
      <c r="B961" s="4"/>
    </row>
    <row r="962" ht="14.25" customHeight="1">
      <c r="B962" s="4"/>
    </row>
    <row r="963" ht="14.25" customHeight="1">
      <c r="B963" s="4"/>
    </row>
    <row r="964" ht="14.25" customHeight="1">
      <c r="B964" s="4"/>
    </row>
    <row r="965" ht="14.25" customHeight="1">
      <c r="B965" s="4"/>
    </row>
    <row r="966" ht="14.25" customHeight="1">
      <c r="B966" s="4"/>
    </row>
    <row r="967" ht="14.25" customHeight="1">
      <c r="B967" s="4"/>
    </row>
    <row r="968" ht="14.25" customHeight="1">
      <c r="B968" s="4"/>
    </row>
    <row r="969" ht="14.25" customHeight="1">
      <c r="B969" s="4"/>
    </row>
    <row r="970" ht="14.25" customHeight="1">
      <c r="B970" s="4"/>
    </row>
    <row r="971" ht="14.25" customHeight="1">
      <c r="B971" s="4"/>
    </row>
    <row r="972" ht="14.25" customHeight="1">
      <c r="B972" s="4"/>
    </row>
    <row r="973" ht="14.25" customHeight="1">
      <c r="B973" s="4"/>
    </row>
    <row r="974" ht="14.25" customHeight="1">
      <c r="B974" s="4"/>
    </row>
    <row r="975" ht="14.25" customHeight="1">
      <c r="B975" s="4"/>
    </row>
    <row r="976" ht="14.25" customHeight="1">
      <c r="B976" s="4"/>
    </row>
    <row r="977" ht="14.25" customHeight="1">
      <c r="B977" s="4"/>
    </row>
    <row r="978" ht="14.25" customHeight="1">
      <c r="B978" s="4"/>
    </row>
    <row r="979" ht="14.25" customHeight="1">
      <c r="B979" s="4"/>
    </row>
    <row r="980" ht="14.25" customHeight="1">
      <c r="B980" s="4"/>
    </row>
    <row r="981" ht="14.25" customHeight="1">
      <c r="B981" s="4"/>
    </row>
    <row r="982" ht="14.25" customHeight="1">
      <c r="B982" s="4"/>
    </row>
    <row r="983" ht="14.25" customHeight="1">
      <c r="B983" s="4"/>
    </row>
    <row r="984" ht="14.25" customHeight="1">
      <c r="B984" s="4"/>
    </row>
    <row r="985" ht="14.25" customHeight="1">
      <c r="B985" s="4"/>
    </row>
    <row r="986" ht="14.25" customHeight="1">
      <c r="B986" s="4"/>
    </row>
    <row r="987" ht="14.25" customHeight="1">
      <c r="B987" s="4"/>
    </row>
    <row r="988" ht="14.25" customHeight="1">
      <c r="B988" s="4"/>
    </row>
    <row r="989" ht="14.25" customHeight="1">
      <c r="B989" s="4"/>
    </row>
    <row r="990" ht="14.25" customHeight="1">
      <c r="B990" s="4"/>
    </row>
    <row r="991" ht="14.25" customHeight="1">
      <c r="B991" s="4"/>
    </row>
    <row r="992" ht="14.25" customHeight="1">
      <c r="B992" s="4"/>
    </row>
    <row r="993" ht="14.25" customHeight="1">
      <c r="B993" s="4"/>
    </row>
    <row r="994" ht="14.25" customHeight="1">
      <c r="B994" s="4"/>
    </row>
    <row r="995" ht="14.25" customHeight="1">
      <c r="B995" s="4"/>
    </row>
    <row r="996" ht="14.25" customHeight="1">
      <c r="B996" s="4"/>
    </row>
    <row r="997" ht="14.25" customHeight="1">
      <c r="B997" s="4"/>
    </row>
    <row r="998" ht="14.25" customHeight="1">
      <c r="B998" s="4"/>
    </row>
    <row r="999" ht="14.25" customHeight="1">
      <c r="B999" s="4"/>
    </row>
    <row r="1000" ht="14.25" customHeight="1">
      <c r="B1000" s="4"/>
    </row>
  </sheetData>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57"/>
    <col customWidth="1" min="2" max="2" width="50.0"/>
    <col customWidth="1" hidden="1" min="3" max="3" width="12.57"/>
    <col customWidth="1" hidden="1" min="4" max="11" width="10.0"/>
    <col customWidth="1" hidden="1" min="12" max="12" width="11.14"/>
    <col customWidth="1" hidden="1" min="13" max="14" width="10.0"/>
    <col customWidth="1" hidden="1" min="15" max="15" width="16.57"/>
    <col customWidth="1" min="16" max="26" width="8.71"/>
    <col customWidth="1" min="27" max="27" width="11.14"/>
    <col customWidth="1" min="28" max="28" width="16.57"/>
  </cols>
  <sheetData>
    <row r="1" ht="14.25" customHeight="1">
      <c r="A1" s="16"/>
      <c r="B1" s="17" t="s">
        <v>11</v>
      </c>
      <c r="C1" s="18" t="s">
        <v>12</v>
      </c>
      <c r="D1" s="19"/>
      <c r="E1" s="19"/>
      <c r="F1" s="19"/>
      <c r="G1" s="19"/>
      <c r="H1" s="19"/>
      <c r="I1" s="19"/>
      <c r="J1" s="19"/>
      <c r="K1" s="19"/>
      <c r="L1" s="19"/>
      <c r="M1" s="19"/>
      <c r="N1" s="19"/>
      <c r="O1" s="19"/>
      <c r="P1" s="18" t="s">
        <v>12</v>
      </c>
      <c r="Q1" s="19"/>
      <c r="R1" s="19"/>
      <c r="S1" s="19"/>
      <c r="T1" s="19"/>
      <c r="U1" s="19"/>
      <c r="V1" s="19"/>
      <c r="W1" s="19"/>
      <c r="X1" s="19"/>
      <c r="Y1" s="19"/>
      <c r="Z1" s="19"/>
      <c r="AA1" s="19"/>
      <c r="AB1" s="19"/>
    </row>
    <row r="2" ht="14.25" customHeight="1">
      <c r="A2" s="20"/>
      <c r="B2" s="21" t="s">
        <v>13</v>
      </c>
      <c r="C2" s="22" t="s">
        <v>14</v>
      </c>
      <c r="D2" s="22" t="s">
        <v>15</v>
      </c>
      <c r="E2" s="22" t="s">
        <v>16</v>
      </c>
      <c r="F2" s="23" t="s">
        <v>17</v>
      </c>
      <c r="G2" s="24" t="s">
        <v>18</v>
      </c>
      <c r="H2" s="24" t="s">
        <v>19</v>
      </c>
      <c r="I2" s="25" t="s">
        <v>20</v>
      </c>
      <c r="J2" s="26" t="s">
        <v>21</v>
      </c>
      <c r="K2" s="26" t="s">
        <v>22</v>
      </c>
      <c r="L2" s="27" t="s">
        <v>23</v>
      </c>
      <c r="M2" s="28" t="s">
        <v>24</v>
      </c>
      <c r="N2" s="29" t="s">
        <v>25</v>
      </c>
      <c r="O2" s="30" t="s">
        <v>26</v>
      </c>
      <c r="P2" s="22" t="s">
        <v>14</v>
      </c>
      <c r="Q2" s="22" t="s">
        <v>15</v>
      </c>
      <c r="R2" s="22" t="s">
        <v>16</v>
      </c>
      <c r="S2" s="23" t="s">
        <v>17</v>
      </c>
      <c r="T2" s="24" t="s">
        <v>18</v>
      </c>
      <c r="U2" s="24" t="s">
        <v>19</v>
      </c>
      <c r="V2" s="25" t="s">
        <v>20</v>
      </c>
      <c r="W2" s="26" t="s">
        <v>21</v>
      </c>
      <c r="X2" s="26" t="s">
        <v>22</v>
      </c>
      <c r="Y2" s="27" t="s">
        <v>23</v>
      </c>
      <c r="Z2" s="28" t="s">
        <v>24</v>
      </c>
      <c r="AA2" s="29" t="s">
        <v>25</v>
      </c>
      <c r="AB2" s="30" t="s">
        <v>27</v>
      </c>
    </row>
    <row r="3" ht="14.25" customHeight="1">
      <c r="B3" s="31" t="s">
        <v>28</v>
      </c>
      <c r="C3" s="32"/>
      <c r="D3" s="32"/>
      <c r="E3" s="32"/>
      <c r="F3" s="33"/>
      <c r="G3" s="32"/>
      <c r="H3" s="32"/>
      <c r="I3" s="33"/>
      <c r="J3" s="32"/>
      <c r="K3" s="32"/>
      <c r="L3" s="33"/>
      <c r="M3" s="32"/>
      <c r="N3" s="34"/>
      <c r="O3" s="35"/>
      <c r="P3" s="32"/>
      <c r="Q3" s="32"/>
      <c r="R3" s="32"/>
      <c r="S3" s="33"/>
      <c r="T3" s="32"/>
      <c r="U3" s="32"/>
      <c r="V3" s="33"/>
      <c r="W3" s="32"/>
      <c r="X3" s="32"/>
      <c r="Y3" s="33"/>
      <c r="Z3" s="32"/>
      <c r="AA3" s="34"/>
      <c r="AB3" s="35"/>
    </row>
    <row r="4" ht="14.25" customHeight="1">
      <c r="B4" s="36" t="s">
        <v>28</v>
      </c>
      <c r="C4" s="37">
        <v>0.0</v>
      </c>
      <c r="D4" s="37">
        <v>0.0</v>
      </c>
      <c r="E4" s="37">
        <v>0.0</v>
      </c>
      <c r="F4" s="38">
        <v>0.0</v>
      </c>
      <c r="G4" s="39">
        <v>0.0</v>
      </c>
      <c r="H4" s="39">
        <v>0.0</v>
      </c>
      <c r="I4" s="40">
        <v>0.0</v>
      </c>
      <c r="J4" s="41">
        <v>0.0</v>
      </c>
      <c r="K4" s="41">
        <v>0.0</v>
      </c>
      <c r="L4" s="42">
        <v>0.0</v>
      </c>
      <c r="M4" s="43">
        <v>0.0</v>
      </c>
      <c r="N4" s="44">
        <v>0.0</v>
      </c>
      <c r="O4" s="45">
        <f t="shared" ref="O4:O6" si="1">SUM(C4:N4)</f>
        <v>0</v>
      </c>
      <c r="P4" s="37">
        <v>0.0</v>
      </c>
      <c r="Q4" s="37">
        <v>0.0</v>
      </c>
      <c r="R4" s="37">
        <v>0.0</v>
      </c>
      <c r="S4" s="38">
        <v>0.0</v>
      </c>
      <c r="T4" s="39">
        <v>0.0</v>
      </c>
      <c r="U4" s="39">
        <v>0.0</v>
      </c>
      <c r="V4" s="40">
        <v>0.0</v>
      </c>
      <c r="W4" s="41">
        <v>0.0</v>
      </c>
      <c r="X4" s="41">
        <v>0.0</v>
      </c>
      <c r="Y4" s="42">
        <v>0.0</v>
      </c>
      <c r="Z4" s="43">
        <v>0.0</v>
      </c>
      <c r="AA4" s="44">
        <v>0.0</v>
      </c>
      <c r="AB4" s="45">
        <f t="shared" ref="AB4:AB6" si="2">SUM(P4:AA4)</f>
        <v>0</v>
      </c>
    </row>
    <row r="5" ht="14.25" customHeight="1">
      <c r="B5" s="36" t="s">
        <v>29</v>
      </c>
      <c r="C5" s="37"/>
      <c r="D5" s="37"/>
      <c r="E5" s="37"/>
      <c r="F5" s="46"/>
      <c r="G5" s="46"/>
      <c r="H5" s="46"/>
      <c r="I5" s="41"/>
      <c r="J5" s="41"/>
      <c r="K5" s="41"/>
      <c r="L5" s="43"/>
      <c r="M5" s="43">
        <v>600.0</v>
      </c>
      <c r="N5" s="43">
        <v>450.0</v>
      </c>
      <c r="O5" s="45">
        <f t="shared" si="1"/>
        <v>1050</v>
      </c>
      <c r="P5" s="37"/>
      <c r="Q5" s="37"/>
      <c r="R5" s="37"/>
      <c r="S5" s="46"/>
      <c r="T5" s="46"/>
      <c r="U5" s="46"/>
      <c r="V5" s="41"/>
      <c r="W5" s="41"/>
      <c r="X5" s="41"/>
      <c r="Y5" s="43"/>
      <c r="Z5" s="43"/>
      <c r="AA5" s="43">
        <v>22705.0</v>
      </c>
      <c r="AB5" s="45">
        <f t="shared" si="2"/>
        <v>22705</v>
      </c>
    </row>
    <row r="6" ht="14.25" customHeight="1">
      <c r="B6" s="47" t="s">
        <v>30</v>
      </c>
      <c r="C6" s="48">
        <f t="shared" ref="C6:N6" si="3">SUM(C4:C5)</f>
        <v>0</v>
      </c>
      <c r="D6" s="48">
        <f t="shared" si="3"/>
        <v>0</v>
      </c>
      <c r="E6" s="48">
        <f t="shared" si="3"/>
        <v>0</v>
      </c>
      <c r="F6" s="49">
        <f t="shared" si="3"/>
        <v>0</v>
      </c>
      <c r="G6" s="50">
        <f t="shared" si="3"/>
        <v>0</v>
      </c>
      <c r="H6" s="50">
        <f t="shared" si="3"/>
        <v>0</v>
      </c>
      <c r="I6" s="51">
        <f t="shared" si="3"/>
        <v>0</v>
      </c>
      <c r="J6" s="52">
        <f t="shared" si="3"/>
        <v>0</v>
      </c>
      <c r="K6" s="52">
        <f t="shared" si="3"/>
        <v>0</v>
      </c>
      <c r="L6" s="53">
        <f t="shared" si="3"/>
        <v>0</v>
      </c>
      <c r="M6" s="54">
        <f t="shared" si="3"/>
        <v>600</v>
      </c>
      <c r="N6" s="55">
        <f t="shared" si="3"/>
        <v>450</v>
      </c>
      <c r="O6" s="56">
        <f t="shared" si="1"/>
        <v>1050</v>
      </c>
      <c r="P6" s="48">
        <f t="shared" ref="P6:AA6" si="4">SUM(P4:P5)</f>
        <v>0</v>
      </c>
      <c r="Q6" s="48">
        <f t="shared" si="4"/>
        <v>0</v>
      </c>
      <c r="R6" s="48">
        <f t="shared" si="4"/>
        <v>0</v>
      </c>
      <c r="S6" s="49">
        <f t="shared" si="4"/>
        <v>0</v>
      </c>
      <c r="T6" s="50">
        <f t="shared" si="4"/>
        <v>0</v>
      </c>
      <c r="U6" s="50">
        <f t="shared" si="4"/>
        <v>0</v>
      </c>
      <c r="V6" s="51">
        <f t="shared" si="4"/>
        <v>0</v>
      </c>
      <c r="W6" s="52">
        <f t="shared" si="4"/>
        <v>0</v>
      </c>
      <c r="X6" s="52">
        <f t="shared" si="4"/>
        <v>0</v>
      </c>
      <c r="Y6" s="53">
        <f t="shared" si="4"/>
        <v>0</v>
      </c>
      <c r="Z6" s="54">
        <f t="shared" si="4"/>
        <v>0</v>
      </c>
      <c r="AA6" s="55">
        <f t="shared" si="4"/>
        <v>22705</v>
      </c>
      <c r="AB6" s="56">
        <f t="shared" si="2"/>
        <v>22705</v>
      </c>
    </row>
    <row r="7" ht="14.25" customHeight="1"/>
    <row r="8" ht="14.25" customHeight="1">
      <c r="A8" s="20"/>
      <c r="B8" s="21" t="s">
        <v>31</v>
      </c>
      <c r="C8" s="22" t="s">
        <v>14</v>
      </c>
      <c r="D8" s="22" t="s">
        <v>15</v>
      </c>
      <c r="E8" s="22" t="s">
        <v>16</v>
      </c>
      <c r="F8" s="23" t="s">
        <v>17</v>
      </c>
      <c r="G8" s="24" t="s">
        <v>18</v>
      </c>
      <c r="H8" s="24" t="s">
        <v>19</v>
      </c>
      <c r="I8" s="25" t="s">
        <v>20</v>
      </c>
      <c r="J8" s="26" t="s">
        <v>21</v>
      </c>
      <c r="K8" s="26" t="s">
        <v>22</v>
      </c>
      <c r="L8" s="27" t="s">
        <v>23</v>
      </c>
      <c r="M8" s="28" t="s">
        <v>24</v>
      </c>
      <c r="N8" s="29" t="s">
        <v>25</v>
      </c>
      <c r="O8" s="30" t="s">
        <v>32</v>
      </c>
      <c r="P8" s="22" t="s">
        <v>14</v>
      </c>
      <c r="Q8" s="22" t="s">
        <v>15</v>
      </c>
      <c r="R8" s="22" t="s">
        <v>16</v>
      </c>
      <c r="S8" s="23" t="s">
        <v>17</v>
      </c>
      <c r="T8" s="24" t="s">
        <v>18</v>
      </c>
      <c r="U8" s="24" t="s">
        <v>19</v>
      </c>
      <c r="V8" s="25" t="s">
        <v>20</v>
      </c>
      <c r="W8" s="26" t="s">
        <v>21</v>
      </c>
      <c r="X8" s="26" t="s">
        <v>22</v>
      </c>
      <c r="Y8" s="27" t="s">
        <v>23</v>
      </c>
      <c r="Z8" s="28" t="s">
        <v>24</v>
      </c>
      <c r="AA8" s="29" t="s">
        <v>25</v>
      </c>
      <c r="AB8" s="30" t="s">
        <v>32</v>
      </c>
    </row>
    <row r="9" ht="14.25" customHeight="1">
      <c r="B9" s="31"/>
      <c r="C9" s="32"/>
      <c r="D9" s="32"/>
      <c r="E9" s="32"/>
      <c r="F9" s="33"/>
      <c r="G9" s="32"/>
      <c r="H9" s="32"/>
      <c r="I9" s="33"/>
      <c r="J9" s="32"/>
      <c r="K9" s="32"/>
      <c r="L9" s="33"/>
      <c r="M9" s="32"/>
      <c r="N9" s="34"/>
      <c r="O9" s="35"/>
      <c r="P9" s="32"/>
      <c r="Q9" s="32"/>
      <c r="R9" s="32"/>
      <c r="S9" s="33"/>
      <c r="T9" s="32"/>
      <c r="U9" s="32"/>
      <c r="V9" s="33"/>
      <c r="W9" s="32"/>
      <c r="X9" s="32"/>
      <c r="Y9" s="33"/>
      <c r="Z9" s="32"/>
      <c r="AA9" s="34"/>
      <c r="AB9" s="35"/>
    </row>
    <row r="10" ht="14.25" customHeight="1">
      <c r="B10" s="36" t="s">
        <v>33</v>
      </c>
      <c r="C10" s="37">
        <v>0.0</v>
      </c>
      <c r="D10" s="37">
        <v>0.0</v>
      </c>
      <c r="E10" s="37">
        <v>0.0</v>
      </c>
      <c r="F10" s="38">
        <v>0.0</v>
      </c>
      <c r="G10" s="39">
        <v>0.0</v>
      </c>
      <c r="H10" s="39">
        <v>0.0</v>
      </c>
      <c r="I10" s="40">
        <v>0.0</v>
      </c>
      <c r="J10" s="41">
        <v>0.0</v>
      </c>
      <c r="K10" s="41">
        <v>0.0</v>
      </c>
      <c r="L10" s="42">
        <v>0.0</v>
      </c>
      <c r="M10" s="43">
        <v>0.0</v>
      </c>
      <c r="N10" s="44">
        <v>0.0</v>
      </c>
      <c r="O10" s="45">
        <f t="shared" ref="O10:O35" si="5">SUM(C10:N10)</f>
        <v>0</v>
      </c>
      <c r="P10" s="37">
        <v>0.0</v>
      </c>
      <c r="Q10" s="37">
        <v>0.0</v>
      </c>
      <c r="R10" s="37">
        <v>0.0</v>
      </c>
      <c r="S10" s="38">
        <v>0.0</v>
      </c>
      <c r="T10" s="39">
        <v>0.0</v>
      </c>
      <c r="U10" s="39">
        <v>0.0</v>
      </c>
      <c r="V10" s="40">
        <v>0.0</v>
      </c>
      <c r="W10" s="41">
        <v>0.0</v>
      </c>
      <c r="X10" s="41">
        <v>0.0</v>
      </c>
      <c r="Y10" s="42">
        <v>0.0</v>
      </c>
      <c r="Z10" s="43">
        <v>0.0</v>
      </c>
      <c r="AA10" s="44">
        <v>0.0</v>
      </c>
      <c r="AB10" s="45">
        <f t="shared" ref="AB10:AB16" si="6">SUM(P10:AA10)</f>
        <v>0</v>
      </c>
    </row>
    <row r="11" ht="14.25" customHeight="1">
      <c r="B11" s="36" t="s">
        <v>34</v>
      </c>
      <c r="C11" s="37">
        <v>0.0</v>
      </c>
      <c r="D11" s="37">
        <v>0.0</v>
      </c>
      <c r="E11" s="37">
        <v>0.0</v>
      </c>
      <c r="F11" s="38">
        <v>0.0</v>
      </c>
      <c r="G11" s="39">
        <v>0.0</v>
      </c>
      <c r="H11" s="39">
        <v>0.0</v>
      </c>
      <c r="I11" s="40">
        <v>0.0</v>
      </c>
      <c r="J11" s="41">
        <v>0.0</v>
      </c>
      <c r="K11" s="41">
        <v>0.0</v>
      </c>
      <c r="L11" s="42">
        <v>0.0</v>
      </c>
      <c r="M11" s="43">
        <v>0.0</v>
      </c>
      <c r="N11" s="44">
        <v>0.0</v>
      </c>
      <c r="O11" s="45">
        <f t="shared" si="5"/>
        <v>0</v>
      </c>
      <c r="P11" s="37">
        <v>0.0</v>
      </c>
      <c r="Q11" s="37">
        <v>0.0</v>
      </c>
      <c r="R11" s="37">
        <v>0.0</v>
      </c>
      <c r="S11" s="38">
        <v>0.0</v>
      </c>
      <c r="T11" s="39">
        <v>0.0</v>
      </c>
      <c r="U11" s="39">
        <v>0.0</v>
      </c>
      <c r="V11" s="40">
        <v>0.0</v>
      </c>
      <c r="W11" s="41">
        <v>0.0</v>
      </c>
      <c r="X11" s="41">
        <v>0.0</v>
      </c>
      <c r="Y11" s="42">
        <v>0.0</v>
      </c>
      <c r="Z11" s="43">
        <v>0.0</v>
      </c>
      <c r="AA11" s="44">
        <v>0.0</v>
      </c>
      <c r="AB11" s="45">
        <f t="shared" si="6"/>
        <v>0</v>
      </c>
    </row>
    <row r="12" ht="14.25" customHeight="1">
      <c r="B12" s="57" t="s">
        <v>35</v>
      </c>
      <c r="C12" s="37">
        <v>0.0</v>
      </c>
      <c r="D12" s="37">
        <v>0.0</v>
      </c>
      <c r="E12" s="37">
        <v>0.0</v>
      </c>
      <c r="F12" s="38">
        <v>0.0</v>
      </c>
      <c r="G12" s="39">
        <v>0.0</v>
      </c>
      <c r="H12" s="39">
        <v>0.0</v>
      </c>
      <c r="I12" s="40">
        <v>0.0</v>
      </c>
      <c r="J12" s="41">
        <v>0.0</v>
      </c>
      <c r="K12" s="41">
        <v>0.0</v>
      </c>
      <c r="L12" s="42">
        <v>0.0</v>
      </c>
      <c r="M12" s="43">
        <v>0.0</v>
      </c>
      <c r="N12" s="44">
        <v>0.0</v>
      </c>
      <c r="O12" s="45">
        <f t="shared" si="5"/>
        <v>0</v>
      </c>
      <c r="P12" s="37">
        <v>0.0</v>
      </c>
      <c r="Q12" s="37">
        <v>0.0</v>
      </c>
      <c r="R12" s="37">
        <v>0.0</v>
      </c>
      <c r="S12" s="38">
        <v>0.0</v>
      </c>
      <c r="T12" s="39">
        <v>0.0</v>
      </c>
      <c r="U12" s="39">
        <v>0.0</v>
      </c>
      <c r="V12" s="40">
        <v>0.0</v>
      </c>
      <c r="W12" s="41">
        <v>0.0</v>
      </c>
      <c r="X12" s="41">
        <v>0.0</v>
      </c>
      <c r="Y12" s="42">
        <v>0.0</v>
      </c>
      <c r="Z12" s="43">
        <v>0.0</v>
      </c>
      <c r="AA12" s="44">
        <v>950.6</v>
      </c>
      <c r="AB12" s="45">
        <f t="shared" si="6"/>
        <v>950.6</v>
      </c>
    </row>
    <row r="13" ht="14.25" customHeight="1">
      <c r="B13" s="57" t="s">
        <v>36</v>
      </c>
      <c r="C13" s="37">
        <v>0.0</v>
      </c>
      <c r="D13" s="37">
        <v>0.0</v>
      </c>
      <c r="E13" s="37">
        <v>0.0</v>
      </c>
      <c r="F13" s="38">
        <v>0.0</v>
      </c>
      <c r="G13" s="39">
        <v>0.0</v>
      </c>
      <c r="H13" s="39">
        <v>0.0</v>
      </c>
      <c r="I13" s="40">
        <v>0.0</v>
      </c>
      <c r="J13" s="41">
        <v>0.0</v>
      </c>
      <c r="K13" s="41">
        <v>0.0</v>
      </c>
      <c r="L13" s="42">
        <v>0.0</v>
      </c>
      <c r="M13" s="43">
        <v>0.0</v>
      </c>
      <c r="N13" s="44">
        <v>0.0</v>
      </c>
      <c r="O13" s="45">
        <f t="shared" si="5"/>
        <v>0</v>
      </c>
      <c r="P13" s="37">
        <v>0.0</v>
      </c>
      <c r="Q13" s="37">
        <v>0.0</v>
      </c>
      <c r="R13" s="37">
        <v>0.0</v>
      </c>
      <c r="S13" s="38">
        <v>0.0</v>
      </c>
      <c r="T13" s="39">
        <v>0.0</v>
      </c>
      <c r="U13" s="39">
        <v>0.0</v>
      </c>
      <c r="V13" s="40">
        <v>0.0</v>
      </c>
      <c r="W13" s="41">
        <v>0.0</v>
      </c>
      <c r="X13" s="41">
        <v>0.0</v>
      </c>
      <c r="Y13" s="42">
        <v>0.0</v>
      </c>
      <c r="Z13" s="43">
        <v>0.0</v>
      </c>
      <c r="AA13" s="44">
        <v>0.0</v>
      </c>
      <c r="AB13" s="45">
        <f t="shared" si="6"/>
        <v>0</v>
      </c>
    </row>
    <row r="14" ht="14.25" customHeight="1">
      <c r="B14" s="58" t="s">
        <v>37</v>
      </c>
      <c r="C14" s="37"/>
      <c r="D14" s="37"/>
      <c r="E14" s="37"/>
      <c r="F14" s="39"/>
      <c r="G14" s="39"/>
      <c r="H14" s="39"/>
      <c r="I14" s="41"/>
      <c r="J14" s="41"/>
      <c r="K14" s="41"/>
      <c r="L14" s="43"/>
      <c r="M14" s="43"/>
      <c r="N14" s="43"/>
      <c r="O14" s="45">
        <f t="shared" si="5"/>
        <v>0</v>
      </c>
      <c r="P14" s="37"/>
      <c r="Q14" s="37"/>
      <c r="R14" s="37"/>
      <c r="S14" s="39"/>
      <c r="T14" s="39"/>
      <c r="U14" s="39"/>
      <c r="V14" s="41"/>
      <c r="W14" s="41"/>
      <c r="X14" s="41"/>
      <c r="Y14" s="43"/>
      <c r="Z14" s="43"/>
      <c r="AA14" s="59">
        <v>1455.09</v>
      </c>
      <c r="AB14" s="45">
        <f t="shared" si="6"/>
        <v>1455.09</v>
      </c>
    </row>
    <row r="15" ht="14.25" customHeight="1">
      <c r="B15" s="36" t="s">
        <v>38</v>
      </c>
      <c r="C15" s="37">
        <v>0.0</v>
      </c>
      <c r="D15" s="37">
        <v>0.0</v>
      </c>
      <c r="E15" s="37">
        <v>0.0</v>
      </c>
      <c r="F15" s="38">
        <v>0.0</v>
      </c>
      <c r="G15" s="39">
        <v>0.0</v>
      </c>
      <c r="H15" s="39">
        <v>0.0</v>
      </c>
      <c r="I15" s="40">
        <v>0.0</v>
      </c>
      <c r="J15" s="41">
        <v>0.0</v>
      </c>
      <c r="K15" s="41">
        <v>0.0</v>
      </c>
      <c r="L15" s="42">
        <v>0.0</v>
      </c>
      <c r="M15" s="43">
        <v>0.0</v>
      </c>
      <c r="N15" s="44">
        <v>0.0</v>
      </c>
      <c r="O15" s="45">
        <f t="shared" si="5"/>
        <v>0</v>
      </c>
      <c r="P15" s="37">
        <v>0.0</v>
      </c>
      <c r="Q15" s="37">
        <v>0.0</v>
      </c>
      <c r="R15" s="37">
        <v>0.0</v>
      </c>
      <c r="S15" s="38">
        <v>0.0</v>
      </c>
      <c r="T15" s="39">
        <v>0.0</v>
      </c>
      <c r="U15" s="39">
        <v>0.0</v>
      </c>
      <c r="V15" s="40">
        <v>0.0</v>
      </c>
      <c r="W15" s="41">
        <v>0.0</v>
      </c>
      <c r="X15" s="41">
        <v>0.0</v>
      </c>
      <c r="Y15" s="42">
        <v>0.0</v>
      </c>
      <c r="Z15" s="43">
        <v>0.0</v>
      </c>
      <c r="AA15" s="44">
        <v>0.0</v>
      </c>
      <c r="AB15" s="45">
        <f t="shared" si="6"/>
        <v>0</v>
      </c>
    </row>
    <row r="16" ht="14.25" customHeight="1">
      <c r="B16" s="36" t="s">
        <v>39</v>
      </c>
      <c r="C16" s="37">
        <v>0.0</v>
      </c>
      <c r="D16" s="37">
        <v>0.0</v>
      </c>
      <c r="E16" s="37">
        <v>0.0</v>
      </c>
      <c r="F16" s="38">
        <v>0.0</v>
      </c>
      <c r="G16" s="39">
        <v>0.0</v>
      </c>
      <c r="H16" s="39">
        <v>0.0</v>
      </c>
      <c r="I16" s="40">
        <v>0.0</v>
      </c>
      <c r="J16" s="41">
        <v>0.0</v>
      </c>
      <c r="K16" s="41">
        <v>0.0</v>
      </c>
      <c r="L16" s="42">
        <v>0.0</v>
      </c>
      <c r="M16" s="43">
        <v>0.0</v>
      </c>
      <c r="N16" s="44">
        <v>0.0</v>
      </c>
      <c r="O16" s="45">
        <f t="shared" si="5"/>
        <v>0</v>
      </c>
      <c r="P16" s="37">
        <v>0.0</v>
      </c>
      <c r="Q16" s="37">
        <v>0.0</v>
      </c>
      <c r="R16" s="37">
        <v>0.0</v>
      </c>
      <c r="S16" s="38">
        <v>0.0</v>
      </c>
      <c r="T16" s="39">
        <v>0.0</v>
      </c>
      <c r="U16" s="39">
        <v>0.0</v>
      </c>
      <c r="V16" s="40">
        <v>0.0</v>
      </c>
      <c r="W16" s="41">
        <v>0.0</v>
      </c>
      <c r="X16" s="41">
        <v>0.0</v>
      </c>
      <c r="Y16" s="42">
        <v>0.0</v>
      </c>
      <c r="Z16" s="43">
        <v>0.0</v>
      </c>
      <c r="AA16" s="44">
        <v>0.0</v>
      </c>
      <c r="AB16" s="45">
        <f t="shared" si="6"/>
        <v>0</v>
      </c>
    </row>
    <row r="17" ht="14.25" customHeight="1">
      <c r="B17" s="60" t="s">
        <v>40</v>
      </c>
      <c r="C17" s="37">
        <v>0.0</v>
      </c>
      <c r="D17" s="37">
        <v>0.0</v>
      </c>
      <c r="E17" s="37">
        <v>0.0</v>
      </c>
      <c r="F17" s="38">
        <v>0.0</v>
      </c>
      <c r="G17" s="39">
        <v>0.0</v>
      </c>
      <c r="H17" s="39">
        <v>0.0</v>
      </c>
      <c r="I17" s="40">
        <v>0.0</v>
      </c>
      <c r="J17" s="41">
        <v>0.0</v>
      </c>
      <c r="K17" s="41">
        <v>0.0</v>
      </c>
      <c r="L17" s="42">
        <v>0.0</v>
      </c>
      <c r="M17" s="43">
        <v>0.0</v>
      </c>
      <c r="N17" s="44">
        <v>0.0</v>
      </c>
      <c r="O17" s="45">
        <f t="shared" si="5"/>
        <v>0</v>
      </c>
      <c r="P17" s="37">
        <v>0.0</v>
      </c>
      <c r="Q17" s="37">
        <v>0.0</v>
      </c>
      <c r="R17" s="37">
        <v>0.0</v>
      </c>
      <c r="S17" s="38">
        <v>0.0</v>
      </c>
      <c r="T17" s="39">
        <v>0.0</v>
      </c>
      <c r="U17" s="39">
        <v>0.0</v>
      </c>
      <c r="V17" s="40">
        <v>0.0</v>
      </c>
      <c r="W17" s="41">
        <v>0.0</v>
      </c>
      <c r="X17" s="41">
        <v>0.0</v>
      </c>
      <c r="Y17" s="42">
        <v>0.0</v>
      </c>
      <c r="Z17" s="43">
        <v>0.0</v>
      </c>
      <c r="AA17" s="44">
        <v>0.0</v>
      </c>
      <c r="AB17" s="61">
        <v>1769.42</v>
      </c>
    </row>
    <row r="18" ht="14.25" customHeight="1">
      <c r="B18" s="36" t="s">
        <v>41</v>
      </c>
      <c r="C18" s="37">
        <v>0.0</v>
      </c>
      <c r="D18" s="37">
        <v>0.0</v>
      </c>
      <c r="E18" s="37">
        <v>0.0</v>
      </c>
      <c r="F18" s="38">
        <v>0.0</v>
      </c>
      <c r="G18" s="39">
        <v>0.0</v>
      </c>
      <c r="H18" s="39">
        <v>0.0</v>
      </c>
      <c r="I18" s="40">
        <v>0.0</v>
      </c>
      <c r="J18" s="41">
        <v>26.02</v>
      </c>
      <c r="K18" s="41">
        <v>110.08</v>
      </c>
      <c r="L18" s="42">
        <v>137.34</v>
      </c>
      <c r="M18" s="43">
        <v>31.56</v>
      </c>
      <c r="N18" s="44">
        <v>62.3</v>
      </c>
      <c r="O18" s="45">
        <f t="shared" si="5"/>
        <v>367.3</v>
      </c>
      <c r="P18" s="62">
        <v>62.3</v>
      </c>
      <c r="Q18" s="62">
        <v>37.13</v>
      </c>
      <c r="R18" s="62">
        <v>25.46</v>
      </c>
      <c r="S18" s="62">
        <v>28.11</v>
      </c>
      <c r="T18" s="62">
        <v>21.2</v>
      </c>
      <c r="U18" s="62">
        <v>20.5</v>
      </c>
      <c r="V18" s="62">
        <v>22.27</v>
      </c>
      <c r="W18" s="62">
        <v>21.6</v>
      </c>
      <c r="X18" s="62">
        <v>21.6</v>
      </c>
      <c r="Y18" s="62">
        <v>21.65</v>
      </c>
      <c r="Z18" s="62">
        <v>24.34</v>
      </c>
      <c r="AA18" s="62">
        <v>30.76</v>
      </c>
      <c r="AB18" s="45">
        <f t="shared" ref="AB18:AB35" si="7">SUM(P18:AA18)</f>
        <v>336.92</v>
      </c>
    </row>
    <row r="19" ht="14.25" customHeight="1">
      <c r="B19" s="36" t="s">
        <v>42</v>
      </c>
      <c r="C19" s="37">
        <v>0.0</v>
      </c>
      <c r="D19" s="37">
        <v>0.0</v>
      </c>
      <c r="E19" s="37">
        <v>0.0</v>
      </c>
      <c r="F19" s="38">
        <v>0.0</v>
      </c>
      <c r="G19" s="39">
        <v>0.0</v>
      </c>
      <c r="H19" s="39">
        <v>0.0</v>
      </c>
      <c r="I19" s="40">
        <v>0.0</v>
      </c>
      <c r="J19" s="41">
        <v>36.38</v>
      </c>
      <c r="K19" s="41">
        <v>36.47</v>
      </c>
      <c r="L19" s="42">
        <v>34.52</v>
      </c>
      <c r="M19" s="43">
        <v>32.21</v>
      </c>
      <c r="N19" s="44">
        <v>45.6</v>
      </c>
      <c r="O19" s="45">
        <f t="shared" si="5"/>
        <v>185.18</v>
      </c>
      <c r="P19" s="37">
        <v>0.0</v>
      </c>
      <c r="Q19" s="37">
        <v>0.0</v>
      </c>
      <c r="R19" s="37">
        <v>0.0</v>
      </c>
      <c r="S19" s="38">
        <v>0.0</v>
      </c>
      <c r="T19" s="39">
        <v>0.0</v>
      </c>
      <c r="U19" s="39">
        <v>0.0</v>
      </c>
      <c r="V19" s="40">
        <v>0.0</v>
      </c>
      <c r="W19" s="41"/>
      <c r="X19" s="41"/>
      <c r="Y19" s="42"/>
      <c r="Z19" s="43"/>
      <c r="AA19" s="63">
        <v>806.46</v>
      </c>
      <c r="AB19" s="45">
        <f t="shared" si="7"/>
        <v>806.46</v>
      </c>
    </row>
    <row r="20" ht="14.25" customHeight="1">
      <c r="B20" s="58" t="s">
        <v>43</v>
      </c>
      <c r="C20" s="37">
        <v>0.0</v>
      </c>
      <c r="D20" s="37">
        <v>0.0</v>
      </c>
      <c r="E20" s="37">
        <v>0.0</v>
      </c>
      <c r="F20" s="38">
        <v>0.0</v>
      </c>
      <c r="G20" s="39">
        <v>0.0</v>
      </c>
      <c r="H20" s="39">
        <v>0.0</v>
      </c>
      <c r="I20" s="40">
        <v>0.0</v>
      </c>
      <c r="J20" s="41">
        <v>0.0</v>
      </c>
      <c r="K20" s="41">
        <v>0.0</v>
      </c>
      <c r="L20" s="42">
        <v>0.0</v>
      </c>
      <c r="M20" s="43">
        <v>0.0</v>
      </c>
      <c r="N20" s="44">
        <v>0.0</v>
      </c>
      <c r="O20" s="45">
        <f t="shared" si="5"/>
        <v>0</v>
      </c>
      <c r="P20" s="64">
        <v>50.0</v>
      </c>
      <c r="Q20" s="64">
        <v>50.0</v>
      </c>
      <c r="R20" s="64">
        <v>50.0</v>
      </c>
      <c r="S20" s="65">
        <v>50.0</v>
      </c>
      <c r="T20" s="66">
        <v>50.0</v>
      </c>
      <c r="U20" s="66">
        <v>50.0</v>
      </c>
      <c r="V20" s="67">
        <v>50.0</v>
      </c>
      <c r="W20" s="68">
        <v>50.0</v>
      </c>
      <c r="X20" s="68">
        <v>50.0</v>
      </c>
      <c r="Y20" s="69">
        <v>50.0</v>
      </c>
      <c r="Z20" s="59">
        <v>50.0</v>
      </c>
      <c r="AA20" s="63">
        <v>50.0</v>
      </c>
      <c r="AB20" s="45">
        <f t="shared" si="7"/>
        <v>600</v>
      </c>
    </row>
    <row r="21" ht="14.25" customHeight="1">
      <c r="B21" s="36" t="s">
        <v>44</v>
      </c>
      <c r="C21" s="37">
        <v>0.0</v>
      </c>
      <c r="D21" s="37">
        <v>0.0</v>
      </c>
      <c r="E21" s="37">
        <v>0.0</v>
      </c>
      <c r="F21" s="38">
        <v>0.0</v>
      </c>
      <c r="G21" s="39">
        <v>0.0</v>
      </c>
      <c r="H21" s="39">
        <v>0.0</v>
      </c>
      <c r="I21" s="40">
        <v>0.0</v>
      </c>
      <c r="J21" s="41">
        <v>0.0</v>
      </c>
      <c r="K21" s="41">
        <v>0.0</v>
      </c>
      <c r="L21" s="42">
        <v>0.0</v>
      </c>
      <c r="M21" s="43">
        <v>0.0</v>
      </c>
      <c r="N21" s="44">
        <v>0.0</v>
      </c>
      <c r="O21" s="45">
        <f t="shared" si="5"/>
        <v>0</v>
      </c>
      <c r="P21" s="37">
        <v>0.0</v>
      </c>
      <c r="Q21" s="37">
        <v>0.0</v>
      </c>
      <c r="R21" s="37">
        <v>0.0</v>
      </c>
      <c r="S21" s="38">
        <v>0.0</v>
      </c>
      <c r="T21" s="39">
        <v>0.0</v>
      </c>
      <c r="U21" s="39">
        <v>0.0</v>
      </c>
      <c r="V21" s="40">
        <v>0.0</v>
      </c>
      <c r="W21" s="41">
        <v>0.0</v>
      </c>
      <c r="X21" s="41">
        <v>0.0</v>
      </c>
      <c r="Y21" s="42">
        <v>0.0</v>
      </c>
      <c r="Z21" s="43">
        <v>0.0</v>
      </c>
      <c r="AA21" s="44">
        <v>0.0</v>
      </c>
      <c r="AB21" s="45">
        <f t="shared" si="7"/>
        <v>0</v>
      </c>
    </row>
    <row r="22" ht="14.25" customHeight="1">
      <c r="B22" s="57" t="s">
        <v>45</v>
      </c>
      <c r="C22" s="37">
        <v>0.0</v>
      </c>
      <c r="D22" s="37">
        <v>0.0</v>
      </c>
      <c r="E22" s="37">
        <v>0.0</v>
      </c>
      <c r="F22" s="38">
        <v>0.0</v>
      </c>
      <c r="G22" s="39">
        <v>0.0</v>
      </c>
      <c r="H22" s="39">
        <v>0.0</v>
      </c>
      <c r="I22" s="40">
        <v>0.0</v>
      </c>
      <c r="J22" s="41">
        <v>0.0</v>
      </c>
      <c r="K22" s="41">
        <v>720.0</v>
      </c>
      <c r="L22" s="42">
        <v>690.0</v>
      </c>
      <c r="M22" s="43">
        <v>240.0</v>
      </c>
      <c r="N22" s="44">
        <v>240.0</v>
      </c>
      <c r="O22" s="45">
        <f t="shared" si="5"/>
        <v>1890</v>
      </c>
      <c r="P22" s="37">
        <v>0.0</v>
      </c>
      <c r="Q22" s="37">
        <v>0.0</v>
      </c>
      <c r="R22" s="37">
        <v>0.0</v>
      </c>
      <c r="S22" s="38">
        <v>0.0</v>
      </c>
      <c r="T22" s="39">
        <v>0.0</v>
      </c>
      <c r="U22" s="39">
        <v>0.0</v>
      </c>
      <c r="V22" s="40">
        <v>0.0</v>
      </c>
      <c r="W22" s="41">
        <v>0.0</v>
      </c>
      <c r="X22" s="41"/>
      <c r="Y22" s="42"/>
      <c r="Z22" s="43"/>
      <c r="AA22" s="44"/>
      <c r="AB22" s="45">
        <f t="shared" si="7"/>
        <v>0</v>
      </c>
    </row>
    <row r="23" ht="14.25" customHeight="1">
      <c r="B23" s="36" t="s">
        <v>46</v>
      </c>
      <c r="C23" s="37">
        <v>0.0</v>
      </c>
      <c r="D23" s="37">
        <v>0.0</v>
      </c>
      <c r="E23" s="37">
        <v>0.0</v>
      </c>
      <c r="F23" s="38">
        <v>0.0</v>
      </c>
      <c r="G23" s="39">
        <v>0.0</v>
      </c>
      <c r="H23" s="39">
        <v>0.0</v>
      </c>
      <c r="I23" s="40">
        <v>0.0</v>
      </c>
      <c r="J23" s="41">
        <v>0.0</v>
      </c>
      <c r="K23" s="41">
        <v>0.0</v>
      </c>
      <c r="L23" s="42">
        <v>0.0</v>
      </c>
      <c r="M23" s="43">
        <v>0.0</v>
      </c>
      <c r="N23" s="44">
        <v>0.0</v>
      </c>
      <c r="O23" s="45">
        <f t="shared" si="5"/>
        <v>0</v>
      </c>
      <c r="P23" s="37">
        <v>0.0</v>
      </c>
      <c r="Q23" s="37">
        <v>0.0</v>
      </c>
      <c r="R23" s="37">
        <v>0.0</v>
      </c>
      <c r="S23" s="38">
        <v>0.0</v>
      </c>
      <c r="T23" s="39">
        <v>0.0</v>
      </c>
      <c r="U23" s="39">
        <v>0.0</v>
      </c>
      <c r="V23" s="40">
        <v>0.0</v>
      </c>
      <c r="W23" s="41">
        <v>0.0</v>
      </c>
      <c r="X23" s="41">
        <v>0.0</v>
      </c>
      <c r="Y23" s="42">
        <v>0.0</v>
      </c>
      <c r="Z23" s="43">
        <v>0.0</v>
      </c>
      <c r="AA23" s="44">
        <v>0.0</v>
      </c>
      <c r="AB23" s="45">
        <f t="shared" si="7"/>
        <v>0</v>
      </c>
    </row>
    <row r="24" ht="14.25" customHeight="1">
      <c r="B24" s="36" t="s">
        <v>47</v>
      </c>
      <c r="C24" s="37">
        <v>0.0</v>
      </c>
      <c r="D24" s="37">
        <v>20.0</v>
      </c>
      <c r="E24" s="37">
        <v>0.0</v>
      </c>
      <c r="F24" s="38">
        <v>0.0</v>
      </c>
      <c r="G24" s="39">
        <v>0.0</v>
      </c>
      <c r="H24" s="39">
        <v>0.0</v>
      </c>
      <c r="I24" s="40">
        <v>0.0</v>
      </c>
      <c r="J24" s="41">
        <v>0.0</v>
      </c>
      <c r="K24" s="41">
        <v>0.0</v>
      </c>
      <c r="L24" s="42">
        <v>0.0</v>
      </c>
      <c r="M24" s="43">
        <v>0.0</v>
      </c>
      <c r="N24" s="44">
        <v>220.0</v>
      </c>
      <c r="O24" s="45">
        <f t="shared" si="5"/>
        <v>240</v>
      </c>
      <c r="P24" s="37">
        <v>63.42</v>
      </c>
      <c r="Q24" s="37">
        <v>281.27</v>
      </c>
      <c r="R24" s="37">
        <v>60.49</v>
      </c>
      <c r="S24" s="38">
        <v>49.49</v>
      </c>
      <c r="T24" s="39">
        <v>76.98</v>
      </c>
      <c r="U24" s="39">
        <v>98.0</v>
      </c>
      <c r="V24" s="40">
        <v>0.0</v>
      </c>
      <c r="W24" s="41">
        <v>0.0</v>
      </c>
      <c r="X24" s="41">
        <v>0.0</v>
      </c>
      <c r="Y24" s="42">
        <v>0.0</v>
      </c>
      <c r="Z24" s="43">
        <v>0.0</v>
      </c>
      <c r="AA24" s="44"/>
      <c r="AB24" s="45">
        <f t="shared" si="7"/>
        <v>629.65</v>
      </c>
    </row>
    <row r="25" ht="14.25" customHeight="1">
      <c r="B25" s="36" t="s">
        <v>48</v>
      </c>
      <c r="C25" s="37">
        <v>0.0</v>
      </c>
      <c r="D25" s="37">
        <v>0.0</v>
      </c>
      <c r="E25" s="37">
        <v>0.0</v>
      </c>
      <c r="F25" s="38">
        <v>0.0</v>
      </c>
      <c r="G25" s="39">
        <v>0.0</v>
      </c>
      <c r="H25" s="39">
        <v>0.0</v>
      </c>
      <c r="I25" s="40">
        <v>0.0</v>
      </c>
      <c r="J25" s="41">
        <v>0.0</v>
      </c>
      <c r="K25" s="41">
        <v>0.0</v>
      </c>
      <c r="L25" s="42">
        <v>0.0</v>
      </c>
      <c r="M25" s="43">
        <v>0.0</v>
      </c>
      <c r="N25" s="44">
        <v>0.0</v>
      </c>
      <c r="O25" s="45">
        <f t="shared" si="5"/>
        <v>0</v>
      </c>
      <c r="P25" s="37">
        <v>0.0</v>
      </c>
      <c r="Q25" s="37">
        <v>0.0</v>
      </c>
      <c r="R25" s="37">
        <v>0.0</v>
      </c>
      <c r="S25" s="38">
        <v>0.0</v>
      </c>
      <c r="T25" s="39">
        <v>0.0</v>
      </c>
      <c r="U25" s="39">
        <v>0.0</v>
      </c>
      <c r="V25" s="40">
        <v>0.0</v>
      </c>
      <c r="W25" s="41">
        <v>0.0</v>
      </c>
      <c r="X25" s="41">
        <v>0.0</v>
      </c>
      <c r="Y25" s="42">
        <v>0.0</v>
      </c>
      <c r="Z25" s="43">
        <v>0.0</v>
      </c>
      <c r="AA25" s="44">
        <v>0.0</v>
      </c>
      <c r="AB25" s="45">
        <f t="shared" si="7"/>
        <v>0</v>
      </c>
    </row>
    <row r="26" ht="14.25" customHeight="1">
      <c r="B26" s="36" t="s">
        <v>49</v>
      </c>
      <c r="C26" s="37">
        <v>0.0</v>
      </c>
      <c r="D26" s="37">
        <v>0.0</v>
      </c>
      <c r="E26" s="37">
        <v>0.0</v>
      </c>
      <c r="F26" s="38">
        <v>0.0</v>
      </c>
      <c r="G26" s="39">
        <v>0.0</v>
      </c>
      <c r="H26" s="39">
        <v>0.0</v>
      </c>
      <c r="I26" s="40">
        <v>0.0</v>
      </c>
      <c r="J26" s="41">
        <v>0.0</v>
      </c>
      <c r="K26" s="41">
        <v>0.0</v>
      </c>
      <c r="L26" s="42">
        <v>0.0</v>
      </c>
      <c r="M26" s="43">
        <v>0.0</v>
      </c>
      <c r="N26" s="44">
        <v>0.0</v>
      </c>
      <c r="O26" s="45">
        <f t="shared" si="5"/>
        <v>0</v>
      </c>
      <c r="P26" s="37">
        <v>0.0</v>
      </c>
      <c r="Q26" s="37">
        <v>0.0</v>
      </c>
      <c r="R26" s="37">
        <v>0.0</v>
      </c>
      <c r="S26" s="38">
        <v>0.0</v>
      </c>
      <c r="T26" s="39">
        <v>0.0</v>
      </c>
      <c r="U26" s="39">
        <v>0.0</v>
      </c>
      <c r="V26" s="40">
        <v>0.0</v>
      </c>
      <c r="W26" s="41">
        <v>0.0</v>
      </c>
      <c r="X26" s="41">
        <v>0.0</v>
      </c>
      <c r="Y26" s="42">
        <v>0.0</v>
      </c>
      <c r="Z26" s="43">
        <v>0.0</v>
      </c>
      <c r="AA26" s="44">
        <v>0.0</v>
      </c>
      <c r="AB26" s="45">
        <f t="shared" si="7"/>
        <v>0</v>
      </c>
    </row>
    <row r="27" ht="14.25" customHeight="1">
      <c r="B27" s="36" t="s">
        <v>50</v>
      </c>
      <c r="C27" s="37">
        <v>0.0</v>
      </c>
      <c r="D27" s="37">
        <v>0.0</v>
      </c>
      <c r="E27" s="37">
        <v>0.0</v>
      </c>
      <c r="F27" s="38">
        <v>0.0</v>
      </c>
      <c r="G27" s="39">
        <v>0.0</v>
      </c>
      <c r="H27" s="39">
        <v>0.0</v>
      </c>
      <c r="I27" s="40">
        <v>0.0</v>
      </c>
      <c r="J27" s="41">
        <v>0.0</v>
      </c>
      <c r="K27" s="41">
        <v>0.0</v>
      </c>
      <c r="L27" s="42">
        <v>0.0</v>
      </c>
      <c r="M27" s="43">
        <v>0.0</v>
      </c>
      <c r="N27" s="44">
        <v>0.0</v>
      </c>
      <c r="O27" s="45">
        <f t="shared" si="5"/>
        <v>0</v>
      </c>
      <c r="P27" s="37">
        <v>0.0</v>
      </c>
      <c r="Q27" s="37">
        <v>0.0</v>
      </c>
      <c r="R27" s="37">
        <v>0.0</v>
      </c>
      <c r="S27" s="38">
        <v>0.0</v>
      </c>
      <c r="T27" s="39">
        <v>0.0</v>
      </c>
      <c r="U27" s="39">
        <v>0.0</v>
      </c>
      <c r="V27" s="40">
        <v>0.0</v>
      </c>
      <c r="W27" s="41">
        <v>0.0</v>
      </c>
      <c r="X27" s="41">
        <v>0.0</v>
      </c>
      <c r="Y27" s="42">
        <v>0.0</v>
      </c>
      <c r="Z27" s="43">
        <v>0.0</v>
      </c>
      <c r="AA27" s="44">
        <v>0.0</v>
      </c>
      <c r="AB27" s="45">
        <f t="shared" si="7"/>
        <v>0</v>
      </c>
    </row>
    <row r="28" ht="14.25" customHeight="1">
      <c r="B28" s="36" t="s">
        <v>51</v>
      </c>
      <c r="C28" s="37">
        <v>0.0</v>
      </c>
      <c r="D28" s="37">
        <v>0.0</v>
      </c>
      <c r="E28" s="37">
        <v>0.0</v>
      </c>
      <c r="F28" s="38">
        <v>0.0</v>
      </c>
      <c r="G28" s="39">
        <v>0.0</v>
      </c>
      <c r="H28" s="39">
        <v>0.0</v>
      </c>
      <c r="I28" s="40">
        <v>0.0</v>
      </c>
      <c r="J28" s="41">
        <v>0.0</v>
      </c>
      <c r="K28" s="41">
        <v>0.0</v>
      </c>
      <c r="L28" s="42">
        <v>0.0</v>
      </c>
      <c r="M28" s="43">
        <v>0.0</v>
      </c>
      <c r="N28" s="44">
        <v>0.0</v>
      </c>
      <c r="O28" s="45">
        <f t="shared" si="5"/>
        <v>0</v>
      </c>
      <c r="P28" s="37">
        <v>0.0</v>
      </c>
      <c r="Q28" s="37">
        <v>0.0</v>
      </c>
      <c r="R28" s="37">
        <v>0.0</v>
      </c>
      <c r="S28" s="38">
        <v>0.0</v>
      </c>
      <c r="T28" s="39">
        <v>0.0</v>
      </c>
      <c r="U28" s="39">
        <v>0.0</v>
      </c>
      <c r="V28" s="40">
        <v>0.0</v>
      </c>
      <c r="W28" s="41">
        <v>0.0</v>
      </c>
      <c r="X28" s="41">
        <v>0.0</v>
      </c>
      <c r="Y28" s="42">
        <v>0.0</v>
      </c>
      <c r="Z28" s="43">
        <v>0.0</v>
      </c>
      <c r="AA28" s="44">
        <v>0.0</v>
      </c>
      <c r="AB28" s="45">
        <f t="shared" si="7"/>
        <v>0</v>
      </c>
    </row>
    <row r="29" ht="14.25" customHeight="1">
      <c r="B29" s="36" t="s">
        <v>46</v>
      </c>
      <c r="C29" s="37">
        <v>0.0</v>
      </c>
      <c r="D29" s="37">
        <v>0.0</v>
      </c>
      <c r="E29" s="37">
        <v>0.0</v>
      </c>
      <c r="F29" s="38">
        <v>0.0</v>
      </c>
      <c r="G29" s="39">
        <v>0.0</v>
      </c>
      <c r="H29" s="39">
        <v>0.0</v>
      </c>
      <c r="I29" s="40">
        <v>0.0</v>
      </c>
      <c r="J29" s="41">
        <v>0.0</v>
      </c>
      <c r="K29" s="41">
        <v>0.0</v>
      </c>
      <c r="L29" s="42">
        <v>0.0</v>
      </c>
      <c r="M29" s="43">
        <v>0.0</v>
      </c>
      <c r="N29" s="44">
        <v>0.0</v>
      </c>
      <c r="O29" s="45">
        <f t="shared" si="5"/>
        <v>0</v>
      </c>
      <c r="P29" s="37">
        <v>0.0</v>
      </c>
      <c r="Q29" s="37">
        <v>0.0</v>
      </c>
      <c r="R29" s="37">
        <v>0.0</v>
      </c>
      <c r="S29" s="38">
        <v>0.0</v>
      </c>
      <c r="T29" s="39">
        <v>0.0</v>
      </c>
      <c r="U29" s="39">
        <v>0.0</v>
      </c>
      <c r="V29" s="40">
        <v>0.0</v>
      </c>
      <c r="W29" s="41">
        <v>0.0</v>
      </c>
      <c r="X29" s="41">
        <v>0.0</v>
      </c>
      <c r="Y29" s="42">
        <v>0.0</v>
      </c>
      <c r="Z29" s="43">
        <v>0.0</v>
      </c>
      <c r="AA29" s="44">
        <v>0.0</v>
      </c>
      <c r="AB29" s="45">
        <f t="shared" si="7"/>
        <v>0</v>
      </c>
    </row>
    <row r="30" ht="14.25" customHeight="1">
      <c r="B30" s="57" t="s">
        <v>52</v>
      </c>
      <c r="C30" s="37">
        <v>0.0</v>
      </c>
      <c r="D30" s="37">
        <v>0.0</v>
      </c>
      <c r="E30" s="37">
        <v>0.0</v>
      </c>
      <c r="F30" s="38">
        <v>210.36</v>
      </c>
      <c r="G30" s="39">
        <v>0.0</v>
      </c>
      <c r="H30" s="39">
        <v>0.0</v>
      </c>
      <c r="I30" s="40">
        <v>0.0</v>
      </c>
      <c r="J30" s="41">
        <v>0.0</v>
      </c>
      <c r="K30" s="41">
        <v>0.0</v>
      </c>
      <c r="L30" s="42">
        <v>11713.94</v>
      </c>
      <c r="M30" s="43">
        <v>35.64</v>
      </c>
      <c r="N30" s="44">
        <v>0.0</v>
      </c>
      <c r="O30" s="45">
        <f t="shared" si="5"/>
        <v>11959.94</v>
      </c>
      <c r="P30" s="37">
        <v>0.0</v>
      </c>
      <c r="Q30" s="37">
        <v>0.0</v>
      </c>
      <c r="R30" s="37">
        <v>0.0</v>
      </c>
      <c r="S30" s="38"/>
      <c r="T30" s="39">
        <v>0.0</v>
      </c>
      <c r="U30" s="39">
        <v>0.0</v>
      </c>
      <c r="V30" s="40">
        <v>0.0</v>
      </c>
      <c r="W30" s="41">
        <v>0.0</v>
      </c>
      <c r="X30" s="41">
        <v>0.0</v>
      </c>
      <c r="Y30" s="42"/>
      <c r="Z30" s="43"/>
      <c r="AA30" s="44">
        <v>0.0</v>
      </c>
      <c r="AB30" s="45">
        <f t="shared" si="7"/>
        <v>0</v>
      </c>
    </row>
    <row r="31" ht="14.25" customHeight="1">
      <c r="B31" s="57" t="s">
        <v>53</v>
      </c>
      <c r="C31" s="37">
        <v>0.0</v>
      </c>
      <c r="D31" s="37">
        <v>0.0</v>
      </c>
      <c r="E31" s="37">
        <v>0.0</v>
      </c>
      <c r="F31" s="38">
        <v>0.0</v>
      </c>
      <c r="G31" s="39">
        <v>0.0</v>
      </c>
      <c r="H31" s="39">
        <v>0.0</v>
      </c>
      <c r="I31" s="40">
        <v>0.0</v>
      </c>
      <c r="J31" s="41">
        <v>0.0</v>
      </c>
      <c r="K31" s="41">
        <v>1440.43</v>
      </c>
      <c r="L31" s="42">
        <v>142.99</v>
      </c>
      <c r="M31" s="43">
        <v>0.0</v>
      </c>
      <c r="N31" s="44">
        <v>0.0</v>
      </c>
      <c r="O31" s="45">
        <f t="shared" si="5"/>
        <v>1583.42</v>
      </c>
      <c r="P31" s="37">
        <v>0.0</v>
      </c>
      <c r="Q31" s="37">
        <v>0.0</v>
      </c>
      <c r="R31" s="37">
        <v>0.0</v>
      </c>
      <c r="S31" s="38">
        <v>328.9</v>
      </c>
      <c r="T31" s="39">
        <v>49.96</v>
      </c>
      <c r="U31" s="39">
        <v>54.17</v>
      </c>
      <c r="V31" s="40">
        <v>75.39</v>
      </c>
      <c r="W31" s="41">
        <v>72.59</v>
      </c>
      <c r="X31" s="41">
        <v>19.79</v>
      </c>
      <c r="Y31" s="42">
        <v>89.15</v>
      </c>
      <c r="Z31" s="43">
        <v>106.99</v>
      </c>
      <c r="AA31" s="44">
        <v>152.9</v>
      </c>
      <c r="AB31" s="45">
        <f t="shared" si="7"/>
        <v>949.84</v>
      </c>
    </row>
    <row r="32" ht="14.25" customHeight="1">
      <c r="B32" s="57" t="s">
        <v>54</v>
      </c>
      <c r="C32" s="37">
        <v>0.0</v>
      </c>
      <c r="D32" s="37">
        <v>0.0</v>
      </c>
      <c r="E32" s="37">
        <v>0.0</v>
      </c>
      <c r="F32" s="38">
        <v>0.0</v>
      </c>
      <c r="G32" s="39">
        <v>0.0</v>
      </c>
      <c r="H32" s="39">
        <v>0.0</v>
      </c>
      <c r="I32" s="40">
        <v>0.0</v>
      </c>
      <c r="J32" s="41">
        <v>0.0</v>
      </c>
      <c r="K32" s="41">
        <v>0.0</v>
      </c>
      <c r="L32" s="42">
        <v>2225.0</v>
      </c>
      <c r="M32" s="43">
        <v>13.0</v>
      </c>
      <c r="N32" s="44">
        <v>215.0</v>
      </c>
      <c r="O32" s="45">
        <f t="shared" si="5"/>
        <v>2453</v>
      </c>
      <c r="P32" s="37">
        <v>0.0</v>
      </c>
      <c r="Q32" s="37">
        <v>0.0</v>
      </c>
      <c r="R32" s="37">
        <v>0.0</v>
      </c>
      <c r="S32" s="38">
        <v>0.0</v>
      </c>
      <c r="T32" s="39">
        <v>0.0</v>
      </c>
      <c r="U32" s="39">
        <v>0.0</v>
      </c>
      <c r="V32" s="40">
        <v>0.0</v>
      </c>
      <c r="W32" s="41">
        <v>0.0</v>
      </c>
      <c r="X32" s="41">
        <v>0.0</v>
      </c>
      <c r="Y32" s="42"/>
      <c r="Z32" s="43"/>
      <c r="AA32" s="44"/>
      <c r="AB32" s="45">
        <f t="shared" si="7"/>
        <v>0</v>
      </c>
    </row>
    <row r="33" ht="14.25" customHeight="1">
      <c r="B33" s="57" t="s">
        <v>55</v>
      </c>
      <c r="C33" s="37">
        <v>0.0</v>
      </c>
      <c r="D33" s="37">
        <v>0.0</v>
      </c>
      <c r="E33" s="37">
        <v>0.0</v>
      </c>
      <c r="F33" s="38">
        <v>0.0</v>
      </c>
      <c r="G33" s="39">
        <v>0.0</v>
      </c>
      <c r="H33" s="39">
        <v>0.0</v>
      </c>
      <c r="I33" s="40">
        <v>0.0</v>
      </c>
      <c r="J33" s="41">
        <v>0.0</v>
      </c>
      <c r="K33" s="41">
        <v>0.0</v>
      </c>
      <c r="L33" s="42">
        <v>0.0</v>
      </c>
      <c r="M33" s="43">
        <v>0.0</v>
      </c>
      <c r="N33" s="44">
        <v>0.0</v>
      </c>
      <c r="O33" s="45">
        <f t="shared" si="5"/>
        <v>0</v>
      </c>
      <c r="P33" s="37">
        <v>0.0</v>
      </c>
      <c r="Q33" s="37">
        <v>0.0</v>
      </c>
      <c r="R33" s="37">
        <v>0.0</v>
      </c>
      <c r="S33" s="38">
        <v>318.47</v>
      </c>
      <c r="T33" s="39">
        <v>0.0</v>
      </c>
      <c r="U33" s="39">
        <v>0.0</v>
      </c>
      <c r="V33" s="40">
        <v>0.0</v>
      </c>
      <c r="W33" s="68">
        <v>236.55</v>
      </c>
      <c r="X33" s="41">
        <v>0.0</v>
      </c>
      <c r="Y33" s="69">
        <v>89.87</v>
      </c>
      <c r="Z33" s="43">
        <v>0.0</v>
      </c>
      <c r="AA33" s="44">
        <v>0.0</v>
      </c>
      <c r="AB33" s="45">
        <f t="shared" si="7"/>
        <v>644.89</v>
      </c>
    </row>
    <row r="34" ht="14.25" customHeight="1">
      <c r="B34" s="36" t="s">
        <v>56</v>
      </c>
      <c r="C34" s="37">
        <v>0.0</v>
      </c>
      <c r="D34" s="37">
        <v>0.0</v>
      </c>
      <c r="E34" s="37">
        <v>0.0</v>
      </c>
      <c r="F34" s="38">
        <v>0.0</v>
      </c>
      <c r="G34" s="39">
        <v>0.0</v>
      </c>
      <c r="H34" s="39">
        <v>0.0</v>
      </c>
      <c r="I34" s="40">
        <v>0.0</v>
      </c>
      <c r="J34" s="41">
        <v>0.0</v>
      </c>
      <c r="K34" s="41">
        <v>0.0</v>
      </c>
      <c r="L34" s="42">
        <v>0.0</v>
      </c>
      <c r="M34" s="43">
        <v>0.0</v>
      </c>
      <c r="N34" s="44">
        <v>0.0</v>
      </c>
      <c r="O34" s="45">
        <f t="shared" si="5"/>
        <v>0</v>
      </c>
      <c r="P34" s="37">
        <v>0.0</v>
      </c>
      <c r="Q34" s="37">
        <v>0.0</v>
      </c>
      <c r="R34" s="37">
        <v>0.0</v>
      </c>
      <c r="S34" s="38">
        <v>0.0</v>
      </c>
      <c r="T34" s="39">
        <v>0.0</v>
      </c>
      <c r="U34" s="39">
        <v>0.0</v>
      </c>
      <c r="V34" s="40">
        <v>0.0</v>
      </c>
      <c r="W34" s="41">
        <v>0.0</v>
      </c>
      <c r="X34" s="41">
        <v>0.0</v>
      </c>
      <c r="Y34" s="42">
        <v>0.0</v>
      </c>
      <c r="Z34" s="43">
        <v>0.0</v>
      </c>
      <c r="AA34" s="44">
        <v>0.0</v>
      </c>
      <c r="AB34" s="45">
        <f t="shared" si="7"/>
        <v>0</v>
      </c>
    </row>
    <row r="35" ht="14.25" customHeight="1">
      <c r="B35" s="47" t="s">
        <v>57</v>
      </c>
      <c r="C35" s="48">
        <f t="shared" ref="C35:N35" si="8">SUM(C10:C34)</f>
        <v>0</v>
      </c>
      <c r="D35" s="48">
        <f t="shared" si="8"/>
        <v>20</v>
      </c>
      <c r="E35" s="48">
        <f t="shared" si="8"/>
        <v>0</v>
      </c>
      <c r="F35" s="49">
        <f t="shared" si="8"/>
        <v>210.36</v>
      </c>
      <c r="G35" s="50">
        <f t="shared" si="8"/>
        <v>0</v>
      </c>
      <c r="H35" s="50">
        <f t="shared" si="8"/>
        <v>0</v>
      </c>
      <c r="I35" s="51">
        <f t="shared" si="8"/>
        <v>0</v>
      </c>
      <c r="J35" s="52">
        <f t="shared" si="8"/>
        <v>62.4</v>
      </c>
      <c r="K35" s="52">
        <f t="shared" si="8"/>
        <v>2306.98</v>
      </c>
      <c r="L35" s="53">
        <f t="shared" si="8"/>
        <v>14943.79</v>
      </c>
      <c r="M35" s="54">
        <f t="shared" si="8"/>
        <v>352.41</v>
      </c>
      <c r="N35" s="55">
        <f t="shared" si="8"/>
        <v>782.9</v>
      </c>
      <c r="O35" s="56">
        <f t="shared" si="5"/>
        <v>18678.84</v>
      </c>
      <c r="P35" s="48">
        <f t="shared" ref="P35:AA35" si="9">SUM(P10:P34)</f>
        <v>175.72</v>
      </c>
      <c r="Q35" s="48">
        <f t="shared" si="9"/>
        <v>368.4</v>
      </c>
      <c r="R35" s="48">
        <f t="shared" si="9"/>
        <v>135.95</v>
      </c>
      <c r="S35" s="49">
        <f t="shared" si="9"/>
        <v>774.97</v>
      </c>
      <c r="T35" s="50">
        <f t="shared" si="9"/>
        <v>198.14</v>
      </c>
      <c r="U35" s="50">
        <f t="shared" si="9"/>
        <v>222.67</v>
      </c>
      <c r="V35" s="51">
        <f t="shared" si="9"/>
        <v>147.66</v>
      </c>
      <c r="W35" s="52">
        <f t="shared" si="9"/>
        <v>380.74</v>
      </c>
      <c r="X35" s="52">
        <f t="shared" si="9"/>
        <v>91.39</v>
      </c>
      <c r="Y35" s="53">
        <f t="shared" si="9"/>
        <v>250.67</v>
      </c>
      <c r="Z35" s="54">
        <f t="shared" si="9"/>
        <v>181.33</v>
      </c>
      <c r="AA35" s="55">
        <f t="shared" si="9"/>
        <v>3445.81</v>
      </c>
      <c r="AB35" s="56">
        <f t="shared" si="7"/>
        <v>6373.45</v>
      </c>
    </row>
    <row r="36" ht="14.25" customHeight="1"/>
    <row r="37" ht="14.25" customHeight="1">
      <c r="B37" s="70" t="s">
        <v>58</v>
      </c>
      <c r="C37" s="71">
        <f t="shared" ref="C37:AB37" si="10">C6-C35</f>
        <v>0</v>
      </c>
      <c r="D37" s="71">
        <f t="shared" si="10"/>
        <v>-20</v>
      </c>
      <c r="E37" s="71">
        <f t="shared" si="10"/>
        <v>0</v>
      </c>
      <c r="F37" s="72">
        <f t="shared" si="10"/>
        <v>-210.36</v>
      </c>
      <c r="G37" s="73">
        <f t="shared" si="10"/>
        <v>0</v>
      </c>
      <c r="H37" s="73">
        <f t="shared" si="10"/>
        <v>0</v>
      </c>
      <c r="I37" s="74">
        <f t="shared" si="10"/>
        <v>0</v>
      </c>
      <c r="J37" s="75">
        <f t="shared" si="10"/>
        <v>-62.4</v>
      </c>
      <c r="K37" s="75">
        <f t="shared" si="10"/>
        <v>-2306.98</v>
      </c>
      <c r="L37" s="76">
        <f t="shared" si="10"/>
        <v>-14943.79</v>
      </c>
      <c r="M37" s="77">
        <f t="shared" si="10"/>
        <v>247.59</v>
      </c>
      <c r="N37" s="78">
        <f t="shared" si="10"/>
        <v>-332.9</v>
      </c>
      <c r="O37" s="79">
        <f t="shared" si="10"/>
        <v>-17628.84</v>
      </c>
      <c r="P37" s="71">
        <f t="shared" si="10"/>
        <v>-175.72</v>
      </c>
      <c r="Q37" s="71">
        <f t="shared" si="10"/>
        <v>-368.4</v>
      </c>
      <c r="R37" s="71">
        <f t="shared" si="10"/>
        <v>-135.95</v>
      </c>
      <c r="S37" s="72">
        <f t="shared" si="10"/>
        <v>-774.97</v>
      </c>
      <c r="T37" s="73">
        <f t="shared" si="10"/>
        <v>-198.14</v>
      </c>
      <c r="U37" s="73">
        <f t="shared" si="10"/>
        <v>-222.67</v>
      </c>
      <c r="V37" s="74">
        <f t="shared" si="10"/>
        <v>-147.66</v>
      </c>
      <c r="W37" s="75">
        <f t="shared" si="10"/>
        <v>-380.74</v>
      </c>
      <c r="X37" s="75">
        <f t="shared" si="10"/>
        <v>-91.39</v>
      </c>
      <c r="Y37" s="76">
        <f t="shared" si="10"/>
        <v>-250.67</v>
      </c>
      <c r="Z37" s="77">
        <f t="shared" si="10"/>
        <v>-181.33</v>
      </c>
      <c r="AA37" s="78">
        <f t="shared" si="10"/>
        <v>19259.19</v>
      </c>
      <c r="AB37" s="79">
        <f t="shared" si="10"/>
        <v>16331.55</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mergeCells count="2">
    <mergeCell ref="C1:O1"/>
    <mergeCell ref="P1:AB1"/>
  </mergeCell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4.57"/>
    <col customWidth="1" min="2" max="2" width="68.0"/>
    <col customWidth="1" hidden="1" min="3" max="3" width="12.0"/>
    <col customWidth="1" hidden="1" min="4" max="11" width="10.57"/>
    <col customWidth="1" hidden="1" min="12" max="14" width="10.0"/>
    <col customWidth="1" hidden="1" min="15" max="15" width="16.57"/>
    <col customWidth="1" min="16" max="16" width="10.14"/>
    <col customWidth="1" min="17" max="17" width="12.71"/>
    <col customWidth="1" min="18" max="24" width="8.71"/>
    <col customWidth="1" min="25" max="25" width="10.14"/>
    <col customWidth="1" min="26" max="27" width="8.71"/>
    <col customWidth="1" min="28" max="28" width="19.57"/>
  </cols>
  <sheetData>
    <row r="1" ht="14.25" customHeight="1">
      <c r="A1" s="16"/>
      <c r="B1" s="17" t="s">
        <v>11</v>
      </c>
      <c r="C1" s="18" t="s">
        <v>59</v>
      </c>
      <c r="D1" s="19"/>
      <c r="E1" s="19"/>
      <c r="F1" s="19"/>
      <c r="G1" s="19"/>
      <c r="H1" s="19"/>
      <c r="I1" s="19"/>
      <c r="J1" s="19"/>
      <c r="K1" s="19"/>
      <c r="L1" s="19"/>
      <c r="M1" s="19"/>
      <c r="N1" s="19"/>
      <c r="O1" s="19"/>
    </row>
    <row r="2" ht="14.25" customHeight="1">
      <c r="A2" s="20"/>
      <c r="B2" s="21" t="s">
        <v>13</v>
      </c>
      <c r="C2" s="22" t="s">
        <v>14</v>
      </c>
      <c r="D2" s="22" t="s">
        <v>15</v>
      </c>
      <c r="E2" s="22" t="s">
        <v>16</v>
      </c>
      <c r="F2" s="23" t="s">
        <v>17</v>
      </c>
      <c r="G2" s="24" t="s">
        <v>18</v>
      </c>
      <c r="H2" s="24" t="s">
        <v>19</v>
      </c>
      <c r="I2" s="25" t="s">
        <v>20</v>
      </c>
      <c r="J2" s="26" t="s">
        <v>21</v>
      </c>
      <c r="K2" s="26" t="s">
        <v>22</v>
      </c>
      <c r="L2" s="27" t="s">
        <v>23</v>
      </c>
      <c r="M2" s="28" t="s">
        <v>24</v>
      </c>
      <c r="N2" s="29" t="s">
        <v>25</v>
      </c>
      <c r="O2" s="30" t="s">
        <v>26</v>
      </c>
      <c r="P2" s="22" t="s">
        <v>14</v>
      </c>
      <c r="Q2" s="22" t="s">
        <v>15</v>
      </c>
      <c r="R2" s="22" t="s">
        <v>16</v>
      </c>
      <c r="S2" s="23" t="s">
        <v>17</v>
      </c>
      <c r="T2" s="24" t="s">
        <v>18</v>
      </c>
      <c r="U2" s="24" t="s">
        <v>19</v>
      </c>
      <c r="V2" s="25" t="s">
        <v>20</v>
      </c>
      <c r="W2" s="26" t="s">
        <v>21</v>
      </c>
      <c r="X2" s="26" t="s">
        <v>22</v>
      </c>
      <c r="Y2" s="27" t="s">
        <v>23</v>
      </c>
      <c r="Z2" s="28" t="s">
        <v>24</v>
      </c>
      <c r="AA2" s="29" t="s">
        <v>25</v>
      </c>
      <c r="AB2" s="30" t="s">
        <v>27</v>
      </c>
    </row>
    <row r="3" ht="14.25" customHeight="1">
      <c r="B3" s="31" t="s">
        <v>28</v>
      </c>
      <c r="C3" s="32"/>
      <c r="D3" s="32"/>
      <c r="E3" s="32"/>
      <c r="F3" s="33"/>
      <c r="G3" s="32"/>
      <c r="H3" s="32"/>
      <c r="I3" s="33"/>
      <c r="J3" s="32"/>
      <c r="K3" s="32"/>
      <c r="L3" s="33"/>
      <c r="M3" s="32"/>
      <c r="N3" s="34"/>
      <c r="O3" s="35"/>
      <c r="P3" s="32"/>
      <c r="Q3" s="32"/>
      <c r="R3" s="32"/>
      <c r="S3" s="33"/>
      <c r="T3" s="32"/>
      <c r="U3" s="32"/>
      <c r="V3" s="33"/>
      <c r="W3" s="32"/>
      <c r="X3" s="32"/>
      <c r="Y3" s="33"/>
      <c r="Z3" s="32"/>
      <c r="AA3" s="34"/>
      <c r="AB3" s="35"/>
    </row>
    <row r="4" ht="14.25" customHeight="1">
      <c r="B4" s="57" t="str">
        <f t="shared" ref="B4:B5" si="1">'[1]Property Management Overview'!B5</f>
        <v>#REF!</v>
      </c>
      <c r="C4" s="37">
        <v>0.0</v>
      </c>
      <c r="D4" s="37">
        <v>0.0</v>
      </c>
      <c r="E4" s="37">
        <v>0.0</v>
      </c>
      <c r="F4" s="38">
        <v>0.0</v>
      </c>
      <c r="G4" s="39">
        <v>0.0</v>
      </c>
      <c r="H4" s="39">
        <v>0.0</v>
      </c>
      <c r="I4" s="40">
        <v>0.0</v>
      </c>
      <c r="J4" s="41">
        <v>0.0</v>
      </c>
      <c r="K4" s="41">
        <v>0.0</v>
      </c>
      <c r="L4" s="42">
        <v>0.0</v>
      </c>
      <c r="M4" s="43">
        <v>0.0</v>
      </c>
      <c r="N4" s="44">
        <v>0.0</v>
      </c>
      <c r="O4" s="45">
        <f t="shared" ref="O4:O6" si="2">SUM(C4:N4)</f>
        <v>0</v>
      </c>
      <c r="P4" s="37">
        <v>0.0</v>
      </c>
      <c r="Q4" s="37">
        <v>0.0</v>
      </c>
      <c r="R4" s="37">
        <v>0.0</v>
      </c>
      <c r="S4" s="38">
        <v>0.0</v>
      </c>
      <c r="T4" s="39">
        <v>0.0</v>
      </c>
      <c r="U4" s="39">
        <v>0.0</v>
      </c>
      <c r="V4" s="40">
        <v>0.0</v>
      </c>
      <c r="W4" s="41">
        <v>0.0</v>
      </c>
      <c r="X4" s="41">
        <v>0.0</v>
      </c>
      <c r="Y4" s="42">
        <v>0.0</v>
      </c>
      <c r="Z4" s="43">
        <v>0.0</v>
      </c>
      <c r="AA4" s="44">
        <v>0.0</v>
      </c>
      <c r="AB4" s="45">
        <f t="shared" ref="AB4:AB6" si="3">SUM(P4:AA4)</f>
        <v>0</v>
      </c>
    </row>
    <row r="5" ht="14.25" customHeight="1">
      <c r="B5" s="57" t="str">
        <f t="shared" si="1"/>
        <v>#REF!</v>
      </c>
      <c r="C5" s="37"/>
      <c r="D5" s="37"/>
      <c r="E5" s="37"/>
      <c r="F5" s="46"/>
      <c r="G5" s="46"/>
      <c r="H5" s="46"/>
      <c r="I5" s="41"/>
      <c r="J5" s="41"/>
      <c r="K5" s="41"/>
      <c r="L5" s="43">
        <v>1775.0</v>
      </c>
      <c r="M5" s="43">
        <v>1775.0</v>
      </c>
      <c r="N5" s="43">
        <v>1775.0</v>
      </c>
      <c r="O5" s="45">
        <f t="shared" si="2"/>
        <v>5325</v>
      </c>
      <c r="P5" s="37">
        <v>1775.0</v>
      </c>
      <c r="Q5" s="37">
        <v>1775.0</v>
      </c>
      <c r="R5" s="37">
        <v>1775.0</v>
      </c>
      <c r="S5" s="46">
        <v>1775.0</v>
      </c>
      <c r="T5" s="46">
        <v>1775.0</v>
      </c>
      <c r="U5" s="46">
        <v>1775.0</v>
      </c>
      <c r="V5" s="41">
        <v>1775.0</v>
      </c>
      <c r="W5" s="41">
        <v>1775.0</v>
      </c>
      <c r="X5" s="41">
        <v>1775.0</v>
      </c>
      <c r="Y5" s="43">
        <v>1950.0</v>
      </c>
      <c r="Z5" s="43">
        <v>1950.0</v>
      </c>
      <c r="AA5" s="43">
        <v>1950.0</v>
      </c>
      <c r="AB5" s="45">
        <f t="shared" si="3"/>
        <v>21825</v>
      </c>
    </row>
    <row r="6" ht="14.25" customHeight="1">
      <c r="B6" s="47" t="s">
        <v>30</v>
      </c>
      <c r="C6" s="48">
        <f t="shared" ref="C6:N6" si="4">SUM(C4:C5)</f>
        <v>0</v>
      </c>
      <c r="D6" s="48">
        <f t="shared" si="4"/>
        <v>0</v>
      </c>
      <c r="E6" s="48">
        <f t="shared" si="4"/>
        <v>0</v>
      </c>
      <c r="F6" s="49">
        <f t="shared" si="4"/>
        <v>0</v>
      </c>
      <c r="G6" s="50">
        <f t="shared" si="4"/>
        <v>0</v>
      </c>
      <c r="H6" s="50">
        <f t="shared" si="4"/>
        <v>0</v>
      </c>
      <c r="I6" s="51">
        <f t="shared" si="4"/>
        <v>0</v>
      </c>
      <c r="J6" s="52">
        <f t="shared" si="4"/>
        <v>0</v>
      </c>
      <c r="K6" s="52">
        <f t="shared" si="4"/>
        <v>0</v>
      </c>
      <c r="L6" s="53">
        <f t="shared" si="4"/>
        <v>1775</v>
      </c>
      <c r="M6" s="54">
        <f t="shared" si="4"/>
        <v>1775</v>
      </c>
      <c r="N6" s="55">
        <f t="shared" si="4"/>
        <v>1775</v>
      </c>
      <c r="O6" s="56">
        <f t="shared" si="2"/>
        <v>5325</v>
      </c>
      <c r="P6" s="48">
        <f t="shared" ref="P6:AA6" si="5">SUM(P4:P5)</f>
        <v>1775</v>
      </c>
      <c r="Q6" s="48">
        <f t="shared" si="5"/>
        <v>1775</v>
      </c>
      <c r="R6" s="48">
        <f t="shared" si="5"/>
        <v>1775</v>
      </c>
      <c r="S6" s="49">
        <f t="shared" si="5"/>
        <v>1775</v>
      </c>
      <c r="T6" s="50">
        <f t="shared" si="5"/>
        <v>1775</v>
      </c>
      <c r="U6" s="50">
        <f t="shared" si="5"/>
        <v>1775</v>
      </c>
      <c r="V6" s="51">
        <f t="shared" si="5"/>
        <v>1775</v>
      </c>
      <c r="W6" s="52">
        <f t="shared" si="5"/>
        <v>1775</v>
      </c>
      <c r="X6" s="52">
        <f t="shared" si="5"/>
        <v>1775</v>
      </c>
      <c r="Y6" s="53">
        <f t="shared" si="5"/>
        <v>1950</v>
      </c>
      <c r="Z6" s="54">
        <f t="shared" si="5"/>
        <v>1950</v>
      </c>
      <c r="AA6" s="55">
        <f t="shared" si="5"/>
        <v>1950</v>
      </c>
      <c r="AB6" s="56">
        <f t="shared" si="3"/>
        <v>21825</v>
      </c>
    </row>
    <row r="7" ht="14.25" customHeight="1"/>
    <row r="8" ht="14.25" customHeight="1">
      <c r="A8" s="20"/>
      <c r="B8" s="21" t="s">
        <v>31</v>
      </c>
      <c r="C8" s="22" t="s">
        <v>14</v>
      </c>
      <c r="D8" s="22" t="s">
        <v>15</v>
      </c>
      <c r="E8" s="22" t="s">
        <v>16</v>
      </c>
      <c r="F8" s="23" t="s">
        <v>17</v>
      </c>
      <c r="G8" s="24" t="s">
        <v>18</v>
      </c>
      <c r="H8" s="24" t="s">
        <v>19</v>
      </c>
      <c r="I8" s="25" t="s">
        <v>20</v>
      </c>
      <c r="J8" s="26" t="s">
        <v>21</v>
      </c>
      <c r="K8" s="26" t="s">
        <v>22</v>
      </c>
      <c r="L8" s="27" t="s">
        <v>23</v>
      </c>
      <c r="M8" s="28" t="s">
        <v>24</v>
      </c>
      <c r="N8" s="29" t="s">
        <v>25</v>
      </c>
      <c r="O8" s="30" t="s">
        <v>32</v>
      </c>
      <c r="P8" s="22" t="s">
        <v>14</v>
      </c>
      <c r="Q8" s="22" t="s">
        <v>15</v>
      </c>
      <c r="R8" s="22" t="s">
        <v>16</v>
      </c>
      <c r="S8" s="23" t="s">
        <v>17</v>
      </c>
      <c r="T8" s="24" t="s">
        <v>18</v>
      </c>
      <c r="U8" s="24" t="s">
        <v>19</v>
      </c>
      <c r="V8" s="25" t="s">
        <v>20</v>
      </c>
      <c r="W8" s="26" t="s">
        <v>21</v>
      </c>
      <c r="X8" s="26" t="s">
        <v>22</v>
      </c>
      <c r="Y8" s="27" t="s">
        <v>23</v>
      </c>
      <c r="Z8" s="28" t="s">
        <v>24</v>
      </c>
      <c r="AA8" s="29" t="s">
        <v>25</v>
      </c>
      <c r="AB8" s="30" t="s">
        <v>32</v>
      </c>
    </row>
    <row r="9" ht="14.25" customHeight="1">
      <c r="B9" s="31" t="str">
        <f>'[1]Property Management Overview'!B10</f>
        <v>#REF!</v>
      </c>
      <c r="C9" s="32"/>
      <c r="D9" s="32"/>
      <c r="E9" s="32"/>
      <c r="F9" s="33"/>
      <c r="G9" s="32"/>
      <c r="H9" s="32"/>
      <c r="I9" s="33"/>
      <c r="J9" s="32"/>
      <c r="K9" s="32"/>
      <c r="L9" s="33"/>
      <c r="M9" s="32"/>
      <c r="N9" s="34"/>
      <c r="O9" s="35"/>
      <c r="P9" s="32"/>
      <c r="Q9" s="32"/>
      <c r="R9" s="32"/>
      <c r="S9" s="33"/>
      <c r="T9" s="32"/>
      <c r="U9" s="32"/>
      <c r="V9" s="33"/>
      <c r="W9" s="32"/>
      <c r="X9" s="32"/>
      <c r="Y9" s="33"/>
      <c r="Z9" s="32"/>
      <c r="AA9" s="34"/>
      <c r="AB9" s="35"/>
    </row>
    <row r="10" ht="14.25" customHeight="1">
      <c r="B10" s="36" t="s">
        <v>33</v>
      </c>
      <c r="C10" s="37">
        <v>0.0</v>
      </c>
      <c r="D10" s="37">
        <v>0.0</v>
      </c>
      <c r="E10" s="37">
        <v>0.0</v>
      </c>
      <c r="F10" s="38">
        <v>0.0</v>
      </c>
      <c r="G10" s="39">
        <v>0.0</v>
      </c>
      <c r="H10" s="39">
        <v>0.0</v>
      </c>
      <c r="I10" s="40">
        <v>0.0</v>
      </c>
      <c r="J10" s="41">
        <v>0.0</v>
      </c>
      <c r="K10" s="41">
        <v>0.0</v>
      </c>
      <c r="L10" s="42">
        <v>0.0</v>
      </c>
      <c r="M10" s="43">
        <v>0.0</v>
      </c>
      <c r="N10" s="44">
        <v>0.0</v>
      </c>
      <c r="O10" s="45">
        <f t="shared" ref="O10:O42" si="6">SUM(C10:N10)</f>
        <v>0</v>
      </c>
      <c r="P10" s="37">
        <v>0.0</v>
      </c>
      <c r="Q10" s="37">
        <v>0.0</v>
      </c>
      <c r="R10" s="37">
        <v>0.0</v>
      </c>
      <c r="S10" s="38">
        <v>0.0</v>
      </c>
      <c r="T10" s="39">
        <v>0.0</v>
      </c>
      <c r="U10" s="39">
        <v>0.0</v>
      </c>
      <c r="V10" s="40">
        <v>0.0</v>
      </c>
      <c r="W10" s="41">
        <v>0.0</v>
      </c>
      <c r="X10" s="41">
        <v>0.0</v>
      </c>
      <c r="Y10" s="42">
        <v>0.0</v>
      </c>
      <c r="Z10" s="43">
        <v>0.0</v>
      </c>
      <c r="AA10" s="44">
        <v>0.0</v>
      </c>
      <c r="AB10" s="45">
        <f t="shared" ref="AB10:AB42" si="7">SUM(P10:AA10)</f>
        <v>0</v>
      </c>
    </row>
    <row r="11" ht="14.25" customHeight="1">
      <c r="B11" s="36" t="s">
        <v>34</v>
      </c>
      <c r="C11" s="37">
        <v>0.0</v>
      </c>
      <c r="D11" s="37">
        <v>0.0</v>
      </c>
      <c r="E11" s="37">
        <v>0.0</v>
      </c>
      <c r="F11" s="38">
        <v>0.0</v>
      </c>
      <c r="G11" s="39">
        <v>0.0</v>
      </c>
      <c r="H11" s="39">
        <v>0.0</v>
      </c>
      <c r="I11" s="40">
        <v>0.0</v>
      </c>
      <c r="J11" s="41">
        <v>0.0</v>
      </c>
      <c r="K11" s="41">
        <v>0.0</v>
      </c>
      <c r="L11" s="42">
        <v>0.0</v>
      </c>
      <c r="M11" s="43">
        <v>0.0</v>
      </c>
      <c r="N11" s="44">
        <v>0.0</v>
      </c>
      <c r="O11" s="45">
        <f t="shared" si="6"/>
        <v>0</v>
      </c>
      <c r="P11" s="37">
        <v>0.0</v>
      </c>
      <c r="Q11" s="37">
        <v>0.0</v>
      </c>
      <c r="R11" s="37">
        <v>0.0</v>
      </c>
      <c r="S11" s="38">
        <v>0.0</v>
      </c>
      <c r="T11" s="39">
        <v>0.0</v>
      </c>
      <c r="U11" s="39">
        <v>0.0</v>
      </c>
      <c r="V11" s="40">
        <v>0.0</v>
      </c>
      <c r="W11" s="41">
        <v>0.0</v>
      </c>
      <c r="X11" s="41">
        <v>0.0</v>
      </c>
      <c r="Y11" s="42">
        <v>0.0</v>
      </c>
      <c r="Z11" s="43">
        <v>0.0</v>
      </c>
      <c r="AA11" s="44">
        <v>0.0</v>
      </c>
      <c r="AB11" s="45">
        <f t="shared" si="7"/>
        <v>0</v>
      </c>
    </row>
    <row r="12" ht="14.25" customHeight="1">
      <c r="B12" s="57" t="s">
        <v>35</v>
      </c>
      <c r="C12" s="37">
        <v>0.0</v>
      </c>
      <c r="D12" s="37">
        <v>0.0</v>
      </c>
      <c r="E12" s="37">
        <v>0.0</v>
      </c>
      <c r="F12" s="38">
        <v>0.0</v>
      </c>
      <c r="G12" s="39">
        <v>0.0</v>
      </c>
      <c r="H12" s="39">
        <v>0.0</v>
      </c>
      <c r="I12" s="40">
        <v>0.0</v>
      </c>
      <c r="J12" s="41">
        <v>0.0</v>
      </c>
      <c r="K12" s="41">
        <v>0.0</v>
      </c>
      <c r="L12" s="42">
        <v>0.0</v>
      </c>
      <c r="M12" s="43">
        <v>0.0</v>
      </c>
      <c r="N12" s="44">
        <v>0.0</v>
      </c>
      <c r="O12" s="45">
        <f t="shared" si="6"/>
        <v>0</v>
      </c>
      <c r="P12" s="37">
        <v>0.0</v>
      </c>
      <c r="Q12" s="37">
        <v>0.0</v>
      </c>
      <c r="R12" s="37">
        <v>0.0</v>
      </c>
      <c r="S12" s="38">
        <v>0.0</v>
      </c>
      <c r="T12" s="39">
        <v>0.0</v>
      </c>
      <c r="U12" s="39">
        <v>0.0</v>
      </c>
      <c r="V12" s="40">
        <v>0.0</v>
      </c>
      <c r="W12" s="41">
        <v>0.0</v>
      </c>
      <c r="X12" s="41">
        <v>0.0</v>
      </c>
      <c r="Y12" s="42">
        <v>0.0</v>
      </c>
      <c r="Z12" s="43">
        <v>0.0</v>
      </c>
      <c r="AA12" s="44">
        <v>0.0</v>
      </c>
      <c r="AB12" s="45">
        <f t="shared" si="7"/>
        <v>0</v>
      </c>
    </row>
    <row r="13" ht="14.25" customHeight="1">
      <c r="B13" s="57" t="s">
        <v>36</v>
      </c>
      <c r="C13" s="37">
        <v>0.0</v>
      </c>
      <c r="D13" s="37">
        <v>0.0</v>
      </c>
      <c r="E13" s="37">
        <v>0.0</v>
      </c>
      <c r="F13" s="38">
        <v>0.0</v>
      </c>
      <c r="G13" s="39">
        <v>0.0</v>
      </c>
      <c r="H13" s="39">
        <v>0.0</v>
      </c>
      <c r="I13" s="40">
        <v>0.0</v>
      </c>
      <c r="J13" s="41">
        <v>0.0</v>
      </c>
      <c r="K13" s="41">
        <v>0.0</v>
      </c>
      <c r="L13" s="42">
        <v>0.0</v>
      </c>
      <c r="M13" s="43">
        <v>0.0</v>
      </c>
      <c r="N13" s="44">
        <v>0.0</v>
      </c>
      <c r="O13" s="45">
        <f t="shared" si="6"/>
        <v>0</v>
      </c>
      <c r="P13" s="37">
        <v>0.0</v>
      </c>
      <c r="Q13" s="37">
        <v>0.0</v>
      </c>
      <c r="R13" s="37">
        <v>0.0</v>
      </c>
      <c r="S13" s="38">
        <v>0.0</v>
      </c>
      <c r="T13" s="39">
        <v>0.0</v>
      </c>
      <c r="U13" s="39">
        <v>0.0</v>
      </c>
      <c r="V13" s="40">
        <v>0.0</v>
      </c>
      <c r="W13" s="41">
        <v>0.0</v>
      </c>
      <c r="X13" s="41">
        <v>0.0</v>
      </c>
      <c r="Y13" s="42">
        <v>0.0</v>
      </c>
      <c r="Z13" s="43">
        <v>0.0</v>
      </c>
      <c r="AA13" s="44">
        <v>0.0</v>
      </c>
      <c r="AB13" s="45">
        <f t="shared" si="7"/>
        <v>0</v>
      </c>
    </row>
    <row r="14" ht="14.25" customHeight="1">
      <c r="B14" s="57" t="s">
        <v>60</v>
      </c>
      <c r="C14" s="37">
        <v>26.75</v>
      </c>
      <c r="D14" s="37">
        <v>26.75</v>
      </c>
      <c r="E14" s="37">
        <v>26.75</v>
      </c>
      <c r="F14" s="39">
        <v>26.75</v>
      </c>
      <c r="G14" s="39">
        <v>26.75</v>
      </c>
      <c r="H14" s="39">
        <v>26.75</v>
      </c>
      <c r="I14" s="41">
        <v>26.75</v>
      </c>
      <c r="J14" s="41">
        <v>26.75</v>
      </c>
      <c r="K14" s="41">
        <v>26.75</v>
      </c>
      <c r="L14" s="43">
        <v>26.75</v>
      </c>
      <c r="M14" s="43">
        <v>26.75</v>
      </c>
      <c r="N14" s="43">
        <v>26.75</v>
      </c>
      <c r="O14" s="45">
        <f t="shared" si="6"/>
        <v>321</v>
      </c>
      <c r="P14" s="37">
        <v>35.08</v>
      </c>
      <c r="Q14" s="37">
        <v>35.08</v>
      </c>
      <c r="R14" s="37">
        <v>35.08</v>
      </c>
      <c r="S14" s="39">
        <v>35.08</v>
      </c>
      <c r="T14" s="39">
        <v>35.08</v>
      </c>
      <c r="U14" s="39">
        <v>35.08</v>
      </c>
      <c r="V14" s="41">
        <v>35.08</v>
      </c>
      <c r="W14" s="41">
        <v>35.08</v>
      </c>
      <c r="X14" s="41">
        <v>35.08</v>
      </c>
      <c r="Y14" s="43">
        <v>35.08</v>
      </c>
      <c r="Z14" s="43">
        <v>35.08</v>
      </c>
      <c r="AA14" s="43">
        <v>35.08</v>
      </c>
      <c r="AB14" s="45">
        <f t="shared" si="7"/>
        <v>420.96</v>
      </c>
    </row>
    <row r="15" ht="14.25" customHeight="1">
      <c r="B15" s="36" t="s">
        <v>38</v>
      </c>
      <c r="C15" s="37">
        <v>0.0</v>
      </c>
      <c r="D15" s="37">
        <v>0.0</v>
      </c>
      <c r="E15" s="37">
        <v>0.0</v>
      </c>
      <c r="F15" s="38">
        <v>0.0</v>
      </c>
      <c r="G15" s="39">
        <v>0.0</v>
      </c>
      <c r="H15" s="39">
        <v>0.0</v>
      </c>
      <c r="I15" s="40">
        <v>0.0</v>
      </c>
      <c r="J15" s="41">
        <v>0.0</v>
      </c>
      <c r="K15" s="41">
        <v>0.0</v>
      </c>
      <c r="L15" s="42">
        <v>0.0</v>
      </c>
      <c r="M15" s="43">
        <v>0.0</v>
      </c>
      <c r="N15" s="44">
        <v>0.0</v>
      </c>
      <c r="O15" s="45">
        <f t="shared" si="6"/>
        <v>0</v>
      </c>
      <c r="P15" s="37">
        <v>250.0</v>
      </c>
      <c r="Q15" s="37">
        <v>0.0</v>
      </c>
      <c r="R15" s="37">
        <v>0.0</v>
      </c>
      <c r="S15" s="38">
        <v>0.0</v>
      </c>
      <c r="T15" s="39"/>
      <c r="U15" s="39">
        <v>0.0</v>
      </c>
      <c r="V15" s="40">
        <v>0.0</v>
      </c>
      <c r="W15" s="41">
        <v>0.0</v>
      </c>
      <c r="X15" s="41">
        <v>0.0</v>
      </c>
      <c r="Y15" s="42">
        <v>0.0</v>
      </c>
      <c r="Z15" s="43">
        <v>0.0</v>
      </c>
      <c r="AA15" s="44">
        <v>0.0</v>
      </c>
      <c r="AB15" s="45">
        <f t="shared" si="7"/>
        <v>250</v>
      </c>
    </row>
    <row r="16" ht="14.25" customHeight="1">
      <c r="B16" s="36" t="s">
        <v>61</v>
      </c>
      <c r="C16" s="37">
        <v>0.0</v>
      </c>
      <c r="D16" s="37">
        <v>0.0</v>
      </c>
      <c r="E16" s="37">
        <v>0.0</v>
      </c>
      <c r="F16" s="38">
        <v>0.0</v>
      </c>
      <c r="G16" s="39">
        <v>0.0</v>
      </c>
      <c r="H16" s="39">
        <v>0.0</v>
      </c>
      <c r="I16" s="40">
        <v>0.0</v>
      </c>
      <c r="J16" s="41">
        <v>0.0</v>
      </c>
      <c r="K16" s="41">
        <v>0.0</v>
      </c>
      <c r="L16" s="42">
        <v>0.0</v>
      </c>
      <c r="M16" s="43">
        <v>0.0</v>
      </c>
      <c r="N16" s="44">
        <v>0.0</v>
      </c>
      <c r="O16" s="45">
        <f t="shared" si="6"/>
        <v>0</v>
      </c>
      <c r="P16" s="37">
        <v>0.0</v>
      </c>
      <c r="Q16" s="37">
        <v>0.0</v>
      </c>
      <c r="R16" s="37">
        <v>0.0</v>
      </c>
      <c r="S16" s="38">
        <v>0.0</v>
      </c>
      <c r="T16" s="39">
        <v>80.0</v>
      </c>
      <c r="U16" s="39">
        <v>220.0</v>
      </c>
      <c r="V16" s="40">
        <v>0.0</v>
      </c>
      <c r="W16" s="41">
        <v>0.0</v>
      </c>
      <c r="X16" s="41">
        <v>0.0</v>
      </c>
      <c r="Y16" s="42">
        <v>0.0</v>
      </c>
      <c r="Z16" s="43">
        <v>250.0</v>
      </c>
      <c r="AA16" s="44">
        <v>0.0</v>
      </c>
      <c r="AB16" s="45">
        <f t="shared" si="7"/>
        <v>550</v>
      </c>
    </row>
    <row r="17" ht="14.25" customHeight="1">
      <c r="B17" s="36" t="s">
        <v>62</v>
      </c>
      <c r="C17" s="37">
        <v>0.0</v>
      </c>
      <c r="D17" s="37">
        <v>0.0</v>
      </c>
      <c r="E17" s="37">
        <v>0.0</v>
      </c>
      <c r="F17" s="38">
        <v>0.0</v>
      </c>
      <c r="G17" s="39">
        <v>0.0</v>
      </c>
      <c r="H17" s="39">
        <v>0.0</v>
      </c>
      <c r="I17" s="40">
        <v>0.0</v>
      </c>
      <c r="J17" s="41">
        <v>0.0</v>
      </c>
      <c r="K17" s="41">
        <v>0.0</v>
      </c>
      <c r="L17" s="42">
        <v>0.0</v>
      </c>
      <c r="M17" s="43">
        <v>0.0</v>
      </c>
      <c r="N17" s="44">
        <v>0.0</v>
      </c>
      <c r="O17" s="45">
        <f t="shared" si="6"/>
        <v>0</v>
      </c>
      <c r="P17" s="37">
        <v>0.0</v>
      </c>
      <c r="Q17" s="37">
        <v>0.0</v>
      </c>
      <c r="R17" s="37">
        <v>0.0</v>
      </c>
      <c r="S17" s="38">
        <v>0.0</v>
      </c>
      <c r="T17" s="39">
        <v>0.0</v>
      </c>
      <c r="U17" s="39">
        <v>0.0</v>
      </c>
      <c r="V17" s="40">
        <v>0.0</v>
      </c>
      <c r="W17" s="41">
        <v>0.0</v>
      </c>
      <c r="X17" s="41">
        <v>0.0</v>
      </c>
      <c r="Y17" s="42">
        <v>0.0</v>
      </c>
      <c r="Z17" s="43">
        <v>0.0</v>
      </c>
      <c r="AA17" s="44">
        <v>0.0</v>
      </c>
      <c r="AB17" s="45">
        <f t="shared" si="7"/>
        <v>0</v>
      </c>
    </row>
    <row r="18" ht="14.25" customHeight="1">
      <c r="B18" s="36" t="s">
        <v>62</v>
      </c>
      <c r="C18" s="37">
        <v>0.0</v>
      </c>
      <c r="D18" s="37">
        <v>0.0</v>
      </c>
      <c r="E18" s="37">
        <v>0.0</v>
      </c>
      <c r="F18" s="38">
        <v>0.0</v>
      </c>
      <c r="G18" s="39">
        <v>0.0</v>
      </c>
      <c r="H18" s="39">
        <v>0.0</v>
      </c>
      <c r="I18" s="40">
        <v>0.0</v>
      </c>
      <c r="J18" s="41">
        <v>0.0</v>
      </c>
      <c r="K18" s="41">
        <v>0.0</v>
      </c>
      <c r="L18" s="42">
        <v>0.0</v>
      </c>
      <c r="M18" s="43">
        <v>0.0</v>
      </c>
      <c r="N18" s="44">
        <v>0.0</v>
      </c>
      <c r="O18" s="45">
        <f t="shared" si="6"/>
        <v>0</v>
      </c>
      <c r="P18" s="37">
        <v>0.0</v>
      </c>
      <c r="Q18" s="37">
        <v>0.0</v>
      </c>
      <c r="R18" s="37">
        <v>0.0</v>
      </c>
      <c r="S18" s="38">
        <v>0.0</v>
      </c>
      <c r="T18" s="39">
        <v>0.0</v>
      </c>
      <c r="U18" s="39">
        <v>0.0</v>
      </c>
      <c r="V18" s="40">
        <v>0.0</v>
      </c>
      <c r="W18" s="41">
        <v>0.0</v>
      </c>
      <c r="X18" s="41">
        <v>0.0</v>
      </c>
      <c r="Y18" s="42">
        <v>0.0</v>
      </c>
      <c r="Z18" s="43">
        <v>0.0</v>
      </c>
      <c r="AA18" s="44">
        <v>0.0</v>
      </c>
      <c r="AB18" s="45">
        <f t="shared" si="7"/>
        <v>0</v>
      </c>
    </row>
    <row r="19" ht="14.25" customHeight="1">
      <c r="B19" s="36" t="s">
        <v>62</v>
      </c>
      <c r="C19" s="37">
        <v>0.0</v>
      </c>
      <c r="D19" s="37">
        <v>0.0</v>
      </c>
      <c r="E19" s="37">
        <v>0.0</v>
      </c>
      <c r="F19" s="38">
        <v>0.0</v>
      </c>
      <c r="G19" s="39">
        <v>0.0</v>
      </c>
      <c r="H19" s="39">
        <v>0.0</v>
      </c>
      <c r="I19" s="40">
        <v>0.0</v>
      </c>
      <c r="J19" s="41">
        <v>0.0</v>
      </c>
      <c r="K19" s="41">
        <v>0.0</v>
      </c>
      <c r="L19" s="42">
        <v>0.0</v>
      </c>
      <c r="M19" s="43">
        <v>0.0</v>
      </c>
      <c r="N19" s="44">
        <v>0.0</v>
      </c>
      <c r="O19" s="45">
        <f t="shared" si="6"/>
        <v>0</v>
      </c>
      <c r="P19" s="37">
        <v>0.0</v>
      </c>
      <c r="Q19" s="37">
        <v>0.0</v>
      </c>
      <c r="R19" s="37">
        <v>0.0</v>
      </c>
      <c r="S19" s="38">
        <v>0.0</v>
      </c>
      <c r="T19" s="39">
        <v>0.0</v>
      </c>
      <c r="U19" s="39">
        <v>0.0</v>
      </c>
      <c r="V19" s="40">
        <v>0.0</v>
      </c>
      <c r="W19" s="41">
        <v>0.0</v>
      </c>
      <c r="X19" s="41">
        <v>0.0</v>
      </c>
      <c r="Y19" s="42">
        <v>0.0</v>
      </c>
      <c r="Z19" s="43">
        <v>0.0</v>
      </c>
      <c r="AA19" s="44">
        <v>0.0</v>
      </c>
      <c r="AB19" s="45">
        <f t="shared" si="7"/>
        <v>0</v>
      </c>
    </row>
    <row r="20" ht="14.25" customHeight="1">
      <c r="B20" s="36" t="s">
        <v>62</v>
      </c>
      <c r="C20" s="37">
        <v>0.0</v>
      </c>
      <c r="D20" s="37">
        <v>0.0</v>
      </c>
      <c r="E20" s="37">
        <v>0.0</v>
      </c>
      <c r="F20" s="38">
        <v>0.0</v>
      </c>
      <c r="G20" s="39">
        <v>0.0</v>
      </c>
      <c r="H20" s="39">
        <v>0.0</v>
      </c>
      <c r="I20" s="40">
        <v>0.0</v>
      </c>
      <c r="J20" s="41">
        <v>0.0</v>
      </c>
      <c r="K20" s="41">
        <v>0.0</v>
      </c>
      <c r="L20" s="42">
        <v>0.0</v>
      </c>
      <c r="M20" s="43">
        <v>0.0</v>
      </c>
      <c r="N20" s="44">
        <v>0.0</v>
      </c>
      <c r="O20" s="45">
        <f t="shared" si="6"/>
        <v>0</v>
      </c>
      <c r="P20" s="37">
        <v>0.0</v>
      </c>
      <c r="Q20" s="37">
        <v>0.0</v>
      </c>
      <c r="R20" s="37">
        <v>0.0</v>
      </c>
      <c r="S20" s="38">
        <v>0.0</v>
      </c>
      <c r="T20" s="39">
        <v>0.0</v>
      </c>
      <c r="U20" s="39">
        <v>0.0</v>
      </c>
      <c r="V20" s="40">
        <v>0.0</v>
      </c>
      <c r="W20" s="41">
        <v>0.0</v>
      </c>
      <c r="X20" s="41">
        <v>0.0</v>
      </c>
      <c r="Y20" s="42">
        <v>0.0</v>
      </c>
      <c r="Z20" s="43">
        <v>0.0</v>
      </c>
      <c r="AA20" s="44">
        <v>0.0</v>
      </c>
      <c r="AB20" s="45">
        <f t="shared" si="7"/>
        <v>0</v>
      </c>
    </row>
    <row r="21" ht="14.25" customHeight="1">
      <c r="B21" s="36" t="s">
        <v>62</v>
      </c>
      <c r="C21" s="37">
        <v>0.0</v>
      </c>
      <c r="D21" s="37">
        <v>0.0</v>
      </c>
      <c r="E21" s="37">
        <v>0.0</v>
      </c>
      <c r="F21" s="38">
        <v>0.0</v>
      </c>
      <c r="G21" s="39">
        <v>0.0</v>
      </c>
      <c r="H21" s="39">
        <v>0.0</v>
      </c>
      <c r="I21" s="40">
        <v>0.0</v>
      </c>
      <c r="J21" s="41">
        <v>0.0</v>
      </c>
      <c r="K21" s="41">
        <v>0.0</v>
      </c>
      <c r="L21" s="42">
        <v>0.0</v>
      </c>
      <c r="M21" s="43">
        <v>0.0</v>
      </c>
      <c r="N21" s="44">
        <v>0.0</v>
      </c>
      <c r="O21" s="45">
        <f t="shared" si="6"/>
        <v>0</v>
      </c>
      <c r="P21" s="37">
        <v>0.0</v>
      </c>
      <c r="Q21" s="37">
        <v>0.0</v>
      </c>
      <c r="R21" s="37">
        <v>0.0</v>
      </c>
      <c r="S21" s="38">
        <v>0.0</v>
      </c>
      <c r="T21" s="39">
        <v>0.0</v>
      </c>
      <c r="U21" s="39">
        <v>0.0</v>
      </c>
      <c r="V21" s="40">
        <v>0.0</v>
      </c>
      <c r="W21" s="41">
        <v>0.0</v>
      </c>
      <c r="X21" s="41">
        <v>0.0</v>
      </c>
      <c r="Y21" s="42">
        <v>0.0</v>
      </c>
      <c r="Z21" s="43">
        <v>0.0</v>
      </c>
      <c r="AA21" s="44">
        <v>0.0</v>
      </c>
      <c r="AB21" s="45">
        <f t="shared" si="7"/>
        <v>0</v>
      </c>
    </row>
    <row r="22" ht="14.25" customHeight="1">
      <c r="B22" s="36" t="s">
        <v>62</v>
      </c>
      <c r="C22" s="37">
        <v>0.0</v>
      </c>
      <c r="D22" s="37">
        <v>0.0</v>
      </c>
      <c r="E22" s="37">
        <v>0.0</v>
      </c>
      <c r="F22" s="38">
        <v>0.0</v>
      </c>
      <c r="G22" s="39">
        <v>0.0</v>
      </c>
      <c r="H22" s="39">
        <v>0.0</v>
      </c>
      <c r="I22" s="40">
        <v>0.0</v>
      </c>
      <c r="J22" s="41">
        <v>0.0</v>
      </c>
      <c r="K22" s="41">
        <v>0.0</v>
      </c>
      <c r="L22" s="42">
        <v>0.0</v>
      </c>
      <c r="M22" s="43">
        <v>0.0</v>
      </c>
      <c r="N22" s="44">
        <v>0.0</v>
      </c>
      <c r="O22" s="45">
        <f t="shared" si="6"/>
        <v>0</v>
      </c>
      <c r="P22" s="37">
        <v>0.0</v>
      </c>
      <c r="Q22" s="37">
        <v>0.0</v>
      </c>
      <c r="R22" s="37">
        <v>0.0</v>
      </c>
      <c r="S22" s="38">
        <v>0.0</v>
      </c>
      <c r="T22" s="39">
        <v>0.0</v>
      </c>
      <c r="U22" s="39">
        <v>0.0</v>
      </c>
      <c r="V22" s="40">
        <v>0.0</v>
      </c>
      <c r="W22" s="41">
        <v>0.0</v>
      </c>
      <c r="X22" s="41">
        <v>0.0</v>
      </c>
      <c r="Y22" s="42">
        <v>0.0</v>
      </c>
      <c r="Z22" s="43">
        <v>0.0</v>
      </c>
      <c r="AA22" s="44">
        <v>0.0</v>
      </c>
      <c r="AB22" s="45">
        <f t="shared" si="7"/>
        <v>0</v>
      </c>
    </row>
    <row r="23" ht="14.25" customHeight="1">
      <c r="B23" s="36" t="s">
        <v>62</v>
      </c>
      <c r="C23" s="37">
        <v>0.0</v>
      </c>
      <c r="D23" s="37">
        <v>0.0</v>
      </c>
      <c r="E23" s="37">
        <v>0.0</v>
      </c>
      <c r="F23" s="38">
        <v>0.0</v>
      </c>
      <c r="G23" s="39">
        <v>0.0</v>
      </c>
      <c r="H23" s="39">
        <v>0.0</v>
      </c>
      <c r="I23" s="40">
        <v>0.0</v>
      </c>
      <c r="J23" s="41">
        <v>0.0</v>
      </c>
      <c r="K23" s="41">
        <v>0.0</v>
      </c>
      <c r="L23" s="42">
        <v>0.0</v>
      </c>
      <c r="M23" s="43">
        <v>0.0</v>
      </c>
      <c r="N23" s="44">
        <v>0.0</v>
      </c>
      <c r="O23" s="45">
        <f t="shared" si="6"/>
        <v>0</v>
      </c>
      <c r="P23" s="37">
        <v>0.0</v>
      </c>
      <c r="Q23" s="37">
        <v>0.0</v>
      </c>
      <c r="R23" s="37">
        <v>0.0</v>
      </c>
      <c r="S23" s="38">
        <v>0.0</v>
      </c>
      <c r="T23" s="39">
        <v>0.0</v>
      </c>
      <c r="U23" s="39">
        <v>0.0</v>
      </c>
      <c r="V23" s="40">
        <v>0.0</v>
      </c>
      <c r="W23" s="41">
        <v>0.0</v>
      </c>
      <c r="X23" s="41">
        <v>0.0</v>
      </c>
      <c r="Y23" s="42">
        <v>0.0</v>
      </c>
      <c r="Z23" s="43">
        <v>0.0</v>
      </c>
      <c r="AA23" s="44">
        <v>0.0</v>
      </c>
      <c r="AB23" s="45">
        <f t="shared" si="7"/>
        <v>0</v>
      </c>
    </row>
    <row r="24" ht="14.25" customHeight="1">
      <c r="B24" s="36" t="s">
        <v>63</v>
      </c>
      <c r="C24" s="37">
        <v>0.0</v>
      </c>
      <c r="D24" s="37">
        <v>0.0</v>
      </c>
      <c r="E24" s="37">
        <v>0.0</v>
      </c>
      <c r="F24" s="38">
        <v>0.0</v>
      </c>
      <c r="G24" s="39">
        <v>0.0</v>
      </c>
      <c r="H24" s="39">
        <v>0.0</v>
      </c>
      <c r="I24" s="40">
        <v>0.0</v>
      </c>
      <c r="J24" s="41">
        <v>0.0</v>
      </c>
      <c r="K24" s="41">
        <v>0.0</v>
      </c>
      <c r="L24" s="42">
        <v>0.0</v>
      </c>
      <c r="M24" s="43">
        <v>0.0</v>
      </c>
      <c r="N24" s="44">
        <v>0.0</v>
      </c>
      <c r="O24" s="45">
        <f t="shared" si="6"/>
        <v>0</v>
      </c>
      <c r="P24" s="37">
        <v>0.0</v>
      </c>
      <c r="Q24" s="37">
        <v>0.0</v>
      </c>
      <c r="R24" s="37">
        <v>0.0</v>
      </c>
      <c r="S24" s="38">
        <v>0.0</v>
      </c>
      <c r="T24" s="39">
        <v>0.0</v>
      </c>
      <c r="U24" s="39">
        <v>0.0</v>
      </c>
      <c r="V24" s="40">
        <v>0.0</v>
      </c>
      <c r="W24" s="41">
        <v>0.0</v>
      </c>
      <c r="X24" s="41">
        <v>0.0</v>
      </c>
      <c r="Y24" s="42">
        <v>0.0</v>
      </c>
      <c r="Z24" s="43">
        <v>0.0</v>
      </c>
      <c r="AA24" s="44">
        <v>0.0</v>
      </c>
      <c r="AB24" s="45">
        <f t="shared" si="7"/>
        <v>0</v>
      </c>
    </row>
    <row r="25" ht="14.25" customHeight="1">
      <c r="B25" s="36" t="s">
        <v>62</v>
      </c>
      <c r="C25" s="37">
        <v>0.0</v>
      </c>
      <c r="D25" s="37">
        <v>0.0</v>
      </c>
      <c r="E25" s="37">
        <v>0.0</v>
      </c>
      <c r="F25" s="38">
        <v>0.0</v>
      </c>
      <c r="G25" s="39">
        <v>0.0</v>
      </c>
      <c r="H25" s="39">
        <v>0.0</v>
      </c>
      <c r="I25" s="40">
        <v>0.0</v>
      </c>
      <c r="J25" s="41">
        <v>0.0</v>
      </c>
      <c r="K25" s="41">
        <v>0.0</v>
      </c>
      <c r="L25" s="42">
        <v>0.0</v>
      </c>
      <c r="M25" s="43">
        <v>0.0</v>
      </c>
      <c r="N25" s="44">
        <v>0.0</v>
      </c>
      <c r="O25" s="45">
        <f t="shared" si="6"/>
        <v>0</v>
      </c>
      <c r="P25" s="37">
        <v>0.0</v>
      </c>
      <c r="Q25" s="37">
        <v>0.0</v>
      </c>
      <c r="R25" s="37">
        <v>0.0</v>
      </c>
      <c r="S25" s="38">
        <v>0.0</v>
      </c>
      <c r="T25" s="39">
        <v>0.0</v>
      </c>
      <c r="U25" s="39">
        <v>0.0</v>
      </c>
      <c r="V25" s="40">
        <v>0.0</v>
      </c>
      <c r="W25" s="41">
        <v>0.0</v>
      </c>
      <c r="X25" s="41">
        <v>0.0</v>
      </c>
      <c r="Y25" s="42">
        <v>0.0</v>
      </c>
      <c r="Z25" s="43">
        <v>0.0</v>
      </c>
      <c r="AA25" s="44">
        <v>0.0</v>
      </c>
      <c r="AB25" s="45">
        <f t="shared" si="7"/>
        <v>0</v>
      </c>
    </row>
    <row r="26" ht="14.25" customHeight="1">
      <c r="B26" s="36" t="s">
        <v>62</v>
      </c>
      <c r="C26" s="37">
        <v>0.0</v>
      </c>
      <c r="D26" s="37">
        <v>0.0</v>
      </c>
      <c r="E26" s="37">
        <v>0.0</v>
      </c>
      <c r="F26" s="38">
        <v>0.0</v>
      </c>
      <c r="G26" s="39">
        <v>0.0</v>
      </c>
      <c r="H26" s="39">
        <v>0.0</v>
      </c>
      <c r="I26" s="40">
        <v>0.0</v>
      </c>
      <c r="J26" s="41">
        <v>0.0</v>
      </c>
      <c r="K26" s="41">
        <v>0.0</v>
      </c>
      <c r="L26" s="42">
        <v>13.0</v>
      </c>
      <c r="M26" s="43">
        <v>0.0</v>
      </c>
      <c r="N26" s="44">
        <v>0.0</v>
      </c>
      <c r="O26" s="45">
        <f t="shared" si="6"/>
        <v>13</v>
      </c>
      <c r="P26" s="37">
        <v>0.0</v>
      </c>
      <c r="Q26" s="37">
        <v>0.0</v>
      </c>
      <c r="R26" s="37">
        <v>0.0</v>
      </c>
      <c r="S26" s="38">
        <v>0.0</v>
      </c>
      <c r="T26" s="39">
        <v>0.0</v>
      </c>
      <c r="U26" s="39">
        <v>0.0</v>
      </c>
      <c r="V26" s="40">
        <v>0.0</v>
      </c>
      <c r="W26" s="41">
        <v>0.0</v>
      </c>
      <c r="X26" s="41">
        <v>0.0</v>
      </c>
      <c r="Y26" s="42"/>
      <c r="Z26" s="43">
        <v>0.0</v>
      </c>
      <c r="AA26" s="44">
        <v>0.0</v>
      </c>
      <c r="AB26" s="45">
        <f t="shared" si="7"/>
        <v>0</v>
      </c>
    </row>
    <row r="27" ht="14.25" customHeight="1">
      <c r="B27" s="36" t="s">
        <v>63</v>
      </c>
      <c r="C27" s="37">
        <v>0.0</v>
      </c>
      <c r="D27" s="37">
        <v>0.0</v>
      </c>
      <c r="E27" s="37">
        <v>0.0</v>
      </c>
      <c r="F27" s="38">
        <v>0.0</v>
      </c>
      <c r="G27" s="39">
        <v>0.0</v>
      </c>
      <c r="H27" s="39">
        <v>0.0</v>
      </c>
      <c r="I27" s="40">
        <v>0.0</v>
      </c>
      <c r="J27" s="41">
        <v>0.0</v>
      </c>
      <c r="K27" s="41">
        <v>0.0</v>
      </c>
      <c r="L27" s="42">
        <v>0.0</v>
      </c>
      <c r="M27" s="43">
        <v>0.0</v>
      </c>
      <c r="N27" s="44">
        <v>0.0</v>
      </c>
      <c r="O27" s="45">
        <f t="shared" si="6"/>
        <v>0</v>
      </c>
      <c r="P27" s="37">
        <v>0.0</v>
      </c>
      <c r="Q27" s="37">
        <v>0.0</v>
      </c>
      <c r="R27" s="37">
        <v>0.0</v>
      </c>
      <c r="S27" s="38">
        <v>0.0</v>
      </c>
      <c r="T27" s="39">
        <v>0.0</v>
      </c>
      <c r="U27" s="39">
        <v>0.0</v>
      </c>
      <c r="V27" s="40">
        <v>0.0</v>
      </c>
      <c r="W27" s="41">
        <v>0.0</v>
      </c>
      <c r="X27" s="41">
        <v>0.0</v>
      </c>
      <c r="Y27" s="42">
        <v>0.0</v>
      </c>
      <c r="Z27" s="43">
        <v>0.0</v>
      </c>
      <c r="AA27" s="44">
        <v>0.0</v>
      </c>
      <c r="AB27" s="45">
        <f t="shared" si="7"/>
        <v>0</v>
      </c>
    </row>
    <row r="28" ht="14.25" customHeight="1">
      <c r="B28" s="36" t="s">
        <v>62</v>
      </c>
      <c r="C28" s="37">
        <v>0.0</v>
      </c>
      <c r="D28" s="37">
        <v>0.0</v>
      </c>
      <c r="E28" s="37">
        <v>0.0</v>
      </c>
      <c r="F28" s="38">
        <v>0.0</v>
      </c>
      <c r="G28" s="39">
        <v>0.0</v>
      </c>
      <c r="H28" s="39">
        <v>0.0</v>
      </c>
      <c r="I28" s="40">
        <v>0.0</v>
      </c>
      <c r="J28" s="41">
        <v>0.0</v>
      </c>
      <c r="K28" s="41">
        <v>0.0</v>
      </c>
      <c r="L28" s="42">
        <v>0.0</v>
      </c>
      <c r="M28" s="43">
        <v>0.0</v>
      </c>
      <c r="N28" s="44">
        <v>0.0</v>
      </c>
      <c r="O28" s="45">
        <f t="shared" si="6"/>
        <v>0</v>
      </c>
      <c r="P28" s="37">
        <v>0.0</v>
      </c>
      <c r="Q28" s="37">
        <v>0.0</v>
      </c>
      <c r="R28" s="37">
        <v>0.0</v>
      </c>
      <c r="S28" s="38">
        <v>0.0</v>
      </c>
      <c r="T28" s="39">
        <v>0.0</v>
      </c>
      <c r="U28" s="39">
        <v>0.0</v>
      </c>
      <c r="V28" s="40">
        <v>0.0</v>
      </c>
      <c r="W28" s="41">
        <v>0.0</v>
      </c>
      <c r="X28" s="41">
        <v>0.0</v>
      </c>
      <c r="Y28" s="42">
        <v>0.0</v>
      </c>
      <c r="Z28" s="43">
        <v>0.0</v>
      </c>
      <c r="AA28" s="44">
        <v>0.0</v>
      </c>
      <c r="AB28" s="45">
        <f t="shared" si="7"/>
        <v>0</v>
      </c>
    </row>
    <row r="29" ht="14.25" customHeight="1">
      <c r="B29" s="36" t="s">
        <v>47</v>
      </c>
      <c r="C29" s="37">
        <v>0.0</v>
      </c>
      <c r="D29" s="37">
        <v>0.0</v>
      </c>
      <c r="E29" s="37">
        <v>0.0</v>
      </c>
      <c r="F29" s="38">
        <v>0.0</v>
      </c>
      <c r="G29" s="39">
        <v>0.0</v>
      </c>
      <c r="H29" s="39">
        <v>0.0</v>
      </c>
      <c r="I29" s="40">
        <v>0.0</v>
      </c>
      <c r="J29" s="41">
        <v>0.0</v>
      </c>
      <c r="K29" s="41">
        <v>0.0</v>
      </c>
      <c r="L29" s="42">
        <v>0.0</v>
      </c>
      <c r="M29" s="43">
        <v>0.0</v>
      </c>
      <c r="N29" s="44">
        <v>0.0</v>
      </c>
      <c r="O29" s="45">
        <f t="shared" si="6"/>
        <v>0</v>
      </c>
      <c r="P29" s="37">
        <v>1434.37</v>
      </c>
      <c r="Q29" s="37">
        <v>0.0</v>
      </c>
      <c r="R29" s="37">
        <v>0.0</v>
      </c>
      <c r="S29" s="38">
        <v>0.0</v>
      </c>
      <c r="T29" s="39">
        <v>0.0</v>
      </c>
      <c r="U29" s="39">
        <v>0.0</v>
      </c>
      <c r="V29" s="40">
        <v>0.0</v>
      </c>
      <c r="W29" s="41">
        <v>0.0</v>
      </c>
      <c r="X29" s="41">
        <v>0.0</v>
      </c>
      <c r="Y29" s="42">
        <v>0.0</v>
      </c>
      <c r="Z29" s="43">
        <v>0.0</v>
      </c>
      <c r="AA29" s="44">
        <v>0.0</v>
      </c>
      <c r="AB29" s="45">
        <f t="shared" si="7"/>
        <v>1434.37</v>
      </c>
    </row>
    <row r="30" ht="14.25" customHeight="1">
      <c r="B30" s="36" t="s">
        <v>62</v>
      </c>
      <c r="C30" s="37">
        <v>0.0</v>
      </c>
      <c r="D30" s="37">
        <v>0.0</v>
      </c>
      <c r="E30" s="37">
        <v>0.0</v>
      </c>
      <c r="F30" s="38">
        <v>0.0</v>
      </c>
      <c r="G30" s="39">
        <v>0.0</v>
      </c>
      <c r="H30" s="39">
        <v>0.0</v>
      </c>
      <c r="I30" s="40">
        <v>0.0</v>
      </c>
      <c r="J30" s="41">
        <v>0.0</v>
      </c>
      <c r="K30" s="41">
        <v>0.0</v>
      </c>
      <c r="L30" s="42">
        <v>0.0</v>
      </c>
      <c r="M30" s="43">
        <v>0.0</v>
      </c>
      <c r="N30" s="44">
        <v>0.0</v>
      </c>
      <c r="O30" s="45">
        <f t="shared" si="6"/>
        <v>0</v>
      </c>
      <c r="P30" s="37">
        <v>0.0</v>
      </c>
      <c r="Q30" s="37">
        <v>0.0</v>
      </c>
      <c r="R30" s="37">
        <v>0.0</v>
      </c>
      <c r="S30" s="38">
        <v>0.0</v>
      </c>
      <c r="T30" s="39">
        <v>0.0</v>
      </c>
      <c r="U30" s="39">
        <v>0.0</v>
      </c>
      <c r="V30" s="40">
        <v>0.0</v>
      </c>
      <c r="W30" s="41">
        <v>0.0</v>
      </c>
      <c r="X30" s="41">
        <v>0.0</v>
      </c>
      <c r="Y30" s="42">
        <v>0.0</v>
      </c>
      <c r="Z30" s="43">
        <v>0.0</v>
      </c>
      <c r="AA30" s="44">
        <v>0.0</v>
      </c>
      <c r="AB30" s="45">
        <f t="shared" si="7"/>
        <v>0</v>
      </c>
    </row>
    <row r="31" ht="14.25" customHeight="1">
      <c r="B31" s="36" t="s">
        <v>62</v>
      </c>
      <c r="C31" s="37">
        <v>0.0</v>
      </c>
      <c r="D31" s="37">
        <v>0.0</v>
      </c>
      <c r="E31" s="37">
        <v>0.0</v>
      </c>
      <c r="F31" s="38">
        <v>0.0</v>
      </c>
      <c r="G31" s="39">
        <v>0.0</v>
      </c>
      <c r="H31" s="39">
        <v>0.0</v>
      </c>
      <c r="I31" s="40">
        <v>0.0</v>
      </c>
      <c r="J31" s="41">
        <v>0.0</v>
      </c>
      <c r="K31" s="41">
        <v>0.0</v>
      </c>
      <c r="L31" s="42">
        <v>0.0</v>
      </c>
      <c r="M31" s="43">
        <v>0.0</v>
      </c>
      <c r="N31" s="44">
        <v>0.0</v>
      </c>
      <c r="O31" s="45">
        <f t="shared" si="6"/>
        <v>0</v>
      </c>
      <c r="P31" s="37">
        <v>0.0</v>
      </c>
      <c r="Q31" s="37">
        <v>0.0</v>
      </c>
      <c r="R31" s="37">
        <v>0.0</v>
      </c>
      <c r="S31" s="38">
        <v>0.0</v>
      </c>
      <c r="T31" s="39">
        <v>0.0</v>
      </c>
      <c r="U31" s="39">
        <v>0.0</v>
      </c>
      <c r="V31" s="40">
        <v>0.0</v>
      </c>
      <c r="W31" s="41">
        <v>0.0</v>
      </c>
      <c r="X31" s="41">
        <v>0.0</v>
      </c>
      <c r="Y31" s="42">
        <v>0.0</v>
      </c>
      <c r="Z31" s="43">
        <v>0.0</v>
      </c>
      <c r="AA31" s="44">
        <v>0.0</v>
      </c>
      <c r="AB31" s="45">
        <f t="shared" si="7"/>
        <v>0</v>
      </c>
    </row>
    <row r="32" ht="14.25" customHeight="1">
      <c r="B32" s="36" t="s">
        <v>62</v>
      </c>
      <c r="C32" s="37">
        <v>0.0</v>
      </c>
      <c r="D32" s="37">
        <v>0.0</v>
      </c>
      <c r="E32" s="37">
        <v>0.0</v>
      </c>
      <c r="F32" s="38">
        <v>0.0</v>
      </c>
      <c r="G32" s="39">
        <v>0.0</v>
      </c>
      <c r="H32" s="39">
        <v>0.0</v>
      </c>
      <c r="I32" s="40">
        <v>0.0</v>
      </c>
      <c r="J32" s="41">
        <v>0.0</v>
      </c>
      <c r="K32" s="41">
        <v>0.0</v>
      </c>
      <c r="L32" s="42">
        <v>0.0</v>
      </c>
      <c r="M32" s="43">
        <v>0.0</v>
      </c>
      <c r="N32" s="44">
        <v>0.0</v>
      </c>
      <c r="O32" s="45">
        <f t="shared" si="6"/>
        <v>0</v>
      </c>
      <c r="P32" s="37">
        <v>0.0</v>
      </c>
      <c r="Q32" s="37">
        <v>0.0</v>
      </c>
      <c r="R32" s="37">
        <v>0.0</v>
      </c>
      <c r="S32" s="38">
        <v>0.0</v>
      </c>
      <c r="T32" s="39">
        <v>0.0</v>
      </c>
      <c r="U32" s="39">
        <v>0.0</v>
      </c>
      <c r="V32" s="40">
        <v>0.0</v>
      </c>
      <c r="W32" s="41">
        <v>0.0</v>
      </c>
      <c r="X32" s="41">
        <v>0.0</v>
      </c>
      <c r="Y32" s="42">
        <v>0.0</v>
      </c>
      <c r="Z32" s="43">
        <v>0.0</v>
      </c>
      <c r="AA32" s="44">
        <v>0.0</v>
      </c>
      <c r="AB32" s="45">
        <f t="shared" si="7"/>
        <v>0</v>
      </c>
    </row>
    <row r="33" ht="14.25" customHeight="1">
      <c r="B33" s="36" t="s">
        <v>62</v>
      </c>
      <c r="C33" s="37">
        <v>0.0</v>
      </c>
      <c r="D33" s="37">
        <v>0.0</v>
      </c>
      <c r="E33" s="37">
        <v>0.0</v>
      </c>
      <c r="F33" s="38">
        <v>0.0</v>
      </c>
      <c r="G33" s="39">
        <v>0.0</v>
      </c>
      <c r="H33" s="39">
        <v>0.0</v>
      </c>
      <c r="I33" s="40">
        <v>0.0</v>
      </c>
      <c r="J33" s="41">
        <v>0.0</v>
      </c>
      <c r="K33" s="41">
        <v>0.0</v>
      </c>
      <c r="L33" s="42">
        <v>0.0</v>
      </c>
      <c r="M33" s="43">
        <v>0.0</v>
      </c>
      <c r="N33" s="44">
        <v>0.0</v>
      </c>
      <c r="O33" s="45">
        <f t="shared" si="6"/>
        <v>0</v>
      </c>
      <c r="P33" s="37">
        <v>0.0</v>
      </c>
      <c r="Q33" s="37">
        <v>0.0</v>
      </c>
      <c r="R33" s="37">
        <v>0.0</v>
      </c>
      <c r="S33" s="38">
        <v>0.0</v>
      </c>
      <c r="T33" s="39">
        <v>0.0</v>
      </c>
      <c r="U33" s="39">
        <v>0.0</v>
      </c>
      <c r="V33" s="40">
        <v>0.0</v>
      </c>
      <c r="W33" s="41">
        <v>0.0</v>
      </c>
      <c r="X33" s="41">
        <v>0.0</v>
      </c>
      <c r="Y33" s="42">
        <v>0.0</v>
      </c>
      <c r="Z33" s="43">
        <v>0.0</v>
      </c>
      <c r="AA33" s="44">
        <v>0.0</v>
      </c>
      <c r="AB33" s="45">
        <f t="shared" si="7"/>
        <v>0</v>
      </c>
    </row>
    <row r="34" ht="14.25" customHeight="1">
      <c r="B34" s="36" t="s">
        <v>62</v>
      </c>
      <c r="C34" s="37">
        <v>0.0</v>
      </c>
      <c r="D34" s="37">
        <v>0.0</v>
      </c>
      <c r="E34" s="37">
        <v>0.0</v>
      </c>
      <c r="F34" s="38">
        <v>0.0</v>
      </c>
      <c r="G34" s="39">
        <v>0.0</v>
      </c>
      <c r="H34" s="39">
        <v>0.0</v>
      </c>
      <c r="I34" s="40">
        <v>0.0</v>
      </c>
      <c r="J34" s="41">
        <v>0.0</v>
      </c>
      <c r="K34" s="41">
        <v>0.0</v>
      </c>
      <c r="L34" s="42">
        <v>0.0</v>
      </c>
      <c r="M34" s="43">
        <v>0.0</v>
      </c>
      <c r="N34" s="44">
        <v>0.0</v>
      </c>
      <c r="O34" s="45">
        <f t="shared" si="6"/>
        <v>0</v>
      </c>
      <c r="P34" s="37">
        <v>0.0</v>
      </c>
      <c r="Q34" s="37">
        <v>0.0</v>
      </c>
      <c r="R34" s="37">
        <v>0.0</v>
      </c>
      <c r="S34" s="38">
        <v>0.0</v>
      </c>
      <c r="T34" s="39">
        <v>0.0</v>
      </c>
      <c r="U34" s="39">
        <v>0.0</v>
      </c>
      <c r="V34" s="40">
        <v>0.0</v>
      </c>
      <c r="W34" s="41">
        <v>0.0</v>
      </c>
      <c r="X34" s="41">
        <v>0.0</v>
      </c>
      <c r="Y34" s="42">
        <v>0.0</v>
      </c>
      <c r="Z34" s="43">
        <v>0.0</v>
      </c>
      <c r="AA34" s="44">
        <v>0.0</v>
      </c>
      <c r="AB34" s="45">
        <f t="shared" si="7"/>
        <v>0</v>
      </c>
    </row>
    <row r="35" ht="14.25" customHeight="1">
      <c r="B35" s="57" t="s">
        <v>64</v>
      </c>
      <c r="C35" s="37">
        <v>1066.27</v>
      </c>
      <c r="D35" s="37">
        <v>1066.27</v>
      </c>
      <c r="E35" s="37">
        <v>1066.27</v>
      </c>
      <c r="F35" s="39">
        <v>1066.27</v>
      </c>
      <c r="G35" s="39">
        <v>1066.27</v>
      </c>
      <c r="H35" s="39">
        <v>1066.27</v>
      </c>
      <c r="I35" s="41">
        <v>1066.27</v>
      </c>
      <c r="J35" s="41">
        <v>1066.27</v>
      </c>
      <c r="K35" s="41">
        <v>1066.27</v>
      </c>
      <c r="L35" s="43">
        <v>1066.27</v>
      </c>
      <c r="M35" s="43">
        <v>1215.82</v>
      </c>
      <c r="N35" s="43">
        <v>1215.82</v>
      </c>
      <c r="O35" s="45">
        <f t="shared" si="6"/>
        <v>13094.34</v>
      </c>
      <c r="P35" s="37">
        <v>1318.02</v>
      </c>
      <c r="Q35" s="37">
        <v>1318.02</v>
      </c>
      <c r="R35" s="37">
        <v>1318.02</v>
      </c>
      <c r="S35" s="39">
        <v>1318.02</v>
      </c>
      <c r="T35" s="39">
        <v>1318.02</v>
      </c>
      <c r="U35" s="39">
        <v>1318.02</v>
      </c>
      <c r="V35" s="41">
        <v>1318.02</v>
      </c>
      <c r="W35" s="41">
        <v>1318.02</v>
      </c>
      <c r="X35" s="41">
        <v>1318.02</v>
      </c>
      <c r="Y35" s="43">
        <v>1318.02</v>
      </c>
      <c r="Z35" s="43">
        <v>1318.02</v>
      </c>
      <c r="AA35" s="43">
        <v>1318.02</v>
      </c>
      <c r="AB35" s="45">
        <f t="shared" si="7"/>
        <v>15816.24</v>
      </c>
    </row>
    <row r="36" ht="14.25" customHeight="1">
      <c r="B36" s="57" t="s">
        <v>65</v>
      </c>
      <c r="C36" s="37">
        <v>397.48</v>
      </c>
      <c r="D36" s="37">
        <v>397.48</v>
      </c>
      <c r="E36" s="37">
        <v>397.48</v>
      </c>
      <c r="F36" s="39">
        <v>397.48</v>
      </c>
      <c r="G36" s="39">
        <v>397.48</v>
      </c>
      <c r="H36" s="39">
        <v>397.48</v>
      </c>
      <c r="I36" s="41">
        <v>397.48</v>
      </c>
      <c r="J36" s="41">
        <v>397.48</v>
      </c>
      <c r="K36" s="41">
        <v>397.48</v>
      </c>
      <c r="L36" s="43">
        <v>397.48</v>
      </c>
      <c r="M36" s="43">
        <v>397.48</v>
      </c>
      <c r="N36" s="43">
        <v>397.48</v>
      </c>
      <c r="O36" s="45">
        <f t="shared" si="6"/>
        <v>4769.76</v>
      </c>
      <c r="P36" s="37">
        <v>401.46</v>
      </c>
      <c r="Q36" s="37">
        <v>401.46</v>
      </c>
      <c r="R36" s="37">
        <v>401.46</v>
      </c>
      <c r="S36" s="38">
        <v>401.46</v>
      </c>
      <c r="T36" s="38">
        <v>401.46</v>
      </c>
      <c r="U36" s="38">
        <v>401.46</v>
      </c>
      <c r="V36" s="40">
        <v>401.46</v>
      </c>
      <c r="W36" s="40">
        <v>401.46</v>
      </c>
      <c r="X36" s="40">
        <v>401.46</v>
      </c>
      <c r="Y36" s="42">
        <v>401.46</v>
      </c>
      <c r="Z36" s="42">
        <v>401.46</v>
      </c>
      <c r="AA36" s="42">
        <v>401.46</v>
      </c>
      <c r="AB36" s="45">
        <f t="shared" si="7"/>
        <v>4817.52</v>
      </c>
    </row>
    <row r="37" ht="14.25" customHeight="1">
      <c r="B37" s="57" t="s">
        <v>66</v>
      </c>
      <c r="C37" s="37">
        <v>0.0</v>
      </c>
      <c r="D37" s="37">
        <v>0.0</v>
      </c>
      <c r="E37" s="37">
        <v>0.0</v>
      </c>
      <c r="F37" s="38">
        <v>0.0</v>
      </c>
      <c r="G37" s="39">
        <v>0.0</v>
      </c>
      <c r="H37" s="39">
        <v>0.0</v>
      </c>
      <c r="I37" s="40">
        <v>0.0</v>
      </c>
      <c r="J37" s="41">
        <v>0.0</v>
      </c>
      <c r="K37" s="41">
        <v>0.0</v>
      </c>
      <c r="L37" s="42">
        <v>350.0</v>
      </c>
      <c r="M37" s="43">
        <v>0.0</v>
      </c>
      <c r="N37" s="44">
        <v>0.0</v>
      </c>
      <c r="O37" s="45">
        <f t="shared" si="6"/>
        <v>350</v>
      </c>
      <c r="P37" s="37">
        <v>0.0</v>
      </c>
      <c r="Q37" s="37">
        <v>0.0</v>
      </c>
      <c r="R37" s="37">
        <v>0.0</v>
      </c>
      <c r="S37" s="38">
        <v>0.0</v>
      </c>
      <c r="T37" s="39">
        <v>0.0</v>
      </c>
      <c r="U37" s="39">
        <v>0.0</v>
      </c>
      <c r="V37" s="40">
        <v>0.0</v>
      </c>
      <c r="W37" s="41">
        <v>0.0</v>
      </c>
      <c r="X37" s="41">
        <v>0.0</v>
      </c>
      <c r="Y37" s="42"/>
      <c r="Z37" s="43">
        <v>0.0</v>
      </c>
      <c r="AA37" s="44">
        <v>0.0</v>
      </c>
      <c r="AB37" s="45">
        <f t="shared" si="7"/>
        <v>0</v>
      </c>
    </row>
    <row r="38" ht="14.25" customHeight="1">
      <c r="B38" s="57" t="s">
        <v>67</v>
      </c>
      <c r="C38" s="37">
        <v>0.0</v>
      </c>
      <c r="D38" s="37">
        <v>0.0</v>
      </c>
      <c r="E38" s="37">
        <v>0.0</v>
      </c>
      <c r="F38" s="38">
        <v>0.0</v>
      </c>
      <c r="G38" s="39">
        <v>0.0</v>
      </c>
      <c r="H38" s="39">
        <v>0.0</v>
      </c>
      <c r="I38" s="40">
        <v>0.0</v>
      </c>
      <c r="J38" s="41">
        <v>0.0</v>
      </c>
      <c r="K38" s="41">
        <v>0.0</v>
      </c>
      <c r="L38" s="42">
        <v>200.0</v>
      </c>
      <c r="M38" s="43">
        <v>0.0</v>
      </c>
      <c r="N38" s="44">
        <v>0.0</v>
      </c>
      <c r="O38" s="45">
        <f t="shared" si="6"/>
        <v>200</v>
      </c>
      <c r="P38" s="37">
        <v>0.0</v>
      </c>
      <c r="Q38" s="37">
        <v>0.0</v>
      </c>
      <c r="R38" s="37">
        <v>0.0</v>
      </c>
      <c r="S38" s="38">
        <v>0.0</v>
      </c>
      <c r="T38" s="39">
        <v>0.0</v>
      </c>
      <c r="U38" s="39">
        <v>0.0</v>
      </c>
      <c r="V38" s="40">
        <v>0.0</v>
      </c>
      <c r="W38" s="41">
        <v>0.0</v>
      </c>
      <c r="X38" s="41">
        <v>0.0</v>
      </c>
      <c r="Y38" s="42">
        <v>200.0</v>
      </c>
      <c r="Z38" s="43">
        <v>0.0</v>
      </c>
      <c r="AA38" s="44">
        <v>0.0</v>
      </c>
      <c r="AB38" s="45">
        <f t="shared" si="7"/>
        <v>200</v>
      </c>
    </row>
    <row r="39" ht="14.25" customHeight="1">
      <c r="B39" s="36" t="s">
        <v>62</v>
      </c>
      <c r="C39" s="37">
        <v>0.0</v>
      </c>
      <c r="D39" s="37">
        <v>0.0</v>
      </c>
      <c r="E39" s="37">
        <v>0.0</v>
      </c>
      <c r="F39" s="38">
        <v>0.0</v>
      </c>
      <c r="G39" s="39">
        <v>0.0</v>
      </c>
      <c r="H39" s="39">
        <v>0.0</v>
      </c>
      <c r="I39" s="40">
        <v>0.0</v>
      </c>
      <c r="J39" s="41">
        <v>0.0</v>
      </c>
      <c r="K39" s="41">
        <v>0.0</v>
      </c>
      <c r="L39" s="42">
        <v>0.0</v>
      </c>
      <c r="M39" s="43">
        <v>0.0</v>
      </c>
      <c r="N39" s="44">
        <v>0.0</v>
      </c>
      <c r="O39" s="45">
        <f t="shared" si="6"/>
        <v>0</v>
      </c>
      <c r="P39" s="37">
        <v>0.0</v>
      </c>
      <c r="Q39" s="37">
        <v>0.0</v>
      </c>
      <c r="R39" s="37">
        <v>0.0</v>
      </c>
      <c r="S39" s="38">
        <v>0.0</v>
      </c>
      <c r="T39" s="39">
        <v>0.0</v>
      </c>
      <c r="U39" s="39">
        <v>0.0</v>
      </c>
      <c r="V39" s="40">
        <v>0.0</v>
      </c>
      <c r="W39" s="41">
        <v>0.0</v>
      </c>
      <c r="X39" s="41">
        <v>0.0</v>
      </c>
      <c r="Y39" s="42">
        <v>0.0</v>
      </c>
      <c r="Z39" s="43">
        <v>0.0</v>
      </c>
      <c r="AA39" s="44">
        <v>0.0</v>
      </c>
      <c r="AB39" s="45">
        <f t="shared" si="7"/>
        <v>0</v>
      </c>
    </row>
    <row r="40" ht="14.25" customHeight="1">
      <c r="B40" s="36" t="s">
        <v>62</v>
      </c>
      <c r="C40" s="37">
        <v>0.0</v>
      </c>
      <c r="D40" s="37">
        <v>0.0</v>
      </c>
      <c r="E40" s="37">
        <v>0.0</v>
      </c>
      <c r="F40" s="38">
        <v>0.0</v>
      </c>
      <c r="G40" s="39">
        <v>0.0</v>
      </c>
      <c r="H40" s="39">
        <v>0.0</v>
      </c>
      <c r="I40" s="40">
        <v>0.0</v>
      </c>
      <c r="J40" s="41">
        <v>0.0</v>
      </c>
      <c r="K40" s="41">
        <v>0.0</v>
      </c>
      <c r="L40" s="42">
        <v>0.0</v>
      </c>
      <c r="M40" s="43">
        <v>0.0</v>
      </c>
      <c r="N40" s="44">
        <v>0.0</v>
      </c>
      <c r="O40" s="45">
        <f t="shared" si="6"/>
        <v>0</v>
      </c>
      <c r="P40" s="37">
        <v>0.0</v>
      </c>
      <c r="Q40" s="37">
        <v>0.0</v>
      </c>
      <c r="R40" s="37">
        <v>0.0</v>
      </c>
      <c r="S40" s="38">
        <v>0.0</v>
      </c>
      <c r="T40" s="39">
        <v>0.0</v>
      </c>
      <c r="U40" s="39">
        <v>0.0</v>
      </c>
      <c r="V40" s="40">
        <v>0.0</v>
      </c>
      <c r="W40" s="41">
        <v>0.0</v>
      </c>
      <c r="X40" s="41">
        <v>0.0</v>
      </c>
      <c r="Y40" s="42">
        <v>0.0</v>
      </c>
      <c r="Z40" s="43">
        <v>0.0</v>
      </c>
      <c r="AA40" s="44">
        <v>0.0</v>
      </c>
      <c r="AB40" s="45">
        <f t="shared" si="7"/>
        <v>0</v>
      </c>
    </row>
    <row r="41" ht="14.25" customHeight="1">
      <c r="B41" s="36" t="s">
        <v>62</v>
      </c>
      <c r="C41" s="37">
        <v>0.0</v>
      </c>
      <c r="D41" s="37">
        <v>0.0</v>
      </c>
      <c r="E41" s="37">
        <v>0.0</v>
      </c>
      <c r="F41" s="38">
        <v>0.0</v>
      </c>
      <c r="G41" s="39">
        <v>0.0</v>
      </c>
      <c r="H41" s="39">
        <v>0.0</v>
      </c>
      <c r="I41" s="40">
        <v>0.0</v>
      </c>
      <c r="J41" s="41">
        <v>0.0</v>
      </c>
      <c r="K41" s="41">
        <v>0.0</v>
      </c>
      <c r="L41" s="42">
        <v>0.0</v>
      </c>
      <c r="M41" s="43">
        <v>0.0</v>
      </c>
      <c r="N41" s="44">
        <v>0.0</v>
      </c>
      <c r="O41" s="45">
        <f t="shared" si="6"/>
        <v>0</v>
      </c>
      <c r="P41" s="37">
        <v>0.0</v>
      </c>
      <c r="Q41" s="37">
        <v>0.0</v>
      </c>
      <c r="R41" s="37">
        <v>0.0</v>
      </c>
      <c r="S41" s="38">
        <v>0.0</v>
      </c>
      <c r="T41" s="39">
        <v>0.0</v>
      </c>
      <c r="U41" s="39">
        <v>0.0</v>
      </c>
      <c r="V41" s="40">
        <v>0.0</v>
      </c>
      <c r="W41" s="41">
        <v>0.0</v>
      </c>
      <c r="X41" s="41">
        <v>0.0</v>
      </c>
      <c r="Y41" s="42">
        <v>0.0</v>
      </c>
      <c r="Z41" s="43">
        <v>0.0</v>
      </c>
      <c r="AA41" s="44">
        <v>0.0</v>
      </c>
      <c r="AB41" s="45">
        <f t="shared" si="7"/>
        <v>0</v>
      </c>
    </row>
    <row r="42" ht="14.25" customHeight="1">
      <c r="B42" s="47" t="s">
        <v>57</v>
      </c>
      <c r="C42" s="48">
        <f t="shared" ref="C42:N42" si="8">SUM(C10:C41)</f>
        <v>1490.5</v>
      </c>
      <c r="D42" s="48">
        <f t="shared" si="8"/>
        <v>1490.5</v>
      </c>
      <c r="E42" s="48">
        <f t="shared" si="8"/>
        <v>1490.5</v>
      </c>
      <c r="F42" s="49">
        <f t="shared" si="8"/>
        <v>1490.5</v>
      </c>
      <c r="G42" s="50">
        <f t="shared" si="8"/>
        <v>1490.5</v>
      </c>
      <c r="H42" s="50">
        <f t="shared" si="8"/>
        <v>1490.5</v>
      </c>
      <c r="I42" s="51">
        <f t="shared" si="8"/>
        <v>1490.5</v>
      </c>
      <c r="J42" s="52">
        <f t="shared" si="8"/>
        <v>1490.5</v>
      </c>
      <c r="K42" s="52">
        <f t="shared" si="8"/>
        <v>1490.5</v>
      </c>
      <c r="L42" s="53">
        <f t="shared" si="8"/>
        <v>2053.5</v>
      </c>
      <c r="M42" s="54">
        <f t="shared" si="8"/>
        <v>1640.05</v>
      </c>
      <c r="N42" s="55">
        <f t="shared" si="8"/>
        <v>1640.05</v>
      </c>
      <c r="O42" s="56">
        <f t="shared" si="6"/>
        <v>18748.1</v>
      </c>
      <c r="P42" s="48">
        <f t="shared" ref="P42:AA42" si="9">SUM(P10:P41)</f>
        <v>3438.93</v>
      </c>
      <c r="Q42" s="48">
        <f t="shared" si="9"/>
        <v>1754.56</v>
      </c>
      <c r="R42" s="48">
        <f t="shared" si="9"/>
        <v>1754.56</v>
      </c>
      <c r="S42" s="49">
        <f t="shared" si="9"/>
        <v>1754.56</v>
      </c>
      <c r="T42" s="50">
        <f t="shared" si="9"/>
        <v>1834.56</v>
      </c>
      <c r="U42" s="50">
        <f t="shared" si="9"/>
        <v>1974.56</v>
      </c>
      <c r="V42" s="51">
        <f t="shared" si="9"/>
        <v>1754.56</v>
      </c>
      <c r="W42" s="52">
        <f t="shared" si="9"/>
        <v>1754.56</v>
      </c>
      <c r="X42" s="52">
        <f t="shared" si="9"/>
        <v>1754.56</v>
      </c>
      <c r="Y42" s="53">
        <f t="shared" si="9"/>
        <v>1954.56</v>
      </c>
      <c r="Z42" s="54">
        <f t="shared" si="9"/>
        <v>2004.56</v>
      </c>
      <c r="AA42" s="55">
        <f t="shared" si="9"/>
        <v>1754.56</v>
      </c>
      <c r="AB42" s="56">
        <f t="shared" si="7"/>
        <v>23489.09</v>
      </c>
    </row>
    <row r="43" ht="14.25" customHeight="1"/>
    <row r="44" ht="14.25" customHeight="1">
      <c r="B44" s="70" t="s">
        <v>58</v>
      </c>
      <c r="C44" s="71">
        <f t="shared" ref="C44:AB44" si="10">C6-C42</f>
        <v>-1490.5</v>
      </c>
      <c r="D44" s="71">
        <f t="shared" si="10"/>
        <v>-1490.5</v>
      </c>
      <c r="E44" s="71">
        <f t="shared" si="10"/>
        <v>-1490.5</v>
      </c>
      <c r="F44" s="72">
        <f t="shared" si="10"/>
        <v>-1490.5</v>
      </c>
      <c r="G44" s="73">
        <f t="shared" si="10"/>
        <v>-1490.5</v>
      </c>
      <c r="H44" s="73">
        <f t="shared" si="10"/>
        <v>-1490.5</v>
      </c>
      <c r="I44" s="74">
        <f t="shared" si="10"/>
        <v>-1490.5</v>
      </c>
      <c r="J44" s="75">
        <f t="shared" si="10"/>
        <v>-1490.5</v>
      </c>
      <c r="K44" s="75">
        <f t="shared" si="10"/>
        <v>-1490.5</v>
      </c>
      <c r="L44" s="76">
        <f t="shared" si="10"/>
        <v>-278.5</v>
      </c>
      <c r="M44" s="77">
        <f t="shared" si="10"/>
        <v>134.95</v>
      </c>
      <c r="N44" s="78">
        <f t="shared" si="10"/>
        <v>134.95</v>
      </c>
      <c r="O44" s="79">
        <f t="shared" si="10"/>
        <v>-13423.1</v>
      </c>
      <c r="P44" s="71">
        <f t="shared" si="10"/>
        <v>-1663.93</v>
      </c>
      <c r="Q44" s="71">
        <f t="shared" si="10"/>
        <v>20.44</v>
      </c>
      <c r="R44" s="71">
        <f t="shared" si="10"/>
        <v>20.44</v>
      </c>
      <c r="S44" s="72">
        <f t="shared" si="10"/>
        <v>20.44</v>
      </c>
      <c r="T44" s="73">
        <f t="shared" si="10"/>
        <v>-59.56</v>
      </c>
      <c r="U44" s="73">
        <f t="shared" si="10"/>
        <v>-199.56</v>
      </c>
      <c r="V44" s="74">
        <f t="shared" si="10"/>
        <v>20.44</v>
      </c>
      <c r="W44" s="75">
        <f t="shared" si="10"/>
        <v>20.44</v>
      </c>
      <c r="X44" s="75">
        <f t="shared" si="10"/>
        <v>20.44</v>
      </c>
      <c r="Y44" s="76">
        <f t="shared" si="10"/>
        <v>-4.56</v>
      </c>
      <c r="Z44" s="77">
        <f t="shared" si="10"/>
        <v>-54.56</v>
      </c>
      <c r="AA44" s="78">
        <f t="shared" si="10"/>
        <v>195.44</v>
      </c>
      <c r="AB44" s="79">
        <f t="shared" si="10"/>
        <v>-1664.09</v>
      </c>
    </row>
    <row r="45" ht="14.25" customHeight="1"/>
    <row r="46" ht="14.25" customHeight="1"/>
    <row r="47" ht="14.25" customHeight="1"/>
    <row r="48" ht="14.25" customHeight="1">
      <c r="B48" s="5" t="s">
        <v>68</v>
      </c>
      <c r="C48" s="80">
        <v>175250.0</v>
      </c>
    </row>
    <row r="49" ht="14.25" customHeight="1">
      <c r="B49" s="2" t="s">
        <v>69</v>
      </c>
      <c r="C49" s="81">
        <v>0.0525</v>
      </c>
    </row>
    <row r="50" ht="14.25" customHeight="1">
      <c r="C50" s="81"/>
    </row>
    <row r="51" ht="14.25" customHeight="1">
      <c r="B51" s="5" t="s">
        <v>70</v>
      </c>
      <c r="C51" s="4">
        <v>36984.13</v>
      </c>
    </row>
    <row r="52" ht="14.25" customHeight="1">
      <c r="C52" s="81"/>
    </row>
    <row r="53" ht="14.25" customHeight="1">
      <c r="B53" s="5" t="s">
        <v>71</v>
      </c>
    </row>
    <row r="54" ht="14.25" customHeight="1">
      <c r="B54" s="2" t="s">
        <v>72</v>
      </c>
      <c r="C54" s="2">
        <v>50000.0</v>
      </c>
    </row>
    <row r="55" ht="14.25" customHeight="1">
      <c r="B55" s="2" t="s">
        <v>73</v>
      </c>
      <c r="C55" s="2">
        <v>300.0</v>
      </c>
    </row>
    <row r="56" ht="14.25" customHeight="1">
      <c r="B56" s="2" t="s">
        <v>74</v>
      </c>
      <c r="C56" s="2">
        <v>500.0</v>
      </c>
    </row>
    <row r="57" ht="14.25" customHeight="1">
      <c r="B57" s="2" t="s">
        <v>75</v>
      </c>
      <c r="C57" s="2">
        <v>100.0</v>
      </c>
    </row>
    <row r="58" ht="14.25" customHeight="1">
      <c r="B58" s="2" t="s">
        <v>76</v>
      </c>
      <c r="C58" s="2">
        <v>350.0</v>
      </c>
    </row>
    <row r="59" ht="14.25" customHeight="1"/>
    <row r="60" ht="14.25" customHeight="1">
      <c r="B60" s="5" t="s">
        <v>77</v>
      </c>
    </row>
    <row r="61" ht="14.25" customHeight="1">
      <c r="B61" s="2" t="s">
        <v>78</v>
      </c>
    </row>
    <row r="62" ht="14.25" customHeight="1">
      <c r="B62" s="2" t="s">
        <v>79</v>
      </c>
    </row>
    <row r="63" ht="14.25" customHeight="1">
      <c r="B63" s="2" t="s">
        <v>65</v>
      </c>
    </row>
    <row r="64" ht="14.25" customHeight="1">
      <c r="B64" s="2" t="s">
        <v>80</v>
      </c>
    </row>
    <row r="65" ht="14.25" customHeight="1">
      <c r="B65" s="2" t="s">
        <v>81</v>
      </c>
    </row>
    <row r="66" ht="14.25" customHeight="1">
      <c r="B66" s="2" t="s">
        <v>82</v>
      </c>
    </row>
    <row r="67" ht="14.25" customHeight="1">
      <c r="B67" s="2" t="s">
        <v>83</v>
      </c>
    </row>
    <row r="68" ht="14.25" customHeight="1">
      <c r="B68" s="2" t="s">
        <v>84</v>
      </c>
    </row>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1:O1"/>
  </mergeCell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28.71"/>
    <col customWidth="1" min="2" max="3" width="10.86"/>
    <col customWidth="1" min="4" max="4" width="9.29"/>
    <col customWidth="1" min="5" max="5" width="10.86"/>
    <col customWidth="1" min="6" max="6" width="10.14"/>
    <col customWidth="1" min="7" max="8" width="11.14"/>
    <col customWidth="1" min="9" max="9" width="10.86"/>
    <col customWidth="1" min="10" max="10" width="11.86"/>
    <col customWidth="1" min="11" max="11" width="10.86"/>
    <col customWidth="1" min="12" max="12" width="11.14"/>
    <col customWidth="1" min="13" max="13" width="10.14"/>
    <col customWidth="1" min="14" max="14" width="11.14"/>
    <col customWidth="1" min="15" max="26" width="8.71"/>
  </cols>
  <sheetData>
    <row r="1" ht="14.25" customHeight="1">
      <c r="A1" s="82">
        <v>2023.0</v>
      </c>
    </row>
    <row r="2" ht="14.25" customHeight="1">
      <c r="A2" s="12" t="s">
        <v>13</v>
      </c>
      <c r="B2" s="83" t="s">
        <v>14</v>
      </c>
      <c r="C2" s="83" t="s">
        <v>15</v>
      </c>
      <c r="D2" s="83" t="s">
        <v>16</v>
      </c>
      <c r="E2" s="83" t="s">
        <v>17</v>
      </c>
      <c r="F2" s="83" t="s">
        <v>18</v>
      </c>
      <c r="G2" s="83" t="s">
        <v>19</v>
      </c>
      <c r="H2" s="83" t="s">
        <v>20</v>
      </c>
      <c r="I2" s="83" t="s">
        <v>21</v>
      </c>
      <c r="J2" s="83" t="s">
        <v>85</v>
      </c>
      <c r="K2" s="83" t="s">
        <v>23</v>
      </c>
      <c r="L2" s="83" t="s">
        <v>24</v>
      </c>
      <c r="M2" s="83" t="s">
        <v>25</v>
      </c>
      <c r="N2" s="83" t="s">
        <v>86</v>
      </c>
      <c r="O2" s="84"/>
      <c r="P2" s="84"/>
      <c r="Q2" s="84"/>
      <c r="R2" s="84"/>
      <c r="S2" s="84"/>
      <c r="T2" s="84"/>
      <c r="U2" s="84"/>
      <c r="V2" s="84"/>
      <c r="W2" s="84"/>
      <c r="X2" s="84"/>
      <c r="Y2" s="84"/>
      <c r="Z2" s="84"/>
    </row>
    <row r="3" ht="14.25" customHeight="1">
      <c r="A3" s="2" t="s">
        <v>8</v>
      </c>
      <c r="B3" s="4"/>
      <c r="C3" s="4"/>
      <c r="D3" s="4"/>
      <c r="E3" s="4"/>
      <c r="F3" s="4">
        <v>8135.65</v>
      </c>
      <c r="G3" s="4">
        <v>11661.5</v>
      </c>
      <c r="H3" s="4">
        <v>50000.0</v>
      </c>
      <c r="I3" s="4"/>
      <c r="J3" s="4">
        <v>400.0</v>
      </c>
      <c r="K3" s="4"/>
      <c r="L3" s="4">
        <v>10700.0</v>
      </c>
      <c r="M3" s="4">
        <v>3040.0</v>
      </c>
      <c r="N3" s="4">
        <f t="shared" ref="N3:N4" si="1">SUM(B3:M3)</f>
        <v>83937.15</v>
      </c>
    </row>
    <row r="4" ht="14.25" customHeight="1">
      <c r="A4" s="2" t="s">
        <v>87</v>
      </c>
      <c r="N4" s="2">
        <f t="shared" si="1"/>
        <v>0</v>
      </c>
    </row>
    <row r="5" ht="14.25" customHeight="1">
      <c r="A5" s="2" t="s">
        <v>88</v>
      </c>
      <c r="B5" s="4">
        <f t="shared" ref="B5:N5" si="2">SUM(B3:B4)</f>
        <v>0</v>
      </c>
      <c r="C5" s="4">
        <f t="shared" si="2"/>
        <v>0</v>
      </c>
      <c r="D5" s="4">
        <f t="shared" si="2"/>
        <v>0</v>
      </c>
      <c r="E5" s="4">
        <f t="shared" si="2"/>
        <v>0</v>
      </c>
      <c r="F5" s="4">
        <f t="shared" si="2"/>
        <v>8135.65</v>
      </c>
      <c r="G5" s="4">
        <f t="shared" si="2"/>
        <v>11661.5</v>
      </c>
      <c r="H5" s="4">
        <f t="shared" si="2"/>
        <v>50000</v>
      </c>
      <c r="I5" s="4">
        <f t="shared" si="2"/>
        <v>0</v>
      </c>
      <c r="J5" s="4">
        <f t="shared" si="2"/>
        <v>400</v>
      </c>
      <c r="K5" s="4">
        <f t="shared" si="2"/>
        <v>0</v>
      </c>
      <c r="L5" s="4">
        <f t="shared" si="2"/>
        <v>10700</v>
      </c>
      <c r="M5" s="4">
        <f t="shared" si="2"/>
        <v>3040</v>
      </c>
      <c r="N5" s="4">
        <f t="shared" si="2"/>
        <v>83937.15</v>
      </c>
    </row>
    <row r="6" ht="14.25" customHeight="1">
      <c r="B6" s="4"/>
      <c r="C6" s="4"/>
      <c r="D6" s="4"/>
      <c r="E6" s="4"/>
      <c r="F6" s="4"/>
      <c r="G6" s="4"/>
      <c r="H6" s="4"/>
      <c r="I6" s="4"/>
      <c r="J6" s="4"/>
      <c r="K6" s="4"/>
      <c r="L6" s="4"/>
      <c r="M6" s="4"/>
      <c r="N6" s="4"/>
    </row>
    <row r="7" ht="14.25" customHeight="1">
      <c r="A7" s="85" t="s">
        <v>31</v>
      </c>
      <c r="B7" s="83" t="s">
        <v>14</v>
      </c>
      <c r="C7" s="83" t="s">
        <v>15</v>
      </c>
      <c r="D7" s="83" t="s">
        <v>16</v>
      </c>
      <c r="E7" s="83" t="s">
        <v>17</v>
      </c>
      <c r="F7" s="83" t="s">
        <v>18</v>
      </c>
      <c r="G7" s="83" t="s">
        <v>19</v>
      </c>
      <c r="H7" s="83" t="s">
        <v>20</v>
      </c>
      <c r="I7" s="83" t="s">
        <v>21</v>
      </c>
      <c r="J7" s="83" t="s">
        <v>85</v>
      </c>
      <c r="K7" s="83" t="s">
        <v>23</v>
      </c>
      <c r="L7" s="83" t="s">
        <v>24</v>
      </c>
      <c r="M7" s="83" t="s">
        <v>25</v>
      </c>
      <c r="N7" s="83" t="s">
        <v>86</v>
      </c>
    </row>
    <row r="8" ht="14.25" customHeight="1">
      <c r="A8" s="2" t="s">
        <v>89</v>
      </c>
      <c r="B8" s="4"/>
      <c r="C8" s="4"/>
      <c r="D8" s="4"/>
      <c r="E8" s="4"/>
      <c r="F8" s="4"/>
      <c r="G8" s="4"/>
      <c r="H8" s="4"/>
      <c r="I8" s="4"/>
      <c r="J8" s="4"/>
      <c r="K8" s="4"/>
      <c r="L8" s="4"/>
      <c r="M8" s="4"/>
      <c r="N8" s="4">
        <f t="shared" ref="N8:N21" si="3">SUM(B8:M8)</f>
        <v>0</v>
      </c>
    </row>
    <row r="9" ht="14.25" customHeight="1">
      <c r="A9" s="2" t="s">
        <v>90</v>
      </c>
      <c r="B9" s="4"/>
      <c r="C9" s="4"/>
      <c r="D9" s="4"/>
      <c r="E9" s="4"/>
      <c r="F9" s="4"/>
      <c r="G9" s="4"/>
      <c r="H9" s="4"/>
      <c r="I9" s="4"/>
      <c r="J9" s="4">
        <v>13750.0</v>
      </c>
      <c r="K9" s="4"/>
      <c r="L9" s="4"/>
      <c r="M9" s="4"/>
      <c r="N9" s="4">
        <f t="shared" si="3"/>
        <v>13750</v>
      </c>
    </row>
    <row r="10" ht="14.25" customHeight="1">
      <c r="A10" s="2" t="s">
        <v>91</v>
      </c>
      <c r="B10" s="4"/>
      <c r="C10" s="4"/>
      <c r="D10" s="4"/>
      <c r="E10" s="4"/>
      <c r="F10" s="4"/>
      <c r="G10" s="4"/>
      <c r="H10" s="4"/>
      <c r="I10" s="4">
        <v>426.52</v>
      </c>
      <c r="J10" s="4">
        <v>87.99</v>
      </c>
      <c r="K10" s="4">
        <v>87.78</v>
      </c>
      <c r="L10" s="4"/>
      <c r="M10" s="4"/>
      <c r="N10" s="4">
        <f t="shared" si="3"/>
        <v>602.29</v>
      </c>
    </row>
    <row r="11" ht="14.25" customHeight="1">
      <c r="A11" s="2" t="s">
        <v>92</v>
      </c>
      <c r="B11" s="4"/>
      <c r="C11" s="4"/>
      <c r="D11" s="4"/>
      <c r="E11" s="4"/>
      <c r="F11" s="4"/>
      <c r="G11" s="4"/>
      <c r="H11" s="4"/>
      <c r="I11" s="4">
        <v>461.0</v>
      </c>
      <c r="J11" s="4"/>
      <c r="K11" s="4">
        <v>1799.5</v>
      </c>
      <c r="L11" s="4">
        <v>82.68</v>
      </c>
      <c r="M11" s="4"/>
      <c r="N11" s="4">
        <f t="shared" si="3"/>
        <v>2343.18</v>
      </c>
    </row>
    <row r="12" ht="14.25" customHeight="1">
      <c r="A12" s="2" t="s">
        <v>93</v>
      </c>
      <c r="B12" s="4"/>
      <c r="C12" s="4"/>
      <c r="D12" s="4"/>
      <c r="E12" s="4"/>
      <c r="F12" s="4"/>
      <c r="G12" s="4"/>
      <c r="H12" s="4"/>
      <c r="I12" s="4"/>
      <c r="J12" s="4"/>
      <c r="K12" s="4"/>
      <c r="L12" s="4"/>
      <c r="M12" s="4"/>
      <c r="N12" s="4">
        <f t="shared" si="3"/>
        <v>0</v>
      </c>
    </row>
    <row r="13" ht="14.25" customHeight="1">
      <c r="A13" s="2" t="s">
        <v>94</v>
      </c>
      <c r="B13" s="4">
        <v>15.0</v>
      </c>
      <c r="C13" s="4">
        <v>15.0</v>
      </c>
      <c r="D13" s="4">
        <v>15.0</v>
      </c>
      <c r="E13" s="4">
        <v>15.0</v>
      </c>
      <c r="F13" s="4">
        <v>15.0</v>
      </c>
      <c r="G13" s="4">
        <v>15.0</v>
      </c>
      <c r="H13" s="4">
        <v>15.0</v>
      </c>
      <c r="I13" s="4">
        <v>15.0</v>
      </c>
      <c r="J13" s="4">
        <v>15.0</v>
      </c>
      <c r="K13" s="4">
        <v>15.0</v>
      </c>
      <c r="L13" s="4">
        <v>15.0</v>
      </c>
      <c r="M13" s="4">
        <v>15.0</v>
      </c>
      <c r="N13" s="4">
        <f t="shared" si="3"/>
        <v>180</v>
      </c>
    </row>
    <row r="14" ht="14.25" customHeight="1">
      <c r="A14" s="2" t="s">
        <v>95</v>
      </c>
      <c r="B14" s="4"/>
      <c r="C14" s="4">
        <v>1185.36</v>
      </c>
      <c r="D14" s="4"/>
      <c r="E14" s="4">
        <v>1113.09</v>
      </c>
      <c r="F14" s="4"/>
      <c r="G14" s="4"/>
      <c r="H14" s="4">
        <v>50.0</v>
      </c>
      <c r="I14" s="4"/>
      <c r="J14" s="4">
        <v>1351.31</v>
      </c>
      <c r="K14" s="4"/>
      <c r="L14" s="4">
        <v>1283.75</v>
      </c>
      <c r="M14" s="4"/>
      <c r="N14" s="4">
        <f t="shared" si="3"/>
        <v>4983.51</v>
      </c>
    </row>
    <row r="15" ht="14.25" customHeight="1">
      <c r="A15" s="2" t="s">
        <v>96</v>
      </c>
      <c r="B15" s="4">
        <v>228.0</v>
      </c>
      <c r="C15" s="4">
        <v>20.0</v>
      </c>
      <c r="D15" s="4"/>
      <c r="E15" s="4"/>
      <c r="F15" s="4"/>
      <c r="G15" s="4"/>
      <c r="H15" s="4"/>
      <c r="I15" s="4"/>
      <c r="J15" s="4"/>
      <c r="K15" s="4"/>
      <c r="L15" s="4"/>
      <c r="M15" s="4"/>
      <c r="N15" s="4">
        <f t="shared" si="3"/>
        <v>248</v>
      </c>
    </row>
    <row r="16" ht="14.25" customHeight="1">
      <c r="A16" s="2" t="s">
        <v>97</v>
      </c>
      <c r="B16" s="4">
        <v>77.45</v>
      </c>
      <c r="C16" s="4">
        <v>77.45</v>
      </c>
      <c r="D16" s="4">
        <v>77.45</v>
      </c>
      <c r="E16" s="4">
        <v>77.45</v>
      </c>
      <c r="F16" s="4">
        <v>77.45</v>
      </c>
      <c r="G16" s="4">
        <v>77.45</v>
      </c>
      <c r="H16" s="4">
        <v>77.45</v>
      </c>
      <c r="I16" s="4">
        <v>77.45</v>
      </c>
      <c r="J16" s="4">
        <v>77.45</v>
      </c>
      <c r="K16" s="4">
        <v>77.45</v>
      </c>
      <c r="L16" s="4">
        <v>77.45</v>
      </c>
      <c r="M16" s="4">
        <v>77.45</v>
      </c>
      <c r="N16" s="4">
        <f t="shared" si="3"/>
        <v>929.4</v>
      </c>
    </row>
    <row r="17" ht="14.25" customHeight="1">
      <c r="A17" s="2" t="s">
        <v>98</v>
      </c>
      <c r="B17" s="4">
        <v>53.0</v>
      </c>
      <c r="C17" s="4">
        <v>53.0</v>
      </c>
      <c r="D17" s="4">
        <v>53.0</v>
      </c>
      <c r="E17" s="4">
        <v>53.0</v>
      </c>
      <c r="F17" s="4">
        <v>53.0</v>
      </c>
      <c r="G17" s="4">
        <v>53.0</v>
      </c>
      <c r="H17" s="4">
        <v>53.0</v>
      </c>
      <c r="I17" s="4">
        <v>53.0</v>
      </c>
      <c r="J17" s="4">
        <v>53.0</v>
      </c>
      <c r="K17" s="4">
        <v>53.0</v>
      </c>
      <c r="L17" s="4">
        <v>53.0</v>
      </c>
      <c r="M17" s="4">
        <v>53.0</v>
      </c>
      <c r="N17" s="4">
        <f t="shared" si="3"/>
        <v>636</v>
      </c>
    </row>
    <row r="18" ht="14.25" customHeight="1">
      <c r="A18" s="2" t="s">
        <v>99</v>
      </c>
      <c r="B18" s="4"/>
      <c r="C18" s="4"/>
      <c r="D18" s="4"/>
      <c r="E18" s="4"/>
      <c r="F18" s="4"/>
      <c r="G18" s="4"/>
      <c r="H18" s="4"/>
      <c r="I18" s="4"/>
      <c r="J18" s="4">
        <v>77.16</v>
      </c>
      <c r="K18" s="4">
        <v>384.99</v>
      </c>
      <c r="L18" s="4"/>
      <c r="M18" s="4"/>
      <c r="N18" s="4">
        <f t="shared" si="3"/>
        <v>462.15</v>
      </c>
    </row>
    <row r="19" ht="14.25" customHeight="1">
      <c r="A19" s="2" t="s">
        <v>100</v>
      </c>
      <c r="B19" s="4">
        <v>5025.37</v>
      </c>
      <c r="C19" s="4"/>
      <c r="D19" s="4"/>
      <c r="E19" s="4"/>
      <c r="F19" s="4"/>
      <c r="G19" s="4"/>
      <c r="H19" s="4"/>
      <c r="I19" s="4"/>
      <c r="J19" s="4"/>
      <c r="K19" s="4"/>
      <c r="L19" s="4"/>
      <c r="M19" s="4"/>
      <c r="N19" s="4">
        <f t="shared" si="3"/>
        <v>5025.37</v>
      </c>
    </row>
    <row r="20" ht="14.25" customHeight="1">
      <c r="A20" s="2" t="s">
        <v>101</v>
      </c>
      <c r="B20" s="4"/>
      <c r="C20" s="4"/>
      <c r="D20" s="4"/>
      <c r="E20" s="4"/>
      <c r="F20" s="4"/>
      <c r="G20" s="4"/>
      <c r="H20" s="4"/>
      <c r="I20" s="4"/>
      <c r="J20" s="4"/>
      <c r="K20" s="4"/>
      <c r="L20" s="4"/>
      <c r="M20" s="4"/>
      <c r="N20" s="4">
        <f t="shared" si="3"/>
        <v>0</v>
      </c>
    </row>
    <row r="21" ht="14.25" customHeight="1">
      <c r="A21" s="2" t="s">
        <v>80</v>
      </c>
      <c r="B21" s="4"/>
      <c r="C21" s="4"/>
      <c r="D21" s="4"/>
      <c r="E21" s="4"/>
      <c r="F21" s="4"/>
      <c r="G21" s="4"/>
      <c r="H21" s="4"/>
      <c r="I21" s="4"/>
      <c r="J21" s="4"/>
      <c r="K21" s="4"/>
      <c r="L21" s="4"/>
      <c r="M21" s="4"/>
      <c r="N21" s="4">
        <f t="shared" si="3"/>
        <v>0</v>
      </c>
    </row>
    <row r="22" ht="14.25" customHeight="1">
      <c r="A22" s="5" t="s">
        <v>57</v>
      </c>
      <c r="B22" s="86">
        <f t="shared" ref="B22:N22" si="4">SUM(B8:B21)</f>
        <v>5398.82</v>
      </c>
      <c r="C22" s="86">
        <f t="shared" si="4"/>
        <v>1350.81</v>
      </c>
      <c r="D22" s="86">
        <f t="shared" si="4"/>
        <v>145.45</v>
      </c>
      <c r="E22" s="86">
        <f t="shared" si="4"/>
        <v>1258.54</v>
      </c>
      <c r="F22" s="86">
        <f t="shared" si="4"/>
        <v>145.45</v>
      </c>
      <c r="G22" s="86">
        <f t="shared" si="4"/>
        <v>145.45</v>
      </c>
      <c r="H22" s="86">
        <f t="shared" si="4"/>
        <v>195.45</v>
      </c>
      <c r="I22" s="86">
        <f t="shared" si="4"/>
        <v>1032.97</v>
      </c>
      <c r="J22" s="86">
        <f t="shared" si="4"/>
        <v>15411.91</v>
      </c>
      <c r="K22" s="86">
        <f t="shared" si="4"/>
        <v>2417.72</v>
      </c>
      <c r="L22" s="86">
        <f t="shared" si="4"/>
        <v>1511.88</v>
      </c>
      <c r="M22" s="86">
        <f t="shared" si="4"/>
        <v>145.45</v>
      </c>
      <c r="N22" s="86">
        <f t="shared" si="4"/>
        <v>29159.9</v>
      </c>
    </row>
    <row r="23" ht="14.25" customHeight="1"/>
    <row r="24" ht="14.25" customHeight="1">
      <c r="A24" s="12" t="s">
        <v>102</v>
      </c>
      <c r="B24" s="87">
        <f t="shared" ref="B24:N24" si="5">SUM(B5-B22)</f>
        <v>-5398.82</v>
      </c>
      <c r="C24" s="87">
        <f t="shared" si="5"/>
        <v>-1350.81</v>
      </c>
      <c r="D24" s="87">
        <f t="shared" si="5"/>
        <v>-145.45</v>
      </c>
      <c r="E24" s="87">
        <f t="shared" si="5"/>
        <v>-1258.54</v>
      </c>
      <c r="F24" s="87">
        <f t="shared" si="5"/>
        <v>7990.2</v>
      </c>
      <c r="G24" s="87">
        <f t="shared" si="5"/>
        <v>11516.05</v>
      </c>
      <c r="H24" s="87">
        <f t="shared" si="5"/>
        <v>49804.55</v>
      </c>
      <c r="I24" s="87">
        <f t="shared" si="5"/>
        <v>-1032.97</v>
      </c>
      <c r="J24" s="87">
        <f t="shared" si="5"/>
        <v>-15011.91</v>
      </c>
      <c r="K24" s="87">
        <f t="shared" si="5"/>
        <v>-2417.72</v>
      </c>
      <c r="L24" s="87">
        <f t="shared" si="5"/>
        <v>9188.12</v>
      </c>
      <c r="M24" s="87">
        <f t="shared" si="5"/>
        <v>2894.55</v>
      </c>
      <c r="N24" s="87">
        <f t="shared" si="5"/>
        <v>54777.25</v>
      </c>
      <c r="O24" s="84"/>
      <c r="P24" s="84"/>
      <c r="Q24" s="84"/>
      <c r="R24" s="84"/>
      <c r="S24" s="84"/>
      <c r="T24" s="84"/>
      <c r="U24" s="84"/>
      <c r="V24" s="84"/>
      <c r="W24" s="84"/>
      <c r="X24" s="84"/>
      <c r="Y24" s="84"/>
      <c r="Z24" s="84"/>
    </row>
    <row r="25" ht="14.25" customHeight="1"/>
    <row r="26" ht="14.25" customHeight="1">
      <c r="A26" s="82">
        <v>2024.0</v>
      </c>
    </row>
    <row r="27" ht="14.25" customHeight="1">
      <c r="A27" s="12" t="s">
        <v>13</v>
      </c>
      <c r="B27" s="83" t="s">
        <v>14</v>
      </c>
      <c r="C27" s="83" t="s">
        <v>15</v>
      </c>
      <c r="D27" s="83" t="s">
        <v>16</v>
      </c>
      <c r="E27" s="83" t="s">
        <v>17</v>
      </c>
      <c r="F27" s="83" t="s">
        <v>18</v>
      </c>
      <c r="G27" s="83" t="s">
        <v>19</v>
      </c>
      <c r="H27" s="83" t="s">
        <v>20</v>
      </c>
      <c r="I27" s="83" t="s">
        <v>21</v>
      </c>
      <c r="J27" s="83" t="s">
        <v>85</v>
      </c>
      <c r="K27" s="83" t="s">
        <v>23</v>
      </c>
      <c r="L27" s="83" t="s">
        <v>24</v>
      </c>
      <c r="M27" s="83" t="s">
        <v>25</v>
      </c>
      <c r="N27" s="83" t="s">
        <v>86</v>
      </c>
    </row>
    <row r="28" ht="14.25" customHeight="1">
      <c r="A28" s="2" t="s">
        <v>8</v>
      </c>
      <c r="B28" s="4"/>
      <c r="C28" s="4"/>
      <c r="D28" s="4"/>
      <c r="E28" s="4"/>
      <c r="F28" s="4"/>
      <c r="G28" s="4"/>
      <c r="H28" s="4"/>
      <c r="I28" s="4"/>
      <c r="J28" s="4"/>
      <c r="K28" s="4"/>
      <c r="L28" s="4"/>
      <c r="M28" s="4"/>
      <c r="N28" s="4">
        <v>26294.06</v>
      </c>
    </row>
    <row r="29" ht="14.25" customHeight="1">
      <c r="A29" s="2" t="s">
        <v>87</v>
      </c>
      <c r="N29" s="2">
        <f>SUM(B29:M29)</f>
        <v>0</v>
      </c>
    </row>
    <row r="30" ht="14.25" customHeight="1">
      <c r="A30" s="2" t="s">
        <v>88</v>
      </c>
      <c r="B30" s="4">
        <f t="shared" ref="B30:N30" si="6">SUM(B28:B29)</f>
        <v>0</v>
      </c>
      <c r="C30" s="4">
        <f t="shared" si="6"/>
        <v>0</v>
      </c>
      <c r="D30" s="4">
        <f t="shared" si="6"/>
        <v>0</v>
      </c>
      <c r="E30" s="4">
        <f t="shared" si="6"/>
        <v>0</v>
      </c>
      <c r="F30" s="4">
        <f t="shared" si="6"/>
        <v>0</v>
      </c>
      <c r="G30" s="4">
        <f t="shared" si="6"/>
        <v>0</v>
      </c>
      <c r="H30" s="4">
        <f t="shared" si="6"/>
        <v>0</v>
      </c>
      <c r="I30" s="4">
        <f t="shared" si="6"/>
        <v>0</v>
      </c>
      <c r="J30" s="4">
        <f t="shared" si="6"/>
        <v>0</v>
      </c>
      <c r="K30" s="4">
        <f t="shared" si="6"/>
        <v>0</v>
      </c>
      <c r="L30" s="4">
        <f t="shared" si="6"/>
        <v>0</v>
      </c>
      <c r="M30" s="4">
        <f t="shared" si="6"/>
        <v>0</v>
      </c>
      <c r="N30" s="4">
        <f t="shared" si="6"/>
        <v>26294.06</v>
      </c>
    </row>
    <row r="31" ht="14.25" customHeight="1">
      <c r="B31" s="4"/>
      <c r="C31" s="4"/>
      <c r="D31" s="4"/>
      <c r="E31" s="4"/>
      <c r="F31" s="4"/>
      <c r="G31" s="4"/>
      <c r="H31" s="4"/>
      <c r="I31" s="4"/>
      <c r="J31" s="4"/>
      <c r="K31" s="4"/>
      <c r="L31" s="4"/>
      <c r="M31" s="4"/>
      <c r="N31" s="4"/>
    </row>
    <row r="32" ht="14.25" customHeight="1">
      <c r="A32" s="85" t="s">
        <v>31</v>
      </c>
      <c r="B32" s="83" t="s">
        <v>14</v>
      </c>
      <c r="C32" s="83" t="s">
        <v>15</v>
      </c>
      <c r="D32" s="83" t="s">
        <v>16</v>
      </c>
      <c r="E32" s="83" t="s">
        <v>17</v>
      </c>
      <c r="F32" s="83" t="s">
        <v>18</v>
      </c>
      <c r="G32" s="83" t="s">
        <v>19</v>
      </c>
      <c r="H32" s="83" t="s">
        <v>20</v>
      </c>
      <c r="I32" s="83" t="s">
        <v>21</v>
      </c>
      <c r="J32" s="83" t="s">
        <v>85</v>
      </c>
      <c r="K32" s="83" t="s">
        <v>23</v>
      </c>
      <c r="L32" s="83" t="s">
        <v>24</v>
      </c>
      <c r="M32" s="83" t="s">
        <v>25</v>
      </c>
      <c r="N32" s="83" t="s">
        <v>86</v>
      </c>
    </row>
    <row r="33" ht="14.25" customHeight="1">
      <c r="A33" s="2" t="s">
        <v>89</v>
      </c>
      <c r="B33" s="4">
        <v>13.59</v>
      </c>
      <c r="C33" s="4">
        <v>5.94</v>
      </c>
      <c r="D33" s="4">
        <v>31.89</v>
      </c>
      <c r="E33" s="4"/>
      <c r="F33" s="4"/>
      <c r="G33" s="4"/>
      <c r="H33" s="4"/>
      <c r="I33" s="4"/>
      <c r="J33" s="4"/>
      <c r="K33" s="4"/>
      <c r="L33" s="4"/>
      <c r="M33" s="4"/>
      <c r="N33" s="4">
        <f t="shared" ref="N33:N47" si="7">SUM(B33:M33)</f>
        <v>51.42</v>
      </c>
    </row>
    <row r="34" ht="14.25" customHeight="1">
      <c r="A34" s="2" t="s">
        <v>90</v>
      </c>
      <c r="B34" s="4"/>
      <c r="C34" s="4"/>
      <c r="D34" s="4"/>
      <c r="E34" s="4"/>
      <c r="F34" s="4"/>
      <c r="G34" s="4"/>
      <c r="H34" s="4"/>
      <c r="I34" s="4"/>
      <c r="J34" s="4"/>
      <c r="K34" s="4"/>
      <c r="L34" s="4"/>
      <c r="M34" s="4"/>
      <c r="N34" s="4">
        <f t="shared" si="7"/>
        <v>0</v>
      </c>
    </row>
    <row r="35" ht="14.25" customHeight="1">
      <c r="A35" s="2" t="s">
        <v>91</v>
      </c>
      <c r="B35" s="4"/>
      <c r="C35" s="4"/>
      <c r="D35" s="4"/>
      <c r="E35" s="4"/>
      <c r="F35" s="4"/>
      <c r="G35" s="4"/>
      <c r="H35" s="4"/>
      <c r="I35" s="4"/>
      <c r="J35" s="4"/>
      <c r="K35" s="4"/>
      <c r="L35" s="4"/>
      <c r="M35" s="4"/>
      <c r="N35" s="4">
        <f t="shared" si="7"/>
        <v>0</v>
      </c>
    </row>
    <row r="36" ht="14.25" customHeight="1">
      <c r="A36" s="2" t="s">
        <v>92</v>
      </c>
      <c r="B36" s="4"/>
      <c r="C36" s="4"/>
      <c r="D36" s="4"/>
      <c r="E36" s="4"/>
      <c r="F36" s="4"/>
      <c r="G36" s="4">
        <v>263.98</v>
      </c>
      <c r="H36" s="4">
        <v>165.0</v>
      </c>
      <c r="I36" s="4"/>
      <c r="J36" s="4"/>
      <c r="K36" s="4"/>
      <c r="L36" s="4"/>
      <c r="M36" s="4"/>
      <c r="N36" s="4">
        <f t="shared" si="7"/>
        <v>428.98</v>
      </c>
    </row>
    <row r="37" ht="14.25" customHeight="1">
      <c r="A37" s="2" t="s">
        <v>93</v>
      </c>
      <c r="B37" s="4"/>
      <c r="C37" s="4"/>
      <c r="D37" s="4"/>
      <c r="E37" s="4"/>
      <c r="F37" s="4"/>
      <c r="G37" s="4"/>
      <c r="H37" s="4"/>
      <c r="I37" s="4"/>
      <c r="J37" s="4"/>
      <c r="K37" s="4"/>
      <c r="L37" s="4"/>
      <c r="M37" s="4"/>
      <c r="N37" s="4">
        <f t="shared" si="7"/>
        <v>0</v>
      </c>
    </row>
    <row r="38" ht="14.25" customHeight="1">
      <c r="A38" s="2" t="s">
        <v>94</v>
      </c>
      <c r="B38" s="4"/>
      <c r="C38" s="4"/>
      <c r="D38" s="4">
        <v>60.0</v>
      </c>
      <c r="E38" s="4">
        <v>164.86</v>
      </c>
      <c r="F38" s="4">
        <v>34.91</v>
      </c>
      <c r="G38" s="4"/>
      <c r="H38" s="4"/>
      <c r="I38" s="4"/>
      <c r="J38" s="4"/>
      <c r="K38" s="4"/>
      <c r="L38" s="4"/>
      <c r="M38" s="4"/>
      <c r="N38" s="4">
        <f t="shared" si="7"/>
        <v>259.77</v>
      </c>
    </row>
    <row r="39" ht="14.25" customHeight="1">
      <c r="A39" s="2" t="s">
        <v>95</v>
      </c>
      <c r="B39" s="4"/>
      <c r="C39" s="88">
        <v>1169.05</v>
      </c>
      <c r="D39" s="4"/>
      <c r="E39" s="88">
        <v>1613.5</v>
      </c>
      <c r="F39" s="4"/>
      <c r="G39" s="4"/>
      <c r="H39" s="4"/>
      <c r="I39" s="4"/>
      <c r="J39" s="88">
        <v>923.42</v>
      </c>
      <c r="K39" s="4"/>
      <c r="L39" s="88">
        <v>1059.45</v>
      </c>
      <c r="M39" s="4"/>
      <c r="N39" s="4">
        <f t="shared" si="7"/>
        <v>4765.42</v>
      </c>
    </row>
    <row r="40" ht="14.25" customHeight="1">
      <c r="A40" s="2" t="s">
        <v>96</v>
      </c>
      <c r="B40" s="4"/>
      <c r="C40" s="4"/>
      <c r="D40" s="4"/>
      <c r="E40" s="4"/>
      <c r="F40" s="4"/>
      <c r="G40" s="4"/>
      <c r="H40" s="4"/>
      <c r="I40" s="4"/>
      <c r="J40" s="4"/>
      <c r="K40" s="4"/>
      <c r="L40" s="4"/>
      <c r="M40" s="4"/>
      <c r="N40" s="4">
        <f t="shared" si="7"/>
        <v>0</v>
      </c>
    </row>
    <row r="41" ht="14.25" customHeight="1">
      <c r="A41" s="2" t="s">
        <v>97</v>
      </c>
      <c r="B41" s="4">
        <v>77.66</v>
      </c>
      <c r="C41" s="4">
        <v>77.45</v>
      </c>
      <c r="D41" s="4">
        <v>77.45</v>
      </c>
      <c r="E41" s="4">
        <v>77.43</v>
      </c>
      <c r="F41" s="4">
        <v>77.43</v>
      </c>
      <c r="G41" s="4">
        <v>162.86</v>
      </c>
      <c r="H41" s="4">
        <v>267.46</v>
      </c>
      <c r="I41" s="4">
        <v>88.54</v>
      </c>
      <c r="J41" s="4">
        <v>88.72</v>
      </c>
      <c r="K41" s="4">
        <v>93.61</v>
      </c>
      <c r="L41" s="4">
        <v>111.83</v>
      </c>
      <c r="M41" s="4">
        <v>106.67</v>
      </c>
      <c r="N41" s="4">
        <f t="shared" si="7"/>
        <v>1307.11</v>
      </c>
    </row>
    <row r="42" ht="14.25" customHeight="1">
      <c r="A42" s="2" t="s">
        <v>98</v>
      </c>
      <c r="B42" s="4">
        <v>30.0</v>
      </c>
      <c r="C42" s="4">
        <v>30.0</v>
      </c>
      <c r="D42" s="4">
        <v>30.0</v>
      </c>
      <c r="E42" s="4">
        <v>30.0</v>
      </c>
      <c r="F42" s="4">
        <v>30.0</v>
      </c>
      <c r="G42" s="4">
        <v>30.0</v>
      </c>
      <c r="H42" s="4">
        <v>30.0</v>
      </c>
      <c r="I42" s="4">
        <v>30.0</v>
      </c>
      <c r="J42" s="4">
        <v>30.0</v>
      </c>
      <c r="K42" s="4">
        <v>50.0</v>
      </c>
      <c r="L42" s="4">
        <v>50.0</v>
      </c>
      <c r="M42" s="4">
        <v>50.0</v>
      </c>
      <c r="N42" s="4">
        <f t="shared" si="7"/>
        <v>420</v>
      </c>
    </row>
    <row r="43" ht="14.25" customHeight="1">
      <c r="A43" s="2" t="s">
        <v>99</v>
      </c>
      <c r="B43" s="4"/>
      <c r="C43" s="4"/>
      <c r="D43" s="4"/>
      <c r="E43" s="4">
        <v>20.0</v>
      </c>
      <c r="F43" s="4">
        <v>192.0</v>
      </c>
      <c r="G43" s="4"/>
      <c r="H43" s="4"/>
      <c r="I43" s="4"/>
      <c r="J43" s="4"/>
      <c r="K43" s="4"/>
      <c r="L43" s="4">
        <v>628.59</v>
      </c>
      <c r="M43" s="4"/>
      <c r="N43" s="4">
        <f t="shared" si="7"/>
        <v>840.59</v>
      </c>
    </row>
    <row r="44" ht="14.25" customHeight="1">
      <c r="A44" s="2" t="s">
        <v>103</v>
      </c>
      <c r="B44" s="4"/>
      <c r="C44" s="4"/>
      <c r="D44" s="4"/>
      <c r="E44" s="4"/>
      <c r="F44" s="4"/>
      <c r="G44" s="4"/>
      <c r="H44" s="4"/>
      <c r="I44" s="4"/>
      <c r="J44" s="4">
        <v>316.5</v>
      </c>
      <c r="K44" s="4"/>
      <c r="L44" s="4"/>
      <c r="M44" s="4"/>
      <c r="N44" s="4">
        <f t="shared" si="7"/>
        <v>316.5</v>
      </c>
    </row>
    <row r="45" ht="14.25" customHeight="1">
      <c r="A45" s="2" t="s">
        <v>100</v>
      </c>
      <c r="B45" s="4"/>
      <c r="C45" s="4"/>
      <c r="D45" s="4"/>
      <c r="E45" s="4"/>
      <c r="F45" s="4"/>
      <c r="G45" s="4"/>
      <c r="H45" s="4"/>
      <c r="I45" s="4"/>
      <c r="J45" s="4"/>
      <c r="K45" s="4"/>
      <c r="L45" s="4"/>
      <c r="M45" s="4">
        <v>197.44</v>
      </c>
      <c r="N45" s="4">
        <f t="shared" si="7"/>
        <v>197.44</v>
      </c>
    </row>
    <row r="46" ht="14.25" customHeight="1">
      <c r="A46" s="2" t="s">
        <v>101</v>
      </c>
      <c r="B46" s="4"/>
      <c r="C46" s="4"/>
      <c r="D46" s="4"/>
      <c r="E46" s="4"/>
      <c r="F46" s="4"/>
      <c r="G46" s="4"/>
      <c r="H46" s="4"/>
      <c r="I46" s="4"/>
      <c r="J46" s="4"/>
      <c r="K46" s="4"/>
      <c r="L46" s="4"/>
      <c r="M46" s="4"/>
      <c r="N46" s="4">
        <f t="shared" si="7"/>
        <v>0</v>
      </c>
    </row>
    <row r="47" ht="14.25" customHeight="1">
      <c r="A47" s="2" t="s">
        <v>80</v>
      </c>
      <c r="B47" s="4"/>
      <c r="C47" s="4"/>
      <c r="D47" s="4"/>
      <c r="E47" s="4"/>
      <c r="F47" s="4"/>
      <c r="G47" s="4"/>
      <c r="H47" s="4"/>
      <c r="I47" s="4"/>
      <c r="J47" s="4"/>
      <c r="K47" s="4"/>
      <c r="L47" s="4"/>
      <c r="M47" s="4"/>
      <c r="N47" s="4">
        <f t="shared" si="7"/>
        <v>0</v>
      </c>
    </row>
    <row r="48" ht="14.25" customHeight="1">
      <c r="A48" s="5" t="s">
        <v>57</v>
      </c>
      <c r="B48" s="86">
        <f t="shared" ref="B48:N48" si="8">SUM(B33:B47)</f>
        <v>121.25</v>
      </c>
      <c r="C48" s="86">
        <f t="shared" si="8"/>
        <v>1282.44</v>
      </c>
      <c r="D48" s="86">
        <f t="shared" si="8"/>
        <v>199.34</v>
      </c>
      <c r="E48" s="86">
        <f t="shared" si="8"/>
        <v>1905.79</v>
      </c>
      <c r="F48" s="86">
        <f t="shared" si="8"/>
        <v>334.34</v>
      </c>
      <c r="G48" s="86">
        <f t="shared" si="8"/>
        <v>456.84</v>
      </c>
      <c r="H48" s="86">
        <f t="shared" si="8"/>
        <v>462.46</v>
      </c>
      <c r="I48" s="86">
        <f t="shared" si="8"/>
        <v>118.54</v>
      </c>
      <c r="J48" s="86">
        <f t="shared" si="8"/>
        <v>1358.64</v>
      </c>
      <c r="K48" s="86">
        <f t="shared" si="8"/>
        <v>143.61</v>
      </c>
      <c r="L48" s="86">
        <f t="shared" si="8"/>
        <v>1849.87</v>
      </c>
      <c r="M48" s="86">
        <f t="shared" si="8"/>
        <v>354.11</v>
      </c>
      <c r="N48" s="86">
        <f t="shared" si="8"/>
        <v>8587.23</v>
      </c>
    </row>
    <row r="49" ht="14.25" customHeight="1"/>
    <row r="50" ht="14.25" customHeight="1">
      <c r="A50" s="12" t="s">
        <v>102</v>
      </c>
      <c r="B50" s="87">
        <f t="shared" ref="B50:N50" si="9">SUM(B30-B48)</f>
        <v>-121.25</v>
      </c>
      <c r="C50" s="87">
        <f t="shared" si="9"/>
        <v>-1282.44</v>
      </c>
      <c r="D50" s="87">
        <f t="shared" si="9"/>
        <v>-199.34</v>
      </c>
      <c r="E50" s="87">
        <f t="shared" si="9"/>
        <v>-1905.79</v>
      </c>
      <c r="F50" s="87">
        <f t="shared" si="9"/>
        <v>-334.34</v>
      </c>
      <c r="G50" s="87">
        <f t="shared" si="9"/>
        <v>-456.84</v>
      </c>
      <c r="H50" s="87">
        <f t="shared" si="9"/>
        <v>-462.46</v>
      </c>
      <c r="I50" s="87">
        <f t="shared" si="9"/>
        <v>-118.54</v>
      </c>
      <c r="J50" s="87">
        <f t="shared" si="9"/>
        <v>-1358.64</v>
      </c>
      <c r="K50" s="87">
        <f t="shared" si="9"/>
        <v>-143.61</v>
      </c>
      <c r="L50" s="87">
        <f t="shared" si="9"/>
        <v>-1849.87</v>
      </c>
      <c r="M50" s="87">
        <f t="shared" si="9"/>
        <v>-354.11</v>
      </c>
      <c r="N50" s="87">
        <f t="shared" si="9"/>
        <v>17706.83</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N1"/>
    <mergeCell ref="A26:N26"/>
  </mergeCells>
  <printOptions/>
  <pageMargins bottom="0.75" footer="0.0" header="0.0" left="0.7" right="0.7" top="0.75"/>
  <pageSetup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45.14"/>
    <col customWidth="1" min="2" max="2" width="17.29"/>
    <col customWidth="1" min="3" max="3" width="19.14"/>
    <col customWidth="1" min="4" max="4" width="21.57"/>
    <col customWidth="1" min="5" max="26" width="8.71"/>
  </cols>
  <sheetData>
    <row r="1" ht="14.25" customHeight="1">
      <c r="A1" s="89" t="s">
        <v>104</v>
      </c>
      <c r="B1" s="89" t="s">
        <v>105</v>
      </c>
      <c r="C1" s="90" t="s">
        <v>68</v>
      </c>
      <c r="D1" s="91" t="s">
        <v>106</v>
      </c>
      <c r="E1" s="5" t="s">
        <v>107</v>
      </c>
    </row>
    <row r="2" ht="14.25" customHeight="1">
      <c r="A2" s="2" t="s">
        <v>108</v>
      </c>
      <c r="B2" s="2" t="s">
        <v>109</v>
      </c>
      <c r="C2" s="4">
        <v>669.21</v>
      </c>
      <c r="D2" s="92">
        <v>44767.0</v>
      </c>
      <c r="E2" s="2" t="s">
        <v>110</v>
      </c>
    </row>
    <row r="3" ht="14.25" customHeight="1">
      <c r="A3" s="2" t="s">
        <v>111</v>
      </c>
      <c r="B3" s="2" t="s">
        <v>112</v>
      </c>
      <c r="C3" s="4">
        <v>200.0</v>
      </c>
      <c r="D3" s="92">
        <v>44839.0</v>
      </c>
      <c r="E3" s="2" t="s">
        <v>110</v>
      </c>
    </row>
    <row r="4" ht="14.25" customHeight="1">
      <c r="A4" s="2" t="s">
        <v>113</v>
      </c>
      <c r="B4" s="2" t="s">
        <v>114</v>
      </c>
      <c r="C4" s="4">
        <v>301.46</v>
      </c>
      <c r="D4" s="92">
        <v>44634.0</v>
      </c>
      <c r="E4" s="2" t="s">
        <v>110</v>
      </c>
    </row>
    <row r="5" ht="14.25" customHeight="1">
      <c r="A5" s="2" t="s">
        <v>115</v>
      </c>
      <c r="B5" s="2" t="s">
        <v>116</v>
      </c>
      <c r="C5" s="4">
        <v>700.0</v>
      </c>
      <c r="D5" s="92">
        <v>44519.0</v>
      </c>
      <c r="E5" s="2" t="s">
        <v>110</v>
      </c>
    </row>
    <row r="6" ht="14.25" customHeight="1">
      <c r="A6" s="2" t="s">
        <v>117</v>
      </c>
      <c r="B6" s="2" t="s">
        <v>118</v>
      </c>
      <c r="C6" s="4">
        <v>30.05</v>
      </c>
      <c r="D6" s="92">
        <v>44905.0</v>
      </c>
      <c r="E6" s="2" t="s">
        <v>119</v>
      </c>
    </row>
    <row r="7" ht="14.25" customHeight="1">
      <c r="A7" s="2" t="s">
        <v>120</v>
      </c>
      <c r="B7" s="2" t="s">
        <v>118</v>
      </c>
      <c r="C7" s="4">
        <v>50.37</v>
      </c>
      <c r="D7" s="92">
        <v>44905.0</v>
      </c>
      <c r="E7" s="2" t="s">
        <v>119</v>
      </c>
    </row>
    <row r="8" ht="14.25" customHeight="1">
      <c r="A8" s="2" t="s">
        <v>121</v>
      </c>
      <c r="B8" s="2" t="s">
        <v>118</v>
      </c>
      <c r="C8" s="4">
        <v>30.64</v>
      </c>
      <c r="D8" s="92">
        <v>44812.0</v>
      </c>
      <c r="E8" s="2" t="s">
        <v>119</v>
      </c>
    </row>
    <row r="9" ht="14.25" customHeight="1">
      <c r="A9" s="2" t="s">
        <v>122</v>
      </c>
      <c r="B9" s="2" t="s">
        <v>118</v>
      </c>
      <c r="C9" s="4">
        <v>16.22</v>
      </c>
      <c r="D9" s="92">
        <v>44796.0</v>
      </c>
      <c r="E9" s="2" t="s">
        <v>119</v>
      </c>
    </row>
    <row r="10" ht="14.25" customHeight="1">
      <c r="A10" s="2" t="s">
        <v>123</v>
      </c>
      <c r="B10" s="2" t="s">
        <v>118</v>
      </c>
      <c r="C10" s="4">
        <v>73.3</v>
      </c>
      <c r="D10" s="92">
        <v>44782.0</v>
      </c>
      <c r="E10" s="2" t="s">
        <v>119</v>
      </c>
    </row>
    <row r="11" ht="14.25" customHeight="1">
      <c r="A11" s="2" t="s">
        <v>124</v>
      </c>
      <c r="B11" s="2" t="s">
        <v>118</v>
      </c>
      <c r="C11" s="4">
        <v>79.69</v>
      </c>
      <c r="D11" s="92">
        <v>44782.0</v>
      </c>
      <c r="E11" s="2" t="s">
        <v>119</v>
      </c>
    </row>
    <row r="12" ht="14.25" customHeight="1">
      <c r="A12" s="2" t="s">
        <v>125</v>
      </c>
      <c r="B12" s="2" t="s">
        <v>118</v>
      </c>
      <c r="C12" s="4">
        <v>24.47</v>
      </c>
      <c r="D12" s="92">
        <v>44782.0</v>
      </c>
      <c r="E12" s="2" t="s">
        <v>119</v>
      </c>
    </row>
    <row r="13" ht="14.25" customHeight="1">
      <c r="A13" s="2" t="s">
        <v>126</v>
      </c>
      <c r="B13" s="2" t="s">
        <v>118</v>
      </c>
      <c r="C13" s="4">
        <v>10.97</v>
      </c>
      <c r="D13" s="92">
        <v>37336.0</v>
      </c>
      <c r="E13" s="2" t="s">
        <v>119</v>
      </c>
    </row>
    <row r="14" ht="14.25" customHeight="1">
      <c r="A14" s="2" t="s">
        <v>127</v>
      </c>
      <c r="B14" s="2" t="s">
        <v>118</v>
      </c>
      <c r="C14" s="4">
        <v>24.44</v>
      </c>
      <c r="D14" s="92">
        <v>44641.0</v>
      </c>
      <c r="E14" s="2" t="s">
        <v>119</v>
      </c>
    </row>
    <row r="15" ht="14.25" customHeight="1">
      <c r="A15" s="2" t="s">
        <v>128</v>
      </c>
      <c r="B15" s="2" t="s">
        <v>118</v>
      </c>
      <c r="C15" s="4">
        <v>13.84</v>
      </c>
      <c r="D15" s="92">
        <v>44622.0</v>
      </c>
      <c r="E15" s="2" t="s">
        <v>119</v>
      </c>
    </row>
    <row r="16" ht="14.25" customHeight="1">
      <c r="A16" s="2" t="s">
        <v>129</v>
      </c>
      <c r="B16" s="2" t="s">
        <v>118</v>
      </c>
      <c r="C16" s="4">
        <v>36.07</v>
      </c>
      <c r="D16" s="92">
        <v>44825.0</v>
      </c>
      <c r="E16" s="2" t="s">
        <v>119</v>
      </c>
    </row>
    <row r="17" ht="14.25" customHeight="1">
      <c r="A17" s="2" t="s">
        <v>130</v>
      </c>
      <c r="B17" s="2" t="s">
        <v>131</v>
      </c>
      <c r="C17" s="93">
        <v>23.1</v>
      </c>
      <c r="D17" s="92">
        <v>44918.0</v>
      </c>
      <c r="E17" s="2" t="s">
        <v>119</v>
      </c>
    </row>
    <row r="18" ht="14.25" customHeight="1">
      <c r="A18" s="2" t="s">
        <v>132</v>
      </c>
      <c r="B18" s="2" t="s">
        <v>131</v>
      </c>
      <c r="C18" s="93">
        <v>0.0</v>
      </c>
      <c r="D18" s="92">
        <v>44917.0</v>
      </c>
      <c r="E18" s="2" t="s">
        <v>119</v>
      </c>
    </row>
    <row r="19" ht="14.25" customHeight="1">
      <c r="A19" s="2" t="s">
        <v>133</v>
      </c>
      <c r="B19" s="2" t="s">
        <v>131</v>
      </c>
      <c r="C19" s="93">
        <v>0.0</v>
      </c>
      <c r="D19" s="92">
        <v>44917.0</v>
      </c>
      <c r="E19" s="2" t="s">
        <v>119</v>
      </c>
    </row>
    <row r="20" ht="14.25" customHeight="1">
      <c r="A20" s="2" t="s">
        <v>134</v>
      </c>
      <c r="B20" s="2" t="s">
        <v>131</v>
      </c>
      <c r="C20" s="93">
        <v>0.0</v>
      </c>
      <c r="D20" s="92">
        <v>44917.0</v>
      </c>
      <c r="E20" s="2" t="s">
        <v>119</v>
      </c>
    </row>
    <row r="21" ht="14.25" customHeight="1">
      <c r="A21" s="2" t="s">
        <v>135</v>
      </c>
      <c r="B21" s="2" t="s">
        <v>131</v>
      </c>
      <c r="C21" s="93">
        <v>25.48</v>
      </c>
      <c r="D21" s="92">
        <v>44910.0</v>
      </c>
      <c r="E21" s="2" t="s">
        <v>119</v>
      </c>
    </row>
    <row r="22" ht="14.25" customHeight="1">
      <c r="A22" s="2" t="s">
        <v>136</v>
      </c>
      <c r="B22" s="2" t="s">
        <v>131</v>
      </c>
      <c r="C22" s="93">
        <v>0.0</v>
      </c>
      <c r="D22" s="92">
        <v>44908.0</v>
      </c>
      <c r="E22" s="2" t="s">
        <v>119</v>
      </c>
    </row>
    <row r="23" ht="14.25" customHeight="1">
      <c r="A23" s="2" t="s">
        <v>137</v>
      </c>
      <c r="B23" s="2" t="s">
        <v>131</v>
      </c>
      <c r="C23" s="93">
        <v>82.64</v>
      </c>
      <c r="D23" s="92">
        <v>44908.0</v>
      </c>
      <c r="E23" s="2" t="s">
        <v>119</v>
      </c>
    </row>
    <row r="24" ht="14.25" customHeight="1">
      <c r="A24" s="2" t="s">
        <v>138</v>
      </c>
      <c r="B24" s="2" t="s">
        <v>131</v>
      </c>
      <c r="C24" s="93">
        <v>13.16</v>
      </c>
      <c r="D24" s="92">
        <v>44903.0</v>
      </c>
      <c r="E24" s="2" t="s">
        <v>119</v>
      </c>
    </row>
    <row r="25" ht="14.25" customHeight="1">
      <c r="A25" s="2" t="s">
        <v>139</v>
      </c>
      <c r="B25" s="2" t="s">
        <v>131</v>
      </c>
      <c r="C25" s="93">
        <v>15.79</v>
      </c>
      <c r="D25" s="92">
        <v>44901.0</v>
      </c>
      <c r="E25" s="2" t="s">
        <v>119</v>
      </c>
    </row>
    <row r="26" ht="14.25" customHeight="1">
      <c r="A26" s="2" t="s">
        <v>140</v>
      </c>
      <c r="B26" s="2" t="s">
        <v>131</v>
      </c>
      <c r="C26" s="93">
        <v>10.08</v>
      </c>
      <c r="D26" s="92">
        <v>44782.0</v>
      </c>
      <c r="E26" s="2" t="s">
        <v>119</v>
      </c>
    </row>
    <row r="27" ht="14.25" customHeight="1">
      <c r="A27" s="2" t="s">
        <v>141</v>
      </c>
      <c r="B27" s="2" t="s">
        <v>131</v>
      </c>
      <c r="C27" s="93">
        <v>10.23</v>
      </c>
      <c r="D27" s="92">
        <v>44779.0</v>
      </c>
      <c r="E27" s="2" t="s">
        <v>119</v>
      </c>
    </row>
    <row r="28" ht="14.25" customHeight="1">
      <c r="A28" s="2" t="s">
        <v>142</v>
      </c>
      <c r="B28" s="2" t="s">
        <v>131</v>
      </c>
      <c r="C28" s="93">
        <v>17.73</v>
      </c>
      <c r="D28" s="92">
        <v>44778.0</v>
      </c>
      <c r="E28" s="2" t="s">
        <v>119</v>
      </c>
    </row>
    <row r="29" ht="14.25" customHeight="1">
      <c r="A29" s="2" t="s">
        <v>143</v>
      </c>
      <c r="B29" s="2" t="s">
        <v>131</v>
      </c>
      <c r="C29" s="93">
        <v>14.91</v>
      </c>
      <c r="D29" s="92">
        <v>44778.0</v>
      </c>
      <c r="E29" s="2" t="s">
        <v>119</v>
      </c>
    </row>
    <row r="30" ht="14.25" customHeight="1">
      <c r="A30" s="2" t="s">
        <v>144</v>
      </c>
      <c r="B30" s="2" t="s">
        <v>131</v>
      </c>
      <c r="C30" s="93">
        <v>25.84</v>
      </c>
      <c r="D30" s="92">
        <v>44777.0</v>
      </c>
      <c r="E30" s="2" t="s">
        <v>119</v>
      </c>
    </row>
    <row r="31" ht="14.25" customHeight="1">
      <c r="A31" s="2" t="s">
        <v>145</v>
      </c>
      <c r="B31" s="2" t="s">
        <v>131</v>
      </c>
      <c r="C31" s="93">
        <v>42.9</v>
      </c>
      <c r="D31" s="92">
        <v>44777.0</v>
      </c>
      <c r="E31" s="2" t="s">
        <v>119</v>
      </c>
    </row>
    <row r="32" ht="14.25" customHeight="1">
      <c r="A32" s="2" t="s">
        <v>146</v>
      </c>
      <c r="B32" s="2" t="s">
        <v>131</v>
      </c>
      <c r="C32" s="93">
        <v>20.79</v>
      </c>
      <c r="D32" s="92">
        <v>44776.0</v>
      </c>
      <c r="E32" s="2" t="s">
        <v>119</v>
      </c>
    </row>
    <row r="33" ht="14.25" customHeight="1">
      <c r="A33" s="2" t="s">
        <v>147</v>
      </c>
      <c r="B33" s="2" t="s">
        <v>131</v>
      </c>
      <c r="C33" s="93">
        <v>14.03</v>
      </c>
      <c r="D33" s="92">
        <v>44774.0</v>
      </c>
      <c r="E33" s="2" t="s">
        <v>119</v>
      </c>
    </row>
    <row r="34" ht="14.25" customHeight="1">
      <c r="A34" s="2" t="s">
        <v>148</v>
      </c>
      <c r="B34" s="2" t="s">
        <v>131</v>
      </c>
      <c r="C34" s="93">
        <v>9.85</v>
      </c>
      <c r="D34" s="92">
        <v>44755.0</v>
      </c>
      <c r="E34" s="2" t="s">
        <v>119</v>
      </c>
    </row>
    <row r="35" ht="14.25" customHeight="1">
      <c r="A35" s="2" t="s">
        <v>149</v>
      </c>
      <c r="B35" s="2" t="s">
        <v>131</v>
      </c>
      <c r="C35" s="93">
        <v>12.08</v>
      </c>
      <c r="D35" s="92">
        <v>44755.0</v>
      </c>
      <c r="E35" s="2" t="s">
        <v>119</v>
      </c>
    </row>
    <row r="36" ht="14.25" customHeight="1">
      <c r="A36" s="2" t="s">
        <v>150</v>
      </c>
      <c r="B36" s="2" t="s">
        <v>131</v>
      </c>
      <c r="C36" s="93">
        <v>16.54</v>
      </c>
      <c r="D36" s="92">
        <v>44642.0</v>
      </c>
      <c r="E36" s="2" t="s">
        <v>119</v>
      </c>
    </row>
    <row r="37" ht="14.25" customHeight="1">
      <c r="A37" s="2" t="s">
        <v>151</v>
      </c>
      <c r="B37" s="2" t="s">
        <v>131</v>
      </c>
      <c r="C37" s="93">
        <v>13.2</v>
      </c>
      <c r="D37" s="92">
        <v>44636.0</v>
      </c>
      <c r="E37" s="2" t="s">
        <v>119</v>
      </c>
    </row>
    <row r="38" ht="14.25" customHeight="1">
      <c r="A38" s="2" t="s">
        <v>152</v>
      </c>
      <c r="B38" s="2" t="s">
        <v>131</v>
      </c>
      <c r="C38" s="93">
        <v>47.38</v>
      </c>
      <c r="D38" s="92">
        <v>44635.0</v>
      </c>
      <c r="E38" s="2" t="s">
        <v>119</v>
      </c>
    </row>
    <row r="39" ht="14.25" customHeight="1">
      <c r="A39" s="2" t="s">
        <v>153</v>
      </c>
      <c r="B39" s="2" t="s">
        <v>131</v>
      </c>
      <c r="C39" s="93">
        <v>47.38</v>
      </c>
      <c r="D39" s="92">
        <v>44635.0</v>
      </c>
      <c r="E39" s="2" t="s">
        <v>119</v>
      </c>
    </row>
    <row r="40" ht="14.25" customHeight="1">
      <c r="A40" s="2" t="s">
        <v>154</v>
      </c>
      <c r="B40" s="2" t="s">
        <v>131</v>
      </c>
      <c r="C40" s="93">
        <v>47.38</v>
      </c>
      <c r="D40" s="92">
        <v>44635.0</v>
      </c>
      <c r="E40" s="2" t="s">
        <v>119</v>
      </c>
    </row>
    <row r="41" ht="14.25" customHeight="1">
      <c r="A41" s="2" t="s">
        <v>152</v>
      </c>
      <c r="B41" s="2" t="s">
        <v>131</v>
      </c>
      <c r="C41" s="93">
        <v>47.38</v>
      </c>
      <c r="D41" s="92">
        <v>44635.0</v>
      </c>
      <c r="E41" s="2" t="s">
        <v>119</v>
      </c>
    </row>
    <row r="42" ht="14.25" customHeight="1">
      <c r="A42" s="2" t="s">
        <v>155</v>
      </c>
      <c r="B42" s="2" t="s">
        <v>131</v>
      </c>
      <c r="C42" s="93">
        <v>47.38</v>
      </c>
      <c r="D42" s="92">
        <v>44635.0</v>
      </c>
      <c r="E42" s="2" t="s">
        <v>119</v>
      </c>
    </row>
    <row r="43" ht="14.25" customHeight="1">
      <c r="A43" s="2" t="s">
        <v>156</v>
      </c>
      <c r="B43" s="2" t="s">
        <v>131</v>
      </c>
      <c r="C43" s="93">
        <v>47.38</v>
      </c>
      <c r="D43" s="92">
        <v>44635.0</v>
      </c>
      <c r="E43" s="2" t="s">
        <v>119</v>
      </c>
    </row>
    <row r="44" ht="14.25" customHeight="1">
      <c r="A44" s="2" t="s">
        <v>156</v>
      </c>
      <c r="B44" s="2" t="s">
        <v>131</v>
      </c>
      <c r="C44" s="93">
        <v>47.38</v>
      </c>
      <c r="D44" s="92">
        <v>44635.0</v>
      </c>
      <c r="E44" s="2" t="s">
        <v>119</v>
      </c>
    </row>
    <row r="45" ht="14.25" customHeight="1">
      <c r="A45" s="2" t="s">
        <v>157</v>
      </c>
      <c r="B45" s="2" t="s">
        <v>131</v>
      </c>
      <c r="C45" s="93">
        <v>21.03</v>
      </c>
      <c r="D45" s="92">
        <v>44635.0</v>
      </c>
      <c r="E45" s="2" t="s">
        <v>119</v>
      </c>
    </row>
    <row r="46" ht="14.25" customHeight="1">
      <c r="A46" s="2" t="s">
        <v>158</v>
      </c>
      <c r="B46" s="2" t="s">
        <v>131</v>
      </c>
      <c r="C46" s="93">
        <v>22.0</v>
      </c>
      <c r="D46" s="92">
        <v>44634.0</v>
      </c>
      <c r="E46" s="2" t="s">
        <v>119</v>
      </c>
    </row>
    <row r="47" ht="14.25" customHeight="1">
      <c r="A47" s="2" t="s">
        <v>159</v>
      </c>
      <c r="B47" s="2" t="s">
        <v>131</v>
      </c>
      <c r="C47" s="93">
        <v>6.38</v>
      </c>
      <c r="D47" s="92">
        <v>44634.0</v>
      </c>
      <c r="E47" s="2" t="s">
        <v>119</v>
      </c>
    </row>
    <row r="48" ht="14.25" customHeight="1">
      <c r="A48" s="2" t="s">
        <v>160</v>
      </c>
      <c r="B48" s="2" t="s">
        <v>131</v>
      </c>
      <c r="C48" s="93">
        <v>20.7</v>
      </c>
      <c r="D48" s="92">
        <v>44626.0</v>
      </c>
      <c r="E48" s="2" t="s">
        <v>119</v>
      </c>
    </row>
    <row r="49" ht="14.25" customHeight="1">
      <c r="A49" s="2" t="s">
        <v>161</v>
      </c>
      <c r="B49" s="2" t="s">
        <v>131</v>
      </c>
      <c r="C49" s="93">
        <v>11.0</v>
      </c>
      <c r="D49" s="92">
        <v>44626.0</v>
      </c>
      <c r="E49" s="2" t="s">
        <v>119</v>
      </c>
    </row>
    <row r="50" ht="14.25" customHeight="1">
      <c r="A50" s="2" t="s">
        <v>162</v>
      </c>
      <c r="B50" s="2" t="s">
        <v>131</v>
      </c>
      <c r="C50" s="93">
        <v>20.0</v>
      </c>
      <c r="D50" s="92">
        <v>44626.0</v>
      </c>
      <c r="E50" s="2" t="s">
        <v>119</v>
      </c>
    </row>
    <row r="51" ht="14.25" customHeight="1">
      <c r="A51" s="2" t="s">
        <v>163</v>
      </c>
      <c r="B51" s="2" t="s">
        <v>164</v>
      </c>
      <c r="C51" s="93">
        <v>36.71</v>
      </c>
      <c r="D51" s="92">
        <v>44621.0</v>
      </c>
      <c r="E51" s="2" t="s">
        <v>119</v>
      </c>
    </row>
    <row r="52" ht="14.25" customHeight="1">
      <c r="A52" s="2" t="s">
        <v>165</v>
      </c>
      <c r="B52" s="2" t="s">
        <v>166</v>
      </c>
      <c r="C52" s="93">
        <v>40.13</v>
      </c>
      <c r="D52" s="92">
        <v>44754.0</v>
      </c>
      <c r="E52" s="2" t="s">
        <v>119</v>
      </c>
    </row>
    <row r="53" ht="14.25" customHeight="1">
      <c r="A53" s="2" t="s">
        <v>167</v>
      </c>
      <c r="B53" s="94" t="s">
        <v>166</v>
      </c>
      <c r="C53" s="93">
        <v>9.46</v>
      </c>
      <c r="D53" s="92">
        <v>44763.0</v>
      </c>
      <c r="E53" s="2" t="s">
        <v>119</v>
      </c>
    </row>
    <row r="54" ht="14.25" customHeight="1">
      <c r="A54" s="2" t="s">
        <v>168</v>
      </c>
      <c r="B54" s="94" t="s">
        <v>166</v>
      </c>
      <c r="C54" s="93">
        <v>26.35</v>
      </c>
      <c r="D54" s="92">
        <v>44811.0</v>
      </c>
      <c r="E54" s="2" t="s">
        <v>119</v>
      </c>
    </row>
    <row r="55" ht="14.25" customHeight="1">
      <c r="A55" s="2" t="s">
        <v>169</v>
      </c>
      <c r="B55" s="94" t="s">
        <v>166</v>
      </c>
      <c r="C55" s="93">
        <v>50.49</v>
      </c>
      <c r="D55" s="92">
        <v>44905.0</v>
      </c>
      <c r="E55" s="2" t="s">
        <v>119</v>
      </c>
    </row>
    <row r="56" ht="14.25" customHeight="1">
      <c r="A56" s="2" t="s">
        <v>170</v>
      </c>
      <c r="B56" s="94" t="s">
        <v>118</v>
      </c>
      <c r="C56" s="93">
        <v>18.06</v>
      </c>
      <c r="D56" s="92">
        <v>44919.0</v>
      </c>
      <c r="E56" s="2" t="s">
        <v>119</v>
      </c>
    </row>
    <row r="57" ht="14.25" customHeight="1">
      <c r="A57" s="95" t="s">
        <v>88</v>
      </c>
      <c r="B57" s="95"/>
      <c r="C57" s="96">
        <f>SUM(C2:C56)</f>
        <v>3243.05</v>
      </c>
      <c r="D57" s="97"/>
      <c r="E57" s="98"/>
      <c r="F57" s="98"/>
      <c r="G57" s="98"/>
      <c r="H57" s="98"/>
      <c r="I57" s="98"/>
      <c r="J57" s="98"/>
      <c r="K57" s="98"/>
      <c r="L57" s="98"/>
      <c r="M57" s="98"/>
      <c r="N57" s="98"/>
      <c r="O57" s="98"/>
      <c r="P57" s="98"/>
      <c r="Q57" s="98"/>
      <c r="R57" s="98"/>
      <c r="S57" s="98"/>
      <c r="T57" s="98"/>
      <c r="U57" s="98"/>
      <c r="V57" s="98"/>
      <c r="W57" s="98"/>
      <c r="X57" s="98"/>
      <c r="Y57" s="98"/>
      <c r="Z57" s="98"/>
    </row>
    <row r="58" ht="14.25" customHeight="1">
      <c r="C58" s="4"/>
      <c r="D58" s="92"/>
    </row>
    <row r="59" ht="14.25" customHeight="1">
      <c r="A59" s="89">
        <v>2023.0</v>
      </c>
      <c r="C59" s="4"/>
      <c r="D59" s="92"/>
    </row>
    <row r="60" ht="14.25" customHeight="1">
      <c r="A60" s="2" t="s">
        <v>171</v>
      </c>
      <c r="B60" s="94" t="s">
        <v>118</v>
      </c>
      <c r="C60" s="93">
        <v>5.37</v>
      </c>
      <c r="D60" s="92">
        <v>44563.0</v>
      </c>
      <c r="E60" s="2" t="s">
        <v>119</v>
      </c>
    </row>
    <row r="61" ht="14.25" customHeight="1">
      <c r="A61" s="2" t="s">
        <v>172</v>
      </c>
      <c r="B61" s="2" t="s">
        <v>173</v>
      </c>
      <c r="C61" s="4">
        <v>20.0</v>
      </c>
      <c r="D61" s="92"/>
      <c r="E61" s="2" t="s">
        <v>119</v>
      </c>
    </row>
    <row r="62" ht="14.25" customHeight="1">
      <c r="A62" s="99" t="s">
        <v>174</v>
      </c>
      <c r="B62" s="99" t="s">
        <v>175</v>
      </c>
      <c r="C62" s="100">
        <v>5000.0</v>
      </c>
      <c r="D62" s="101"/>
      <c r="E62" s="99" t="s">
        <v>176</v>
      </c>
      <c r="F62" s="99"/>
      <c r="G62" s="99"/>
      <c r="H62" s="99"/>
      <c r="I62" s="99"/>
      <c r="J62" s="99"/>
      <c r="K62" s="99"/>
      <c r="L62" s="99"/>
      <c r="M62" s="99"/>
      <c r="N62" s="99"/>
      <c r="O62" s="99"/>
      <c r="P62" s="99"/>
      <c r="Q62" s="99"/>
      <c r="R62" s="99"/>
      <c r="S62" s="99"/>
      <c r="T62" s="99"/>
      <c r="U62" s="99"/>
      <c r="V62" s="99"/>
      <c r="W62" s="99"/>
      <c r="X62" s="99"/>
      <c r="Y62" s="99"/>
      <c r="Z62" s="99"/>
    </row>
    <row r="63" ht="14.25" customHeight="1">
      <c r="A63" s="5" t="s">
        <v>88</v>
      </c>
      <c r="B63" s="5"/>
      <c r="C63" s="86">
        <v>5025.37</v>
      </c>
      <c r="D63" s="92"/>
    </row>
    <row r="64" ht="14.25" customHeight="1">
      <c r="C64" s="4"/>
      <c r="D64" s="92"/>
    </row>
    <row r="65" ht="14.25" customHeight="1">
      <c r="A65" s="89">
        <v>2024.0</v>
      </c>
      <c r="C65" s="4"/>
      <c r="D65" s="92"/>
    </row>
    <row r="66" ht="14.25" customHeight="1">
      <c r="A66" s="2" t="s">
        <v>177</v>
      </c>
      <c r="B66" s="2" t="s">
        <v>118</v>
      </c>
      <c r="C66" s="4">
        <v>65.56</v>
      </c>
      <c r="D66" s="92"/>
      <c r="E66" s="2" t="s">
        <v>119</v>
      </c>
    </row>
    <row r="67" ht="14.25" customHeight="1">
      <c r="A67" s="102" t="s">
        <v>178</v>
      </c>
      <c r="B67" s="2" t="s">
        <v>118</v>
      </c>
      <c r="C67" s="4">
        <v>25.23</v>
      </c>
      <c r="D67" s="92"/>
      <c r="E67" s="2" t="s">
        <v>119</v>
      </c>
    </row>
    <row r="68" ht="14.25" customHeight="1">
      <c r="A68" s="102" t="s">
        <v>179</v>
      </c>
      <c r="B68" s="2" t="s">
        <v>173</v>
      </c>
      <c r="C68" s="4">
        <v>28.55</v>
      </c>
      <c r="D68" s="92">
        <v>45654.0</v>
      </c>
      <c r="E68" s="2" t="s">
        <v>119</v>
      </c>
    </row>
    <row r="69" ht="14.25" customHeight="1">
      <c r="A69" s="102" t="s">
        <v>180</v>
      </c>
      <c r="B69" s="2" t="s">
        <v>173</v>
      </c>
      <c r="C69" s="4">
        <v>11.69</v>
      </c>
      <c r="D69" s="92">
        <v>45546.0</v>
      </c>
      <c r="E69" s="2" t="s">
        <v>119</v>
      </c>
    </row>
    <row r="70" ht="14.25" customHeight="1">
      <c r="A70" s="102" t="s">
        <v>181</v>
      </c>
      <c r="B70" s="2" t="s">
        <v>173</v>
      </c>
      <c r="C70" s="4">
        <v>16.91</v>
      </c>
      <c r="D70" s="92">
        <v>45442.0</v>
      </c>
      <c r="E70" s="2" t="s">
        <v>119</v>
      </c>
    </row>
    <row r="71" ht="14.25" customHeight="1">
      <c r="A71" s="102" t="s">
        <v>182</v>
      </c>
      <c r="B71" s="2" t="s">
        <v>164</v>
      </c>
      <c r="C71" s="4">
        <v>49.5</v>
      </c>
      <c r="D71" s="92"/>
      <c r="E71" s="2" t="s">
        <v>119</v>
      </c>
    </row>
    <row r="72" ht="14.25" customHeight="1">
      <c r="A72" s="95" t="s">
        <v>88</v>
      </c>
      <c r="B72" s="95"/>
      <c r="C72" s="96">
        <f>SUM(C66:C71)</f>
        <v>197.44</v>
      </c>
      <c r="D72" s="97"/>
      <c r="E72" s="98"/>
      <c r="F72" s="98"/>
      <c r="G72" s="98"/>
      <c r="H72" s="98"/>
      <c r="I72" s="98"/>
      <c r="J72" s="98"/>
      <c r="K72" s="98"/>
      <c r="L72" s="98"/>
      <c r="M72" s="98"/>
      <c r="N72" s="98"/>
      <c r="O72" s="98"/>
      <c r="P72" s="98"/>
      <c r="Q72" s="98"/>
      <c r="R72" s="98"/>
      <c r="S72" s="98"/>
      <c r="T72" s="98"/>
      <c r="U72" s="98"/>
      <c r="V72" s="98"/>
      <c r="W72" s="98"/>
      <c r="X72" s="98"/>
      <c r="Y72" s="98"/>
      <c r="Z72" s="98"/>
    </row>
    <row r="73" ht="14.25" customHeight="1">
      <c r="C73" s="4"/>
      <c r="D73" s="92"/>
    </row>
    <row r="74" ht="14.25" customHeight="1">
      <c r="A74" s="89">
        <v>2025.0</v>
      </c>
      <c r="C74" s="4"/>
      <c r="D74" s="92"/>
    </row>
    <row r="75" ht="14.25" customHeight="1">
      <c r="A75" s="2" t="s">
        <v>183</v>
      </c>
      <c r="B75" s="2" t="s">
        <v>184</v>
      </c>
      <c r="C75" s="103">
        <v>1000.0</v>
      </c>
      <c r="D75" s="92">
        <v>45664.0</v>
      </c>
      <c r="E75" s="2" t="s">
        <v>176</v>
      </c>
    </row>
    <row r="76" ht="14.25" customHeight="1">
      <c r="C76" s="4"/>
      <c r="D76" s="92"/>
    </row>
    <row r="77" ht="14.25" customHeight="1">
      <c r="C77" s="4"/>
      <c r="D77" s="92"/>
    </row>
    <row r="78" ht="14.25" customHeight="1">
      <c r="C78" s="4"/>
      <c r="D78" s="92"/>
    </row>
    <row r="79" ht="14.25" customHeight="1">
      <c r="C79" s="4"/>
      <c r="D79" s="92"/>
    </row>
    <row r="80" ht="14.25" customHeight="1">
      <c r="C80" s="4"/>
      <c r="D80" s="92"/>
    </row>
    <row r="81" ht="14.25" customHeight="1">
      <c r="C81" s="4"/>
      <c r="D81" s="92"/>
    </row>
    <row r="82" ht="14.25" customHeight="1">
      <c r="C82" s="4"/>
      <c r="D82" s="92"/>
    </row>
    <row r="83" ht="14.25" customHeight="1">
      <c r="C83" s="4"/>
      <c r="D83" s="92"/>
    </row>
    <row r="84" ht="14.25" customHeight="1">
      <c r="C84" s="4"/>
      <c r="D84" s="92"/>
    </row>
    <row r="85" ht="14.25" customHeight="1">
      <c r="C85" s="4"/>
      <c r="D85" s="92"/>
    </row>
    <row r="86" ht="14.25" customHeight="1">
      <c r="C86" s="4"/>
      <c r="D86" s="92"/>
    </row>
    <row r="87" ht="14.25" customHeight="1">
      <c r="C87" s="4"/>
      <c r="D87" s="92"/>
    </row>
    <row r="88" ht="14.25" customHeight="1">
      <c r="C88" s="4"/>
      <c r="D88" s="92"/>
    </row>
    <row r="89" ht="14.25" customHeight="1">
      <c r="C89" s="4"/>
      <c r="D89" s="92"/>
    </row>
    <row r="90" ht="14.25" customHeight="1">
      <c r="C90" s="4"/>
      <c r="D90" s="92"/>
    </row>
    <row r="91" ht="14.25" customHeight="1">
      <c r="C91" s="4"/>
      <c r="D91" s="92"/>
    </row>
    <row r="92" ht="14.25" customHeight="1">
      <c r="C92" s="4"/>
      <c r="D92" s="92"/>
    </row>
    <row r="93" ht="14.25" customHeight="1">
      <c r="C93" s="4"/>
      <c r="D93" s="92"/>
    </row>
    <row r="94" ht="14.25" customHeight="1">
      <c r="C94" s="4"/>
      <c r="D94" s="92"/>
    </row>
    <row r="95" ht="14.25" customHeight="1">
      <c r="C95" s="4"/>
      <c r="D95" s="92"/>
    </row>
    <row r="96" ht="14.25" customHeight="1">
      <c r="C96" s="4"/>
      <c r="D96" s="92"/>
    </row>
    <row r="97" ht="14.25" customHeight="1">
      <c r="C97" s="4"/>
      <c r="D97" s="92"/>
    </row>
    <row r="98" ht="14.25" customHeight="1">
      <c r="C98" s="4"/>
      <c r="D98" s="92"/>
    </row>
    <row r="99" ht="14.25" customHeight="1">
      <c r="C99" s="4"/>
      <c r="D99" s="92"/>
    </row>
    <row r="100" ht="14.25" customHeight="1">
      <c r="C100" s="4"/>
      <c r="D100" s="92"/>
    </row>
    <row r="101" ht="14.25" customHeight="1">
      <c r="C101" s="4"/>
      <c r="D101" s="92"/>
    </row>
    <row r="102" ht="14.25" customHeight="1">
      <c r="C102" s="4"/>
      <c r="D102" s="92"/>
    </row>
    <row r="103" ht="14.25" customHeight="1">
      <c r="C103" s="4"/>
      <c r="D103" s="92"/>
    </row>
    <row r="104" ht="14.25" customHeight="1">
      <c r="C104" s="4"/>
      <c r="D104" s="92"/>
    </row>
    <row r="105" ht="14.25" customHeight="1">
      <c r="C105" s="4"/>
      <c r="D105" s="92"/>
    </row>
    <row r="106" ht="14.25" customHeight="1">
      <c r="C106" s="4"/>
      <c r="D106" s="92"/>
    </row>
    <row r="107" ht="14.25" customHeight="1">
      <c r="C107" s="4"/>
      <c r="D107" s="92"/>
    </row>
    <row r="108" ht="14.25" customHeight="1">
      <c r="C108" s="4"/>
      <c r="D108" s="92"/>
    </row>
    <row r="109" ht="14.25" customHeight="1">
      <c r="C109" s="4"/>
      <c r="D109" s="92"/>
    </row>
    <row r="110" ht="14.25" customHeight="1">
      <c r="C110" s="4"/>
      <c r="D110" s="92"/>
    </row>
    <row r="111" ht="14.25" customHeight="1">
      <c r="C111" s="4"/>
      <c r="D111" s="92"/>
    </row>
    <row r="112" ht="14.25" customHeight="1">
      <c r="C112" s="4"/>
      <c r="D112" s="92"/>
    </row>
    <row r="113" ht="14.25" customHeight="1">
      <c r="C113" s="4"/>
      <c r="D113" s="92"/>
    </row>
    <row r="114" ht="14.25" customHeight="1">
      <c r="C114" s="4"/>
      <c r="D114" s="92"/>
    </row>
    <row r="115" ht="14.25" customHeight="1">
      <c r="C115" s="4"/>
      <c r="D115" s="92"/>
    </row>
    <row r="116" ht="14.25" customHeight="1">
      <c r="C116" s="4"/>
      <c r="D116" s="92"/>
    </row>
    <row r="117" ht="14.25" customHeight="1">
      <c r="C117" s="4"/>
      <c r="D117" s="92"/>
    </row>
    <row r="118" ht="14.25" customHeight="1">
      <c r="C118" s="4"/>
      <c r="D118" s="92"/>
    </row>
    <row r="119" ht="14.25" customHeight="1">
      <c r="C119" s="4"/>
      <c r="D119" s="92"/>
    </row>
    <row r="120" ht="14.25" customHeight="1">
      <c r="C120" s="4"/>
      <c r="D120" s="92"/>
    </row>
    <row r="121" ht="14.25" customHeight="1">
      <c r="C121" s="4"/>
      <c r="D121" s="92"/>
    </row>
    <row r="122" ht="14.25" customHeight="1">
      <c r="C122" s="4"/>
      <c r="D122" s="92"/>
    </row>
    <row r="123" ht="14.25" customHeight="1">
      <c r="C123" s="4"/>
      <c r="D123" s="92"/>
    </row>
    <row r="124" ht="14.25" customHeight="1">
      <c r="C124" s="4"/>
      <c r="D124" s="92"/>
    </row>
    <row r="125" ht="14.25" customHeight="1">
      <c r="C125" s="4"/>
      <c r="D125" s="92"/>
    </row>
    <row r="126" ht="14.25" customHeight="1">
      <c r="C126" s="4"/>
      <c r="D126" s="92"/>
    </row>
    <row r="127" ht="14.25" customHeight="1">
      <c r="C127" s="4"/>
      <c r="D127" s="92"/>
    </row>
    <row r="128" ht="14.25" customHeight="1">
      <c r="C128" s="4"/>
      <c r="D128" s="92"/>
    </row>
    <row r="129" ht="14.25" customHeight="1">
      <c r="C129" s="4"/>
      <c r="D129" s="92"/>
    </row>
    <row r="130" ht="14.25" customHeight="1">
      <c r="C130" s="4"/>
      <c r="D130" s="92"/>
    </row>
    <row r="131" ht="14.25" customHeight="1">
      <c r="C131" s="4"/>
      <c r="D131" s="92"/>
    </row>
    <row r="132" ht="14.25" customHeight="1">
      <c r="C132" s="4"/>
      <c r="D132" s="92"/>
    </row>
    <row r="133" ht="14.25" customHeight="1">
      <c r="C133" s="4"/>
      <c r="D133" s="92"/>
    </row>
    <row r="134" ht="14.25" customHeight="1">
      <c r="C134" s="4"/>
      <c r="D134" s="92"/>
    </row>
    <row r="135" ht="14.25" customHeight="1">
      <c r="C135" s="4"/>
      <c r="D135" s="92"/>
    </row>
    <row r="136" ht="14.25" customHeight="1">
      <c r="C136" s="4"/>
      <c r="D136" s="92"/>
    </row>
    <row r="137" ht="14.25" customHeight="1">
      <c r="C137" s="4"/>
      <c r="D137" s="92"/>
    </row>
    <row r="138" ht="14.25" customHeight="1">
      <c r="C138" s="4"/>
      <c r="D138" s="92"/>
    </row>
    <row r="139" ht="14.25" customHeight="1">
      <c r="C139" s="4"/>
      <c r="D139" s="92"/>
    </row>
    <row r="140" ht="14.25" customHeight="1">
      <c r="C140" s="4"/>
      <c r="D140" s="92"/>
    </row>
    <row r="141" ht="14.25" customHeight="1">
      <c r="C141" s="4"/>
      <c r="D141" s="92"/>
    </row>
    <row r="142" ht="14.25" customHeight="1">
      <c r="C142" s="4"/>
      <c r="D142" s="92"/>
    </row>
    <row r="143" ht="14.25" customHeight="1">
      <c r="C143" s="4"/>
      <c r="D143" s="92"/>
    </row>
    <row r="144" ht="14.25" customHeight="1">
      <c r="C144" s="4"/>
      <c r="D144" s="92"/>
    </row>
    <row r="145" ht="14.25" customHeight="1">
      <c r="C145" s="4"/>
      <c r="D145" s="92"/>
    </row>
    <row r="146" ht="14.25" customHeight="1">
      <c r="C146" s="4"/>
      <c r="D146" s="92"/>
    </row>
    <row r="147" ht="14.25" customHeight="1">
      <c r="C147" s="4"/>
      <c r="D147" s="92"/>
    </row>
    <row r="148" ht="14.25" customHeight="1">
      <c r="C148" s="4"/>
      <c r="D148" s="92"/>
    </row>
    <row r="149" ht="14.25" customHeight="1">
      <c r="C149" s="4"/>
      <c r="D149" s="92"/>
    </row>
    <row r="150" ht="14.25" customHeight="1">
      <c r="C150" s="4"/>
      <c r="D150" s="92"/>
    </row>
    <row r="151" ht="14.25" customHeight="1">
      <c r="C151" s="4"/>
      <c r="D151" s="92"/>
    </row>
    <row r="152" ht="14.25" customHeight="1">
      <c r="C152" s="4"/>
      <c r="D152" s="92"/>
    </row>
    <row r="153" ht="14.25" customHeight="1">
      <c r="C153" s="4"/>
      <c r="D153" s="92"/>
    </row>
    <row r="154" ht="14.25" customHeight="1">
      <c r="C154" s="4"/>
      <c r="D154" s="92"/>
    </row>
    <row r="155" ht="14.25" customHeight="1">
      <c r="C155" s="4"/>
      <c r="D155" s="92"/>
    </row>
    <row r="156" ht="14.25" customHeight="1">
      <c r="C156" s="4"/>
      <c r="D156" s="92"/>
    </row>
    <row r="157" ht="14.25" customHeight="1">
      <c r="C157" s="4"/>
      <c r="D157" s="92"/>
    </row>
    <row r="158" ht="14.25" customHeight="1">
      <c r="C158" s="4"/>
      <c r="D158" s="92"/>
    </row>
    <row r="159" ht="14.25" customHeight="1">
      <c r="C159" s="4"/>
      <c r="D159" s="92"/>
    </row>
    <row r="160" ht="14.25" customHeight="1">
      <c r="C160" s="4"/>
      <c r="D160" s="92"/>
    </row>
    <row r="161" ht="14.25" customHeight="1">
      <c r="C161" s="4"/>
      <c r="D161" s="92"/>
    </row>
    <row r="162" ht="14.25" customHeight="1">
      <c r="C162" s="4"/>
      <c r="D162" s="92"/>
    </row>
    <row r="163" ht="14.25" customHeight="1">
      <c r="C163" s="4"/>
      <c r="D163" s="92"/>
    </row>
    <row r="164" ht="14.25" customHeight="1">
      <c r="C164" s="4"/>
      <c r="D164" s="92"/>
    </row>
    <row r="165" ht="14.25" customHeight="1">
      <c r="C165" s="4"/>
      <c r="D165" s="92"/>
    </row>
    <row r="166" ht="14.25" customHeight="1">
      <c r="C166" s="4"/>
      <c r="D166" s="92"/>
    </row>
    <row r="167" ht="14.25" customHeight="1">
      <c r="C167" s="4"/>
      <c r="D167" s="92"/>
    </row>
    <row r="168" ht="14.25" customHeight="1">
      <c r="C168" s="4"/>
      <c r="D168" s="92"/>
    </row>
    <row r="169" ht="14.25" customHeight="1">
      <c r="C169" s="4"/>
      <c r="D169" s="92"/>
    </row>
    <row r="170" ht="14.25" customHeight="1">
      <c r="C170" s="4"/>
      <c r="D170" s="92"/>
    </row>
    <row r="171" ht="14.25" customHeight="1">
      <c r="C171" s="4"/>
      <c r="D171" s="92"/>
    </row>
    <row r="172" ht="14.25" customHeight="1">
      <c r="C172" s="4"/>
      <c r="D172" s="92"/>
    </row>
    <row r="173" ht="14.25" customHeight="1">
      <c r="C173" s="4"/>
      <c r="D173" s="92"/>
    </row>
    <row r="174" ht="14.25" customHeight="1">
      <c r="C174" s="4"/>
      <c r="D174" s="92"/>
    </row>
    <row r="175" ht="14.25" customHeight="1">
      <c r="C175" s="4"/>
      <c r="D175" s="92"/>
    </row>
    <row r="176" ht="14.25" customHeight="1">
      <c r="C176" s="4"/>
      <c r="D176" s="92"/>
    </row>
    <row r="177" ht="14.25" customHeight="1">
      <c r="C177" s="4"/>
      <c r="D177" s="92"/>
    </row>
    <row r="178" ht="14.25" customHeight="1">
      <c r="C178" s="4"/>
      <c r="D178" s="92"/>
    </row>
    <row r="179" ht="14.25" customHeight="1">
      <c r="C179" s="4"/>
      <c r="D179" s="92"/>
    </row>
    <row r="180" ht="14.25" customHeight="1">
      <c r="C180" s="4"/>
      <c r="D180" s="92"/>
    </row>
    <row r="181" ht="14.25" customHeight="1">
      <c r="C181" s="4"/>
      <c r="D181" s="92"/>
    </row>
    <row r="182" ht="14.25" customHeight="1">
      <c r="C182" s="4"/>
      <c r="D182" s="92"/>
    </row>
    <row r="183" ht="14.25" customHeight="1">
      <c r="C183" s="4"/>
      <c r="D183" s="92"/>
    </row>
    <row r="184" ht="14.25" customHeight="1">
      <c r="C184" s="4"/>
      <c r="D184" s="92"/>
    </row>
    <row r="185" ht="14.25" customHeight="1">
      <c r="C185" s="4"/>
      <c r="D185" s="92"/>
    </row>
    <row r="186" ht="14.25" customHeight="1">
      <c r="C186" s="4"/>
      <c r="D186" s="92"/>
    </row>
    <row r="187" ht="14.25" customHeight="1">
      <c r="C187" s="4"/>
      <c r="D187" s="92"/>
    </row>
    <row r="188" ht="14.25" customHeight="1">
      <c r="C188" s="4"/>
      <c r="D188" s="92"/>
    </row>
    <row r="189" ht="14.25" customHeight="1">
      <c r="C189" s="4"/>
      <c r="D189" s="92"/>
    </row>
    <row r="190" ht="14.25" customHeight="1">
      <c r="C190" s="4"/>
      <c r="D190" s="92"/>
    </row>
    <row r="191" ht="14.25" customHeight="1">
      <c r="C191" s="4"/>
      <c r="D191" s="92"/>
    </row>
    <row r="192" ht="14.25" customHeight="1">
      <c r="C192" s="4"/>
      <c r="D192" s="92"/>
    </row>
    <row r="193" ht="14.25" customHeight="1">
      <c r="C193" s="4"/>
      <c r="D193" s="92"/>
    </row>
    <row r="194" ht="14.25" customHeight="1">
      <c r="C194" s="4"/>
      <c r="D194" s="92"/>
    </row>
    <row r="195" ht="14.25" customHeight="1">
      <c r="C195" s="4"/>
      <c r="D195" s="92"/>
    </row>
    <row r="196" ht="14.25" customHeight="1">
      <c r="C196" s="4"/>
      <c r="D196" s="92"/>
    </row>
    <row r="197" ht="14.25" customHeight="1">
      <c r="C197" s="4"/>
      <c r="D197" s="92"/>
    </row>
    <row r="198" ht="14.25" customHeight="1">
      <c r="C198" s="4"/>
      <c r="D198" s="92"/>
    </row>
    <row r="199" ht="14.25" customHeight="1">
      <c r="C199" s="4"/>
      <c r="D199" s="92"/>
    </row>
    <row r="200" ht="14.25" customHeight="1">
      <c r="C200" s="4"/>
      <c r="D200" s="92"/>
    </row>
    <row r="201" ht="14.25" customHeight="1">
      <c r="C201" s="4"/>
      <c r="D201" s="92"/>
    </row>
    <row r="202" ht="14.25" customHeight="1">
      <c r="C202" s="4"/>
      <c r="D202" s="92"/>
    </row>
    <row r="203" ht="14.25" customHeight="1">
      <c r="C203" s="4"/>
      <c r="D203" s="92"/>
    </row>
    <row r="204" ht="14.25" customHeight="1">
      <c r="C204" s="4"/>
      <c r="D204" s="92"/>
    </row>
    <row r="205" ht="14.25" customHeight="1">
      <c r="C205" s="4"/>
      <c r="D205" s="92"/>
    </row>
    <row r="206" ht="14.25" customHeight="1">
      <c r="C206" s="4"/>
      <c r="D206" s="92"/>
    </row>
    <row r="207" ht="14.25" customHeight="1">
      <c r="C207" s="4"/>
      <c r="D207" s="92"/>
    </row>
    <row r="208" ht="14.25" customHeight="1">
      <c r="C208" s="4"/>
      <c r="D208" s="92"/>
    </row>
    <row r="209" ht="14.25" customHeight="1">
      <c r="C209" s="4"/>
      <c r="D209" s="92"/>
    </row>
    <row r="210" ht="14.25" customHeight="1">
      <c r="C210" s="4"/>
      <c r="D210" s="92"/>
    </row>
    <row r="211" ht="14.25" customHeight="1">
      <c r="C211" s="4"/>
      <c r="D211" s="92"/>
    </row>
    <row r="212" ht="14.25" customHeight="1">
      <c r="C212" s="4"/>
      <c r="D212" s="92"/>
    </row>
    <row r="213" ht="14.25" customHeight="1">
      <c r="C213" s="4"/>
      <c r="D213" s="92"/>
    </row>
    <row r="214" ht="14.25" customHeight="1">
      <c r="C214" s="4"/>
      <c r="D214" s="92"/>
    </row>
    <row r="215" ht="14.25" customHeight="1">
      <c r="C215" s="4"/>
      <c r="D215" s="92"/>
    </row>
    <row r="216" ht="14.25" customHeight="1">
      <c r="C216" s="4"/>
      <c r="D216" s="92"/>
    </row>
    <row r="217" ht="14.25" customHeight="1">
      <c r="C217" s="4"/>
      <c r="D217" s="92"/>
    </row>
    <row r="218" ht="14.25" customHeight="1">
      <c r="C218" s="4"/>
      <c r="D218" s="92"/>
    </row>
    <row r="219" ht="14.25" customHeight="1">
      <c r="C219" s="4"/>
      <c r="D219" s="92"/>
    </row>
    <row r="220" ht="14.25" customHeight="1">
      <c r="C220" s="4"/>
      <c r="D220" s="92"/>
    </row>
    <row r="221" ht="14.25" customHeight="1">
      <c r="C221" s="4"/>
      <c r="D221" s="92"/>
    </row>
    <row r="222" ht="14.25" customHeight="1">
      <c r="C222" s="4"/>
      <c r="D222" s="92"/>
    </row>
    <row r="223" ht="14.25" customHeight="1">
      <c r="C223" s="4"/>
      <c r="D223" s="92"/>
    </row>
    <row r="224" ht="14.25" customHeight="1">
      <c r="C224" s="4"/>
      <c r="D224" s="92"/>
    </row>
    <row r="225" ht="14.25" customHeight="1">
      <c r="C225" s="4"/>
      <c r="D225" s="92"/>
    </row>
    <row r="226" ht="14.25" customHeight="1">
      <c r="C226" s="4"/>
      <c r="D226" s="92"/>
    </row>
    <row r="227" ht="14.25" customHeight="1">
      <c r="C227" s="4"/>
      <c r="D227" s="92"/>
    </row>
    <row r="228" ht="14.25" customHeight="1">
      <c r="C228" s="4"/>
      <c r="D228" s="92"/>
    </row>
    <row r="229" ht="14.25" customHeight="1">
      <c r="C229" s="4"/>
      <c r="D229" s="92"/>
    </row>
    <row r="230" ht="14.25" customHeight="1">
      <c r="C230" s="4"/>
      <c r="D230" s="92"/>
    </row>
    <row r="231" ht="14.25" customHeight="1">
      <c r="C231" s="4"/>
      <c r="D231" s="92"/>
    </row>
    <row r="232" ht="14.25" customHeight="1">
      <c r="C232" s="4"/>
      <c r="D232" s="92"/>
    </row>
    <row r="233" ht="14.25" customHeight="1">
      <c r="C233" s="4"/>
      <c r="D233" s="92"/>
    </row>
    <row r="234" ht="14.25" customHeight="1">
      <c r="C234" s="4"/>
      <c r="D234" s="92"/>
    </row>
    <row r="235" ht="14.25" customHeight="1">
      <c r="C235" s="4"/>
      <c r="D235" s="92"/>
    </row>
    <row r="236" ht="14.25" customHeight="1">
      <c r="C236" s="4"/>
      <c r="D236" s="92"/>
    </row>
    <row r="237" ht="14.25" customHeight="1">
      <c r="C237" s="4"/>
      <c r="D237" s="92"/>
    </row>
    <row r="238" ht="14.25" customHeight="1">
      <c r="C238" s="4"/>
      <c r="D238" s="92"/>
    </row>
    <row r="239" ht="14.25" customHeight="1">
      <c r="C239" s="4"/>
      <c r="D239" s="92"/>
    </row>
    <row r="240" ht="14.25" customHeight="1">
      <c r="C240" s="4"/>
      <c r="D240" s="92"/>
    </row>
    <row r="241" ht="14.25" customHeight="1">
      <c r="C241" s="4"/>
      <c r="D241" s="92"/>
    </row>
    <row r="242" ht="14.25" customHeight="1">
      <c r="C242" s="4"/>
      <c r="D242" s="92"/>
    </row>
    <row r="243" ht="14.25" customHeight="1">
      <c r="C243" s="4"/>
      <c r="D243" s="92"/>
    </row>
    <row r="244" ht="14.25" customHeight="1">
      <c r="C244" s="4"/>
      <c r="D244" s="92"/>
    </row>
    <row r="245" ht="14.25" customHeight="1">
      <c r="C245" s="4"/>
      <c r="D245" s="92"/>
    </row>
    <row r="246" ht="14.25" customHeight="1">
      <c r="C246" s="4"/>
      <c r="D246" s="92"/>
    </row>
    <row r="247" ht="14.25" customHeight="1">
      <c r="C247" s="4"/>
      <c r="D247" s="92"/>
    </row>
    <row r="248" ht="14.25" customHeight="1">
      <c r="C248" s="4"/>
      <c r="D248" s="92"/>
    </row>
    <row r="249" ht="14.25" customHeight="1">
      <c r="C249" s="4"/>
      <c r="D249" s="92"/>
    </row>
    <row r="250" ht="14.25" customHeight="1">
      <c r="C250" s="4"/>
      <c r="D250" s="92"/>
    </row>
    <row r="251" ht="14.25" customHeight="1">
      <c r="C251" s="4"/>
      <c r="D251" s="92"/>
    </row>
    <row r="252" ht="14.25" customHeight="1">
      <c r="C252" s="4"/>
      <c r="D252" s="92"/>
    </row>
    <row r="253" ht="14.25" customHeight="1">
      <c r="C253" s="4"/>
      <c r="D253" s="92"/>
    </row>
    <row r="254" ht="14.25" customHeight="1">
      <c r="C254" s="4"/>
      <c r="D254" s="92"/>
    </row>
    <row r="255" ht="14.25" customHeight="1">
      <c r="C255" s="4"/>
      <c r="D255" s="92"/>
    </row>
    <row r="256" ht="14.25" customHeight="1">
      <c r="C256" s="4"/>
      <c r="D256" s="92"/>
    </row>
    <row r="257" ht="14.25" customHeight="1">
      <c r="C257" s="4"/>
      <c r="D257" s="92"/>
    </row>
    <row r="258" ht="14.25" customHeight="1">
      <c r="C258" s="4"/>
      <c r="D258" s="92"/>
    </row>
    <row r="259" ht="14.25" customHeight="1">
      <c r="C259" s="4"/>
      <c r="D259" s="92"/>
    </row>
    <row r="260" ht="14.25" customHeight="1">
      <c r="C260" s="4"/>
      <c r="D260" s="92"/>
    </row>
    <row r="261" ht="14.25" customHeight="1">
      <c r="C261" s="4"/>
      <c r="D261" s="92"/>
    </row>
    <row r="262" ht="14.25" customHeight="1">
      <c r="C262" s="4"/>
      <c r="D262" s="92"/>
    </row>
    <row r="263" ht="14.25" customHeight="1">
      <c r="C263" s="4"/>
      <c r="D263" s="92"/>
    </row>
    <row r="264" ht="14.25" customHeight="1">
      <c r="C264" s="4"/>
      <c r="D264" s="92"/>
    </row>
    <row r="265" ht="14.25" customHeight="1">
      <c r="C265" s="4"/>
      <c r="D265" s="92"/>
    </row>
    <row r="266" ht="14.25" customHeight="1">
      <c r="C266" s="4"/>
      <c r="D266" s="92"/>
    </row>
    <row r="267" ht="14.25" customHeight="1">
      <c r="C267" s="4"/>
      <c r="D267" s="92"/>
    </row>
    <row r="268" ht="14.25" customHeight="1">
      <c r="C268" s="4"/>
      <c r="D268" s="92"/>
    </row>
    <row r="269" ht="14.25" customHeight="1">
      <c r="C269" s="4"/>
      <c r="D269" s="92"/>
    </row>
    <row r="270" ht="14.25" customHeight="1">
      <c r="C270" s="4"/>
      <c r="D270" s="92"/>
    </row>
    <row r="271" ht="14.25" customHeight="1">
      <c r="C271" s="4"/>
      <c r="D271" s="92"/>
    </row>
    <row r="272" ht="14.25" customHeight="1">
      <c r="C272" s="4"/>
      <c r="D272" s="92"/>
    </row>
    <row r="273" ht="14.25" customHeight="1">
      <c r="C273" s="4"/>
      <c r="D273" s="92"/>
    </row>
    <row r="274" ht="14.25" customHeight="1">
      <c r="C274" s="4"/>
      <c r="D274" s="92"/>
    </row>
    <row r="275" ht="14.25" customHeight="1">
      <c r="C275" s="4"/>
      <c r="D275" s="92"/>
    </row>
    <row r="276" ht="14.25" customHeight="1">
      <c r="C276" s="4"/>
      <c r="D276" s="92"/>
    </row>
    <row r="277" ht="14.25" customHeight="1">
      <c r="C277" s="4"/>
      <c r="D277" s="92"/>
    </row>
    <row r="278" ht="14.25" customHeight="1">
      <c r="C278" s="4"/>
      <c r="D278" s="92"/>
    </row>
    <row r="279" ht="14.25" customHeight="1">
      <c r="C279" s="4"/>
      <c r="D279" s="92"/>
    </row>
    <row r="280" ht="14.25" customHeight="1">
      <c r="C280" s="4"/>
      <c r="D280" s="92"/>
    </row>
    <row r="281" ht="14.25" customHeight="1">
      <c r="C281" s="4"/>
      <c r="D281" s="92"/>
    </row>
    <row r="282" ht="14.25" customHeight="1">
      <c r="C282" s="4"/>
      <c r="D282" s="92"/>
    </row>
    <row r="283" ht="14.25" customHeight="1">
      <c r="C283" s="4"/>
      <c r="D283" s="92"/>
    </row>
    <row r="284" ht="14.25" customHeight="1">
      <c r="C284" s="4"/>
      <c r="D284" s="92"/>
    </row>
    <row r="285" ht="14.25" customHeight="1">
      <c r="C285" s="4"/>
      <c r="D285" s="92"/>
    </row>
    <row r="286" ht="14.25" customHeight="1">
      <c r="C286" s="4"/>
      <c r="D286" s="92"/>
    </row>
    <row r="287" ht="14.25" customHeight="1">
      <c r="C287" s="4"/>
      <c r="D287" s="92"/>
    </row>
    <row r="288" ht="14.25" customHeight="1">
      <c r="C288" s="4"/>
      <c r="D288" s="92"/>
    </row>
    <row r="289" ht="14.25" customHeight="1">
      <c r="C289" s="4"/>
      <c r="D289" s="92"/>
    </row>
    <row r="290" ht="14.25" customHeight="1">
      <c r="C290" s="4"/>
      <c r="D290" s="92"/>
    </row>
    <row r="291" ht="14.25" customHeight="1">
      <c r="C291" s="4"/>
      <c r="D291" s="92"/>
    </row>
    <row r="292" ht="14.25" customHeight="1">
      <c r="C292" s="4"/>
      <c r="D292" s="92"/>
    </row>
    <row r="293" ht="14.25" customHeight="1">
      <c r="C293" s="4"/>
      <c r="D293" s="92"/>
    </row>
    <row r="294" ht="14.25" customHeight="1">
      <c r="C294" s="4"/>
      <c r="D294" s="92"/>
    </row>
    <row r="295" ht="14.25" customHeight="1">
      <c r="C295" s="4"/>
      <c r="D295" s="92"/>
    </row>
    <row r="296" ht="14.25" customHeight="1">
      <c r="C296" s="4"/>
      <c r="D296" s="92"/>
    </row>
    <row r="297" ht="14.25" customHeight="1">
      <c r="C297" s="4"/>
      <c r="D297" s="92"/>
    </row>
    <row r="298" ht="14.25" customHeight="1">
      <c r="C298" s="4"/>
      <c r="D298" s="92"/>
    </row>
    <row r="299" ht="14.25" customHeight="1">
      <c r="C299" s="4"/>
      <c r="D299" s="92"/>
    </row>
    <row r="300" ht="14.25" customHeight="1">
      <c r="C300" s="4"/>
      <c r="D300" s="92"/>
    </row>
    <row r="301" ht="14.25" customHeight="1">
      <c r="C301" s="4"/>
      <c r="D301" s="92"/>
    </row>
    <row r="302" ht="14.25" customHeight="1">
      <c r="C302" s="4"/>
      <c r="D302" s="92"/>
    </row>
    <row r="303" ht="14.25" customHeight="1">
      <c r="C303" s="4"/>
      <c r="D303" s="92"/>
    </row>
    <row r="304" ht="14.25" customHeight="1">
      <c r="C304" s="4"/>
      <c r="D304" s="92"/>
    </row>
    <row r="305" ht="14.25" customHeight="1">
      <c r="C305" s="4"/>
      <c r="D305" s="92"/>
    </row>
    <row r="306" ht="14.25" customHeight="1">
      <c r="C306" s="4"/>
      <c r="D306" s="92"/>
    </row>
    <row r="307" ht="14.25" customHeight="1">
      <c r="C307" s="4"/>
      <c r="D307" s="92"/>
    </row>
    <row r="308" ht="14.25" customHeight="1">
      <c r="C308" s="4"/>
      <c r="D308" s="92"/>
    </row>
    <row r="309" ht="14.25" customHeight="1">
      <c r="C309" s="4"/>
      <c r="D309" s="92"/>
    </row>
    <row r="310" ht="14.25" customHeight="1">
      <c r="C310" s="4"/>
      <c r="D310" s="92"/>
    </row>
    <row r="311" ht="14.25" customHeight="1">
      <c r="C311" s="4"/>
      <c r="D311" s="92"/>
    </row>
    <row r="312" ht="14.25" customHeight="1">
      <c r="C312" s="4"/>
      <c r="D312" s="92"/>
    </row>
    <row r="313" ht="14.25" customHeight="1">
      <c r="C313" s="4"/>
      <c r="D313" s="92"/>
    </row>
    <row r="314" ht="14.25" customHeight="1">
      <c r="C314" s="4"/>
      <c r="D314" s="92"/>
    </row>
    <row r="315" ht="14.25" customHeight="1">
      <c r="C315" s="4"/>
      <c r="D315" s="92"/>
    </row>
    <row r="316" ht="14.25" customHeight="1">
      <c r="C316" s="4"/>
      <c r="D316" s="92"/>
    </row>
    <row r="317" ht="14.25" customHeight="1">
      <c r="C317" s="4"/>
      <c r="D317" s="92"/>
    </row>
    <row r="318" ht="14.25" customHeight="1">
      <c r="C318" s="4"/>
      <c r="D318" s="92"/>
    </row>
    <row r="319" ht="14.25" customHeight="1">
      <c r="C319" s="4"/>
      <c r="D319" s="92"/>
    </row>
    <row r="320" ht="14.25" customHeight="1">
      <c r="C320" s="4"/>
      <c r="D320" s="92"/>
    </row>
    <row r="321" ht="14.25" customHeight="1">
      <c r="C321" s="4"/>
      <c r="D321" s="92"/>
    </row>
    <row r="322" ht="14.25" customHeight="1">
      <c r="C322" s="4"/>
      <c r="D322" s="92"/>
    </row>
    <row r="323" ht="14.25" customHeight="1">
      <c r="C323" s="4"/>
      <c r="D323" s="92"/>
    </row>
    <row r="324" ht="14.25" customHeight="1">
      <c r="C324" s="4"/>
      <c r="D324" s="92"/>
    </row>
    <row r="325" ht="14.25" customHeight="1">
      <c r="C325" s="4"/>
      <c r="D325" s="92"/>
    </row>
    <row r="326" ht="14.25" customHeight="1">
      <c r="C326" s="4"/>
      <c r="D326" s="92"/>
    </row>
    <row r="327" ht="14.25" customHeight="1">
      <c r="C327" s="4"/>
      <c r="D327" s="92"/>
    </row>
    <row r="328" ht="14.25" customHeight="1">
      <c r="C328" s="4"/>
      <c r="D328" s="92"/>
    </row>
    <row r="329" ht="14.25" customHeight="1">
      <c r="C329" s="4"/>
      <c r="D329" s="92"/>
    </row>
    <row r="330" ht="14.25" customHeight="1">
      <c r="C330" s="4"/>
      <c r="D330" s="92"/>
    </row>
    <row r="331" ht="14.25" customHeight="1">
      <c r="C331" s="4"/>
      <c r="D331" s="92"/>
    </row>
    <row r="332" ht="14.25" customHeight="1">
      <c r="C332" s="4"/>
      <c r="D332" s="92"/>
    </row>
    <row r="333" ht="14.25" customHeight="1">
      <c r="C333" s="4"/>
      <c r="D333" s="92"/>
    </row>
    <row r="334" ht="14.25" customHeight="1">
      <c r="C334" s="4"/>
      <c r="D334" s="92"/>
    </row>
    <row r="335" ht="14.25" customHeight="1">
      <c r="C335" s="4"/>
      <c r="D335" s="92"/>
    </row>
    <row r="336" ht="14.25" customHeight="1">
      <c r="C336" s="4"/>
      <c r="D336" s="92"/>
    </row>
    <row r="337" ht="14.25" customHeight="1">
      <c r="C337" s="4"/>
      <c r="D337" s="92"/>
    </row>
    <row r="338" ht="14.25" customHeight="1">
      <c r="C338" s="4"/>
      <c r="D338" s="92"/>
    </row>
    <row r="339" ht="14.25" customHeight="1">
      <c r="C339" s="4"/>
      <c r="D339" s="92"/>
    </row>
    <row r="340" ht="14.25" customHeight="1">
      <c r="C340" s="4"/>
      <c r="D340" s="92"/>
    </row>
    <row r="341" ht="14.25" customHeight="1">
      <c r="C341" s="4"/>
      <c r="D341" s="92"/>
    </row>
    <row r="342" ht="14.25" customHeight="1">
      <c r="C342" s="4"/>
      <c r="D342" s="92"/>
    </row>
    <row r="343" ht="14.25" customHeight="1">
      <c r="C343" s="4"/>
      <c r="D343" s="92"/>
    </row>
    <row r="344" ht="14.25" customHeight="1">
      <c r="C344" s="4"/>
      <c r="D344" s="92"/>
    </row>
    <row r="345" ht="14.25" customHeight="1">
      <c r="C345" s="4"/>
      <c r="D345" s="92"/>
    </row>
    <row r="346" ht="14.25" customHeight="1">
      <c r="C346" s="4"/>
      <c r="D346" s="92"/>
    </row>
    <row r="347" ht="14.25" customHeight="1">
      <c r="C347" s="4"/>
      <c r="D347" s="92"/>
    </row>
    <row r="348" ht="14.25" customHeight="1">
      <c r="C348" s="4"/>
      <c r="D348" s="92"/>
    </row>
    <row r="349" ht="14.25" customHeight="1">
      <c r="C349" s="4"/>
      <c r="D349" s="92"/>
    </row>
    <row r="350" ht="14.25" customHeight="1">
      <c r="C350" s="4"/>
      <c r="D350" s="92"/>
    </row>
    <row r="351" ht="14.25" customHeight="1">
      <c r="C351" s="4"/>
      <c r="D351" s="92"/>
    </row>
    <row r="352" ht="14.25" customHeight="1">
      <c r="C352" s="4"/>
      <c r="D352" s="92"/>
    </row>
    <row r="353" ht="14.25" customHeight="1">
      <c r="C353" s="4"/>
      <c r="D353" s="92"/>
    </row>
    <row r="354" ht="14.25" customHeight="1">
      <c r="C354" s="4"/>
      <c r="D354" s="92"/>
    </row>
    <row r="355" ht="14.25" customHeight="1">
      <c r="C355" s="4"/>
      <c r="D355" s="92"/>
    </row>
    <row r="356" ht="14.25" customHeight="1">
      <c r="C356" s="4"/>
      <c r="D356" s="92"/>
    </row>
    <row r="357" ht="14.25" customHeight="1">
      <c r="C357" s="4"/>
      <c r="D357" s="92"/>
    </row>
    <row r="358" ht="14.25" customHeight="1">
      <c r="C358" s="4"/>
      <c r="D358" s="92"/>
    </row>
    <row r="359" ht="14.25" customHeight="1">
      <c r="C359" s="4"/>
      <c r="D359" s="92"/>
    </row>
    <row r="360" ht="14.25" customHeight="1">
      <c r="C360" s="4"/>
      <c r="D360" s="92"/>
    </row>
    <row r="361" ht="14.25" customHeight="1">
      <c r="C361" s="4"/>
      <c r="D361" s="92"/>
    </row>
    <row r="362" ht="14.25" customHeight="1">
      <c r="C362" s="4"/>
      <c r="D362" s="92"/>
    </row>
    <row r="363" ht="14.25" customHeight="1">
      <c r="C363" s="4"/>
      <c r="D363" s="92"/>
    </row>
    <row r="364" ht="14.25" customHeight="1">
      <c r="C364" s="4"/>
      <c r="D364" s="92"/>
    </row>
    <row r="365" ht="14.25" customHeight="1">
      <c r="C365" s="4"/>
      <c r="D365" s="92"/>
    </row>
    <row r="366" ht="14.25" customHeight="1">
      <c r="C366" s="4"/>
      <c r="D366" s="92"/>
    </row>
    <row r="367" ht="14.25" customHeight="1">
      <c r="C367" s="4"/>
      <c r="D367" s="92"/>
    </row>
    <row r="368" ht="14.25" customHeight="1">
      <c r="C368" s="4"/>
      <c r="D368" s="92"/>
    </row>
    <row r="369" ht="14.25" customHeight="1">
      <c r="C369" s="4"/>
      <c r="D369" s="92"/>
    </row>
    <row r="370" ht="14.25" customHeight="1">
      <c r="C370" s="4"/>
      <c r="D370" s="92"/>
    </row>
    <row r="371" ht="14.25" customHeight="1">
      <c r="C371" s="4"/>
      <c r="D371" s="92"/>
    </row>
    <row r="372" ht="14.25" customHeight="1">
      <c r="C372" s="4"/>
      <c r="D372" s="92"/>
    </row>
    <row r="373" ht="14.25" customHeight="1">
      <c r="C373" s="4"/>
      <c r="D373" s="92"/>
    </row>
    <row r="374" ht="14.25" customHeight="1">
      <c r="C374" s="4"/>
      <c r="D374" s="92"/>
    </row>
    <row r="375" ht="14.25" customHeight="1">
      <c r="C375" s="4"/>
      <c r="D375" s="92"/>
    </row>
    <row r="376" ht="14.25" customHeight="1">
      <c r="C376" s="4"/>
      <c r="D376" s="92"/>
    </row>
    <row r="377" ht="14.25" customHeight="1">
      <c r="C377" s="4"/>
      <c r="D377" s="92"/>
    </row>
    <row r="378" ht="14.25" customHeight="1">
      <c r="C378" s="4"/>
      <c r="D378" s="92"/>
    </row>
    <row r="379" ht="14.25" customHeight="1">
      <c r="C379" s="4"/>
      <c r="D379" s="92"/>
    </row>
    <row r="380" ht="14.25" customHeight="1">
      <c r="C380" s="4"/>
      <c r="D380" s="92"/>
    </row>
    <row r="381" ht="14.25" customHeight="1">
      <c r="C381" s="4"/>
      <c r="D381" s="92"/>
    </row>
    <row r="382" ht="14.25" customHeight="1">
      <c r="C382" s="4"/>
      <c r="D382" s="92"/>
    </row>
    <row r="383" ht="14.25" customHeight="1">
      <c r="C383" s="4"/>
      <c r="D383" s="92"/>
    </row>
    <row r="384" ht="14.25" customHeight="1">
      <c r="C384" s="4"/>
      <c r="D384" s="92"/>
    </row>
    <row r="385" ht="14.25" customHeight="1">
      <c r="C385" s="4"/>
      <c r="D385" s="92"/>
    </row>
    <row r="386" ht="14.25" customHeight="1">
      <c r="C386" s="4"/>
      <c r="D386" s="92"/>
    </row>
    <row r="387" ht="14.25" customHeight="1">
      <c r="C387" s="4"/>
      <c r="D387" s="92"/>
    </row>
    <row r="388" ht="14.25" customHeight="1">
      <c r="C388" s="4"/>
      <c r="D388" s="92"/>
    </row>
    <row r="389" ht="14.25" customHeight="1">
      <c r="C389" s="4"/>
      <c r="D389" s="92"/>
    </row>
    <row r="390" ht="14.25" customHeight="1">
      <c r="C390" s="4"/>
      <c r="D390" s="92"/>
    </row>
    <row r="391" ht="14.25" customHeight="1">
      <c r="C391" s="4"/>
      <c r="D391" s="92"/>
    </row>
    <row r="392" ht="14.25" customHeight="1">
      <c r="C392" s="4"/>
      <c r="D392" s="92"/>
    </row>
    <row r="393" ht="14.25" customHeight="1">
      <c r="C393" s="4"/>
      <c r="D393" s="92"/>
    </row>
    <row r="394" ht="14.25" customHeight="1">
      <c r="C394" s="4"/>
      <c r="D394" s="92"/>
    </row>
    <row r="395" ht="14.25" customHeight="1">
      <c r="C395" s="4"/>
      <c r="D395" s="92"/>
    </row>
    <row r="396" ht="14.25" customHeight="1">
      <c r="C396" s="4"/>
      <c r="D396" s="92"/>
    </row>
    <row r="397" ht="14.25" customHeight="1">
      <c r="C397" s="4"/>
      <c r="D397" s="92"/>
    </row>
    <row r="398" ht="14.25" customHeight="1">
      <c r="C398" s="4"/>
      <c r="D398" s="92"/>
    </row>
    <row r="399" ht="14.25" customHeight="1">
      <c r="C399" s="4"/>
      <c r="D399" s="92"/>
    </row>
    <row r="400" ht="14.25" customHeight="1">
      <c r="C400" s="4"/>
      <c r="D400" s="92"/>
    </row>
    <row r="401" ht="14.25" customHeight="1">
      <c r="C401" s="4"/>
      <c r="D401" s="92"/>
    </row>
    <row r="402" ht="14.25" customHeight="1">
      <c r="C402" s="4"/>
      <c r="D402" s="92"/>
    </row>
    <row r="403" ht="14.25" customHeight="1">
      <c r="C403" s="4"/>
      <c r="D403" s="92"/>
    </row>
    <row r="404" ht="14.25" customHeight="1">
      <c r="C404" s="4"/>
      <c r="D404" s="92"/>
    </row>
    <row r="405" ht="14.25" customHeight="1">
      <c r="C405" s="4"/>
      <c r="D405" s="92"/>
    </row>
    <row r="406" ht="14.25" customHeight="1">
      <c r="C406" s="4"/>
      <c r="D406" s="92"/>
    </row>
    <row r="407" ht="14.25" customHeight="1">
      <c r="C407" s="4"/>
      <c r="D407" s="92"/>
    </row>
    <row r="408" ht="14.25" customHeight="1">
      <c r="C408" s="4"/>
      <c r="D408" s="92"/>
    </row>
    <row r="409" ht="14.25" customHeight="1">
      <c r="C409" s="4"/>
      <c r="D409" s="92"/>
    </row>
    <row r="410" ht="14.25" customHeight="1">
      <c r="C410" s="4"/>
      <c r="D410" s="92"/>
    </row>
    <row r="411" ht="14.25" customHeight="1">
      <c r="C411" s="4"/>
      <c r="D411" s="92"/>
    </row>
    <row r="412" ht="14.25" customHeight="1">
      <c r="C412" s="4"/>
      <c r="D412" s="92"/>
    </row>
    <row r="413" ht="14.25" customHeight="1">
      <c r="C413" s="4"/>
      <c r="D413" s="92"/>
    </row>
    <row r="414" ht="14.25" customHeight="1">
      <c r="C414" s="4"/>
      <c r="D414" s="92"/>
    </row>
    <row r="415" ht="14.25" customHeight="1">
      <c r="C415" s="4"/>
      <c r="D415" s="92"/>
    </row>
    <row r="416" ht="14.25" customHeight="1">
      <c r="C416" s="4"/>
      <c r="D416" s="92"/>
    </row>
    <row r="417" ht="14.25" customHeight="1">
      <c r="C417" s="4"/>
      <c r="D417" s="92"/>
    </row>
    <row r="418" ht="14.25" customHeight="1">
      <c r="C418" s="4"/>
      <c r="D418" s="92"/>
    </row>
    <row r="419" ht="14.25" customHeight="1">
      <c r="C419" s="4"/>
      <c r="D419" s="92"/>
    </row>
    <row r="420" ht="14.25" customHeight="1">
      <c r="C420" s="4"/>
      <c r="D420" s="92"/>
    </row>
    <row r="421" ht="14.25" customHeight="1">
      <c r="C421" s="4"/>
      <c r="D421" s="92"/>
    </row>
    <row r="422" ht="14.25" customHeight="1">
      <c r="C422" s="4"/>
      <c r="D422" s="92"/>
    </row>
    <row r="423" ht="14.25" customHeight="1">
      <c r="C423" s="4"/>
      <c r="D423" s="92"/>
    </row>
    <row r="424" ht="14.25" customHeight="1">
      <c r="C424" s="4"/>
      <c r="D424" s="92"/>
    </row>
    <row r="425" ht="14.25" customHeight="1">
      <c r="C425" s="4"/>
      <c r="D425" s="92"/>
    </row>
    <row r="426" ht="14.25" customHeight="1">
      <c r="C426" s="4"/>
      <c r="D426" s="92"/>
    </row>
    <row r="427" ht="14.25" customHeight="1">
      <c r="C427" s="4"/>
      <c r="D427" s="92"/>
    </row>
    <row r="428" ht="14.25" customHeight="1">
      <c r="C428" s="4"/>
      <c r="D428" s="92"/>
    </row>
    <row r="429" ht="14.25" customHeight="1">
      <c r="C429" s="4"/>
      <c r="D429" s="92"/>
    </row>
    <row r="430" ht="14.25" customHeight="1">
      <c r="C430" s="4"/>
      <c r="D430" s="92"/>
    </row>
    <row r="431" ht="14.25" customHeight="1">
      <c r="C431" s="4"/>
      <c r="D431" s="92"/>
    </row>
    <row r="432" ht="14.25" customHeight="1">
      <c r="C432" s="4"/>
      <c r="D432" s="92"/>
    </row>
    <row r="433" ht="14.25" customHeight="1">
      <c r="C433" s="4"/>
      <c r="D433" s="92"/>
    </row>
    <row r="434" ht="14.25" customHeight="1">
      <c r="C434" s="4"/>
      <c r="D434" s="92"/>
    </row>
    <row r="435" ht="14.25" customHeight="1">
      <c r="C435" s="4"/>
      <c r="D435" s="92"/>
    </row>
    <row r="436" ht="14.25" customHeight="1">
      <c r="C436" s="4"/>
      <c r="D436" s="92"/>
    </row>
    <row r="437" ht="14.25" customHeight="1">
      <c r="C437" s="4"/>
      <c r="D437" s="92"/>
    </row>
    <row r="438" ht="14.25" customHeight="1">
      <c r="C438" s="4"/>
      <c r="D438" s="92"/>
    </row>
    <row r="439" ht="14.25" customHeight="1">
      <c r="C439" s="4"/>
      <c r="D439" s="92"/>
    </row>
    <row r="440" ht="14.25" customHeight="1">
      <c r="C440" s="4"/>
      <c r="D440" s="92"/>
    </row>
    <row r="441" ht="14.25" customHeight="1">
      <c r="C441" s="4"/>
      <c r="D441" s="92"/>
    </row>
    <row r="442" ht="14.25" customHeight="1">
      <c r="C442" s="4"/>
      <c r="D442" s="92"/>
    </row>
    <row r="443" ht="14.25" customHeight="1">
      <c r="C443" s="4"/>
      <c r="D443" s="92"/>
    </row>
    <row r="444" ht="14.25" customHeight="1">
      <c r="C444" s="4"/>
      <c r="D444" s="92"/>
    </row>
    <row r="445" ht="14.25" customHeight="1">
      <c r="C445" s="4"/>
      <c r="D445" s="92"/>
    </row>
    <row r="446" ht="14.25" customHeight="1">
      <c r="C446" s="4"/>
      <c r="D446" s="92"/>
    </row>
    <row r="447" ht="14.25" customHeight="1">
      <c r="C447" s="4"/>
      <c r="D447" s="92"/>
    </row>
    <row r="448" ht="14.25" customHeight="1">
      <c r="C448" s="4"/>
      <c r="D448" s="92"/>
    </row>
    <row r="449" ht="14.25" customHeight="1">
      <c r="C449" s="4"/>
      <c r="D449" s="92"/>
    </row>
    <row r="450" ht="14.25" customHeight="1">
      <c r="C450" s="4"/>
      <c r="D450" s="92"/>
    </row>
    <row r="451" ht="14.25" customHeight="1">
      <c r="C451" s="4"/>
      <c r="D451" s="92"/>
    </row>
    <row r="452" ht="14.25" customHeight="1">
      <c r="C452" s="4"/>
      <c r="D452" s="92"/>
    </row>
    <row r="453" ht="14.25" customHeight="1">
      <c r="C453" s="4"/>
      <c r="D453" s="92"/>
    </row>
    <row r="454" ht="14.25" customHeight="1">
      <c r="C454" s="4"/>
      <c r="D454" s="92"/>
    </row>
    <row r="455" ht="14.25" customHeight="1">
      <c r="C455" s="4"/>
      <c r="D455" s="92"/>
    </row>
    <row r="456" ht="14.25" customHeight="1">
      <c r="C456" s="4"/>
      <c r="D456" s="92"/>
    </row>
    <row r="457" ht="14.25" customHeight="1">
      <c r="C457" s="4"/>
      <c r="D457" s="92"/>
    </row>
    <row r="458" ht="14.25" customHeight="1">
      <c r="C458" s="4"/>
      <c r="D458" s="92"/>
    </row>
    <row r="459" ht="14.25" customHeight="1">
      <c r="C459" s="4"/>
      <c r="D459" s="92"/>
    </row>
    <row r="460" ht="14.25" customHeight="1">
      <c r="C460" s="4"/>
      <c r="D460" s="92"/>
    </row>
    <row r="461" ht="14.25" customHeight="1">
      <c r="C461" s="4"/>
      <c r="D461" s="92"/>
    </row>
    <row r="462" ht="14.25" customHeight="1">
      <c r="C462" s="4"/>
      <c r="D462" s="92"/>
    </row>
    <row r="463" ht="14.25" customHeight="1">
      <c r="C463" s="4"/>
      <c r="D463" s="92"/>
    </row>
    <row r="464" ht="14.25" customHeight="1">
      <c r="C464" s="4"/>
      <c r="D464" s="92"/>
    </row>
    <row r="465" ht="14.25" customHeight="1">
      <c r="C465" s="4"/>
      <c r="D465" s="92"/>
    </row>
    <row r="466" ht="14.25" customHeight="1">
      <c r="C466" s="4"/>
      <c r="D466" s="92"/>
    </row>
    <row r="467" ht="14.25" customHeight="1">
      <c r="C467" s="4"/>
      <c r="D467" s="92"/>
    </row>
    <row r="468" ht="14.25" customHeight="1">
      <c r="C468" s="4"/>
      <c r="D468" s="92"/>
    </row>
    <row r="469" ht="14.25" customHeight="1">
      <c r="C469" s="4"/>
      <c r="D469" s="92"/>
    </row>
    <row r="470" ht="14.25" customHeight="1">
      <c r="C470" s="4"/>
      <c r="D470" s="92"/>
    </row>
    <row r="471" ht="14.25" customHeight="1">
      <c r="C471" s="4"/>
      <c r="D471" s="92"/>
    </row>
    <row r="472" ht="14.25" customHeight="1">
      <c r="C472" s="4"/>
      <c r="D472" s="92"/>
    </row>
    <row r="473" ht="14.25" customHeight="1">
      <c r="C473" s="4"/>
      <c r="D473" s="92"/>
    </row>
    <row r="474" ht="14.25" customHeight="1">
      <c r="C474" s="4"/>
      <c r="D474" s="92"/>
    </row>
    <row r="475" ht="14.25" customHeight="1">
      <c r="C475" s="4"/>
      <c r="D475" s="92"/>
    </row>
    <row r="476" ht="14.25" customHeight="1">
      <c r="C476" s="4"/>
      <c r="D476" s="92"/>
    </row>
    <row r="477" ht="14.25" customHeight="1">
      <c r="C477" s="4"/>
      <c r="D477" s="92"/>
    </row>
    <row r="478" ht="14.25" customHeight="1">
      <c r="C478" s="4"/>
      <c r="D478" s="92"/>
    </row>
    <row r="479" ht="14.25" customHeight="1">
      <c r="C479" s="4"/>
      <c r="D479" s="92"/>
    </row>
    <row r="480" ht="14.25" customHeight="1">
      <c r="C480" s="4"/>
      <c r="D480" s="92"/>
    </row>
    <row r="481" ht="14.25" customHeight="1">
      <c r="C481" s="4"/>
      <c r="D481" s="92"/>
    </row>
    <row r="482" ht="14.25" customHeight="1">
      <c r="C482" s="4"/>
      <c r="D482" s="92"/>
    </row>
    <row r="483" ht="14.25" customHeight="1">
      <c r="C483" s="4"/>
      <c r="D483" s="92"/>
    </row>
    <row r="484" ht="14.25" customHeight="1">
      <c r="C484" s="4"/>
      <c r="D484" s="92"/>
    </row>
    <row r="485" ht="14.25" customHeight="1">
      <c r="C485" s="4"/>
      <c r="D485" s="92"/>
    </row>
    <row r="486" ht="14.25" customHeight="1">
      <c r="C486" s="4"/>
      <c r="D486" s="92"/>
    </row>
    <row r="487" ht="14.25" customHeight="1">
      <c r="C487" s="4"/>
      <c r="D487" s="92"/>
    </row>
    <row r="488" ht="14.25" customHeight="1">
      <c r="C488" s="4"/>
      <c r="D488" s="92"/>
    </row>
    <row r="489" ht="14.25" customHeight="1">
      <c r="C489" s="4"/>
      <c r="D489" s="92"/>
    </row>
    <row r="490" ht="14.25" customHeight="1">
      <c r="C490" s="4"/>
      <c r="D490" s="92"/>
    </row>
    <row r="491" ht="14.25" customHeight="1">
      <c r="C491" s="4"/>
      <c r="D491" s="92"/>
    </row>
    <row r="492" ht="14.25" customHeight="1">
      <c r="C492" s="4"/>
      <c r="D492" s="92"/>
    </row>
    <row r="493" ht="14.25" customHeight="1">
      <c r="C493" s="4"/>
      <c r="D493" s="92"/>
    </row>
    <row r="494" ht="14.25" customHeight="1">
      <c r="C494" s="4"/>
      <c r="D494" s="92"/>
    </row>
    <row r="495" ht="14.25" customHeight="1">
      <c r="C495" s="4"/>
      <c r="D495" s="92"/>
    </row>
    <row r="496" ht="14.25" customHeight="1">
      <c r="C496" s="4"/>
      <c r="D496" s="92"/>
    </row>
    <row r="497" ht="14.25" customHeight="1">
      <c r="C497" s="4"/>
      <c r="D497" s="92"/>
    </row>
    <row r="498" ht="14.25" customHeight="1">
      <c r="C498" s="4"/>
      <c r="D498" s="92"/>
    </row>
    <row r="499" ht="14.25" customHeight="1">
      <c r="C499" s="4"/>
      <c r="D499" s="92"/>
    </row>
    <row r="500" ht="14.25" customHeight="1">
      <c r="C500" s="4"/>
      <c r="D500" s="92"/>
    </row>
    <row r="501" ht="14.25" customHeight="1">
      <c r="C501" s="4"/>
      <c r="D501" s="92"/>
    </row>
    <row r="502" ht="14.25" customHeight="1">
      <c r="C502" s="4"/>
      <c r="D502" s="92"/>
    </row>
    <row r="503" ht="14.25" customHeight="1">
      <c r="C503" s="4"/>
      <c r="D503" s="92"/>
    </row>
    <row r="504" ht="14.25" customHeight="1">
      <c r="C504" s="4"/>
      <c r="D504" s="92"/>
    </row>
    <row r="505" ht="14.25" customHeight="1">
      <c r="C505" s="4"/>
      <c r="D505" s="92"/>
    </row>
    <row r="506" ht="14.25" customHeight="1">
      <c r="C506" s="4"/>
      <c r="D506" s="92"/>
    </row>
    <row r="507" ht="14.25" customHeight="1">
      <c r="C507" s="4"/>
      <c r="D507" s="92"/>
    </row>
    <row r="508" ht="14.25" customHeight="1">
      <c r="C508" s="4"/>
      <c r="D508" s="92"/>
    </row>
    <row r="509" ht="14.25" customHeight="1">
      <c r="C509" s="4"/>
      <c r="D509" s="92"/>
    </row>
    <row r="510" ht="14.25" customHeight="1">
      <c r="C510" s="4"/>
      <c r="D510" s="92"/>
    </row>
    <row r="511" ht="14.25" customHeight="1">
      <c r="C511" s="4"/>
      <c r="D511" s="92"/>
    </row>
    <row r="512" ht="14.25" customHeight="1">
      <c r="C512" s="4"/>
      <c r="D512" s="92"/>
    </row>
    <row r="513" ht="14.25" customHeight="1">
      <c r="C513" s="4"/>
      <c r="D513" s="92"/>
    </row>
    <row r="514" ht="14.25" customHeight="1">
      <c r="C514" s="4"/>
      <c r="D514" s="92"/>
    </row>
    <row r="515" ht="14.25" customHeight="1">
      <c r="C515" s="4"/>
      <c r="D515" s="92"/>
    </row>
    <row r="516" ht="14.25" customHeight="1">
      <c r="C516" s="4"/>
      <c r="D516" s="92"/>
    </row>
    <row r="517" ht="14.25" customHeight="1">
      <c r="C517" s="4"/>
      <c r="D517" s="92"/>
    </row>
    <row r="518" ht="14.25" customHeight="1">
      <c r="C518" s="4"/>
      <c r="D518" s="92"/>
    </row>
    <row r="519" ht="14.25" customHeight="1">
      <c r="C519" s="4"/>
      <c r="D519" s="92"/>
    </row>
    <row r="520" ht="14.25" customHeight="1">
      <c r="C520" s="4"/>
      <c r="D520" s="92"/>
    </row>
    <row r="521" ht="14.25" customHeight="1">
      <c r="C521" s="4"/>
      <c r="D521" s="92"/>
    </row>
    <row r="522" ht="14.25" customHeight="1">
      <c r="C522" s="4"/>
      <c r="D522" s="92"/>
    </row>
    <row r="523" ht="14.25" customHeight="1">
      <c r="C523" s="4"/>
      <c r="D523" s="92"/>
    </row>
    <row r="524" ht="14.25" customHeight="1">
      <c r="C524" s="4"/>
      <c r="D524" s="92"/>
    </row>
    <row r="525" ht="14.25" customHeight="1">
      <c r="C525" s="4"/>
      <c r="D525" s="92"/>
    </row>
    <row r="526" ht="14.25" customHeight="1">
      <c r="C526" s="4"/>
      <c r="D526" s="92"/>
    </row>
    <row r="527" ht="14.25" customHeight="1">
      <c r="C527" s="4"/>
      <c r="D527" s="92"/>
    </row>
    <row r="528" ht="14.25" customHeight="1">
      <c r="C528" s="4"/>
      <c r="D528" s="92"/>
    </row>
    <row r="529" ht="14.25" customHeight="1">
      <c r="C529" s="4"/>
      <c r="D529" s="92"/>
    </row>
    <row r="530" ht="14.25" customHeight="1">
      <c r="C530" s="4"/>
      <c r="D530" s="92"/>
    </row>
    <row r="531" ht="14.25" customHeight="1">
      <c r="C531" s="4"/>
      <c r="D531" s="92"/>
    </row>
    <row r="532" ht="14.25" customHeight="1">
      <c r="C532" s="4"/>
      <c r="D532" s="92"/>
    </row>
    <row r="533" ht="14.25" customHeight="1">
      <c r="C533" s="4"/>
      <c r="D533" s="92"/>
    </row>
    <row r="534" ht="14.25" customHeight="1">
      <c r="C534" s="4"/>
      <c r="D534" s="92"/>
    </row>
    <row r="535" ht="14.25" customHeight="1">
      <c r="C535" s="4"/>
      <c r="D535" s="92"/>
    </row>
    <row r="536" ht="14.25" customHeight="1">
      <c r="C536" s="4"/>
      <c r="D536" s="92"/>
    </row>
    <row r="537" ht="14.25" customHeight="1">
      <c r="C537" s="4"/>
      <c r="D537" s="92"/>
    </row>
    <row r="538" ht="14.25" customHeight="1">
      <c r="C538" s="4"/>
      <c r="D538" s="92"/>
    </row>
    <row r="539" ht="14.25" customHeight="1">
      <c r="C539" s="4"/>
      <c r="D539" s="92"/>
    </row>
    <row r="540" ht="14.25" customHeight="1">
      <c r="C540" s="4"/>
      <c r="D540" s="92"/>
    </row>
    <row r="541" ht="14.25" customHeight="1">
      <c r="C541" s="4"/>
      <c r="D541" s="92"/>
    </row>
    <row r="542" ht="14.25" customHeight="1">
      <c r="C542" s="4"/>
      <c r="D542" s="92"/>
    </row>
    <row r="543" ht="14.25" customHeight="1">
      <c r="C543" s="4"/>
      <c r="D543" s="92"/>
    </row>
    <row r="544" ht="14.25" customHeight="1">
      <c r="C544" s="4"/>
      <c r="D544" s="92"/>
    </row>
    <row r="545" ht="14.25" customHeight="1">
      <c r="C545" s="4"/>
      <c r="D545" s="92"/>
    </row>
    <row r="546" ht="14.25" customHeight="1">
      <c r="C546" s="4"/>
      <c r="D546" s="92"/>
    </row>
    <row r="547" ht="14.25" customHeight="1">
      <c r="C547" s="4"/>
      <c r="D547" s="92"/>
    </row>
    <row r="548" ht="14.25" customHeight="1">
      <c r="C548" s="4"/>
      <c r="D548" s="92"/>
    </row>
    <row r="549" ht="14.25" customHeight="1">
      <c r="C549" s="4"/>
      <c r="D549" s="92"/>
    </row>
    <row r="550" ht="14.25" customHeight="1">
      <c r="C550" s="4"/>
      <c r="D550" s="92"/>
    </row>
    <row r="551" ht="14.25" customHeight="1">
      <c r="C551" s="4"/>
      <c r="D551" s="92"/>
    </row>
    <row r="552" ht="14.25" customHeight="1">
      <c r="C552" s="4"/>
      <c r="D552" s="92"/>
    </row>
    <row r="553" ht="14.25" customHeight="1">
      <c r="C553" s="4"/>
      <c r="D553" s="92"/>
    </row>
    <row r="554" ht="14.25" customHeight="1">
      <c r="C554" s="4"/>
      <c r="D554" s="92"/>
    </row>
    <row r="555" ht="14.25" customHeight="1">
      <c r="C555" s="4"/>
      <c r="D555" s="92"/>
    </row>
    <row r="556" ht="14.25" customHeight="1">
      <c r="C556" s="4"/>
      <c r="D556" s="92"/>
    </row>
    <row r="557" ht="14.25" customHeight="1">
      <c r="C557" s="4"/>
      <c r="D557" s="92"/>
    </row>
    <row r="558" ht="14.25" customHeight="1">
      <c r="C558" s="4"/>
      <c r="D558" s="92"/>
    </row>
    <row r="559" ht="14.25" customHeight="1">
      <c r="C559" s="4"/>
      <c r="D559" s="92"/>
    </row>
    <row r="560" ht="14.25" customHeight="1">
      <c r="C560" s="4"/>
      <c r="D560" s="92"/>
    </row>
    <row r="561" ht="14.25" customHeight="1">
      <c r="C561" s="4"/>
      <c r="D561" s="92"/>
    </row>
    <row r="562" ht="14.25" customHeight="1">
      <c r="C562" s="4"/>
      <c r="D562" s="92"/>
    </row>
    <row r="563" ht="14.25" customHeight="1">
      <c r="C563" s="4"/>
      <c r="D563" s="92"/>
    </row>
    <row r="564" ht="14.25" customHeight="1">
      <c r="C564" s="4"/>
      <c r="D564" s="92"/>
    </row>
    <row r="565" ht="14.25" customHeight="1">
      <c r="C565" s="4"/>
      <c r="D565" s="92"/>
    </row>
    <row r="566" ht="14.25" customHeight="1">
      <c r="C566" s="4"/>
      <c r="D566" s="92"/>
    </row>
    <row r="567" ht="14.25" customHeight="1">
      <c r="C567" s="4"/>
      <c r="D567" s="92"/>
    </row>
    <row r="568" ht="14.25" customHeight="1">
      <c r="C568" s="4"/>
      <c r="D568" s="92"/>
    </row>
    <row r="569" ht="14.25" customHeight="1">
      <c r="C569" s="4"/>
      <c r="D569" s="92"/>
    </row>
    <row r="570" ht="14.25" customHeight="1">
      <c r="C570" s="4"/>
      <c r="D570" s="92"/>
    </row>
    <row r="571" ht="14.25" customHeight="1">
      <c r="C571" s="4"/>
      <c r="D571" s="92"/>
    </row>
    <row r="572" ht="14.25" customHeight="1">
      <c r="C572" s="4"/>
      <c r="D572" s="92"/>
    </row>
    <row r="573" ht="14.25" customHeight="1">
      <c r="C573" s="4"/>
      <c r="D573" s="92"/>
    </row>
    <row r="574" ht="14.25" customHeight="1">
      <c r="C574" s="4"/>
      <c r="D574" s="92"/>
    </row>
    <row r="575" ht="14.25" customHeight="1">
      <c r="C575" s="4"/>
      <c r="D575" s="92"/>
    </row>
    <row r="576" ht="14.25" customHeight="1">
      <c r="C576" s="4"/>
      <c r="D576" s="92"/>
    </row>
    <row r="577" ht="14.25" customHeight="1">
      <c r="C577" s="4"/>
      <c r="D577" s="92"/>
    </row>
    <row r="578" ht="14.25" customHeight="1">
      <c r="C578" s="4"/>
      <c r="D578" s="92"/>
    </row>
    <row r="579" ht="14.25" customHeight="1">
      <c r="C579" s="4"/>
      <c r="D579" s="92"/>
    </row>
    <row r="580" ht="14.25" customHeight="1">
      <c r="C580" s="4"/>
      <c r="D580" s="92"/>
    </row>
    <row r="581" ht="14.25" customHeight="1">
      <c r="C581" s="4"/>
      <c r="D581" s="92"/>
    </row>
    <row r="582" ht="14.25" customHeight="1">
      <c r="C582" s="4"/>
      <c r="D582" s="92"/>
    </row>
    <row r="583" ht="14.25" customHeight="1">
      <c r="C583" s="4"/>
      <c r="D583" s="92"/>
    </row>
    <row r="584" ht="14.25" customHeight="1">
      <c r="C584" s="4"/>
      <c r="D584" s="92"/>
    </row>
    <row r="585" ht="14.25" customHeight="1">
      <c r="C585" s="4"/>
      <c r="D585" s="92"/>
    </row>
    <row r="586" ht="14.25" customHeight="1">
      <c r="C586" s="4"/>
      <c r="D586" s="92"/>
    </row>
    <row r="587" ht="14.25" customHeight="1">
      <c r="C587" s="4"/>
      <c r="D587" s="92"/>
    </row>
    <row r="588" ht="14.25" customHeight="1">
      <c r="C588" s="4"/>
      <c r="D588" s="92"/>
    </row>
    <row r="589" ht="14.25" customHeight="1">
      <c r="C589" s="4"/>
      <c r="D589" s="92"/>
    </row>
    <row r="590" ht="14.25" customHeight="1">
      <c r="C590" s="4"/>
      <c r="D590" s="92"/>
    </row>
    <row r="591" ht="14.25" customHeight="1">
      <c r="C591" s="4"/>
      <c r="D591" s="92"/>
    </row>
    <row r="592" ht="14.25" customHeight="1">
      <c r="C592" s="4"/>
      <c r="D592" s="92"/>
    </row>
    <row r="593" ht="14.25" customHeight="1">
      <c r="C593" s="4"/>
      <c r="D593" s="92"/>
    </row>
    <row r="594" ht="14.25" customHeight="1">
      <c r="C594" s="4"/>
      <c r="D594" s="92"/>
    </row>
    <row r="595" ht="14.25" customHeight="1">
      <c r="C595" s="4"/>
      <c r="D595" s="92"/>
    </row>
    <row r="596" ht="14.25" customHeight="1">
      <c r="C596" s="4"/>
      <c r="D596" s="92"/>
    </row>
    <row r="597" ht="14.25" customHeight="1">
      <c r="C597" s="4"/>
      <c r="D597" s="92"/>
    </row>
    <row r="598" ht="14.25" customHeight="1">
      <c r="C598" s="4"/>
      <c r="D598" s="92"/>
    </row>
    <row r="599" ht="14.25" customHeight="1">
      <c r="C599" s="4"/>
      <c r="D599" s="92"/>
    </row>
    <row r="600" ht="14.25" customHeight="1">
      <c r="C600" s="4"/>
      <c r="D600" s="92"/>
    </row>
    <row r="601" ht="14.25" customHeight="1">
      <c r="C601" s="4"/>
      <c r="D601" s="92"/>
    </row>
    <row r="602" ht="14.25" customHeight="1">
      <c r="C602" s="4"/>
      <c r="D602" s="92"/>
    </row>
    <row r="603" ht="14.25" customHeight="1">
      <c r="C603" s="4"/>
      <c r="D603" s="92"/>
    </row>
    <row r="604" ht="14.25" customHeight="1">
      <c r="C604" s="4"/>
      <c r="D604" s="92"/>
    </row>
    <row r="605" ht="14.25" customHeight="1">
      <c r="C605" s="4"/>
      <c r="D605" s="92"/>
    </row>
    <row r="606" ht="14.25" customHeight="1">
      <c r="C606" s="4"/>
      <c r="D606" s="92"/>
    </row>
    <row r="607" ht="14.25" customHeight="1">
      <c r="C607" s="4"/>
      <c r="D607" s="92"/>
    </row>
    <row r="608" ht="14.25" customHeight="1">
      <c r="C608" s="4"/>
      <c r="D608" s="92"/>
    </row>
    <row r="609" ht="14.25" customHeight="1">
      <c r="C609" s="4"/>
      <c r="D609" s="92"/>
    </row>
    <row r="610" ht="14.25" customHeight="1">
      <c r="C610" s="4"/>
      <c r="D610" s="92"/>
    </row>
    <row r="611" ht="14.25" customHeight="1">
      <c r="C611" s="4"/>
      <c r="D611" s="92"/>
    </row>
    <row r="612" ht="14.25" customHeight="1">
      <c r="C612" s="4"/>
      <c r="D612" s="92"/>
    </row>
    <row r="613" ht="14.25" customHeight="1">
      <c r="C613" s="4"/>
      <c r="D613" s="92"/>
    </row>
    <row r="614" ht="14.25" customHeight="1">
      <c r="C614" s="4"/>
      <c r="D614" s="92"/>
    </row>
    <row r="615" ht="14.25" customHeight="1">
      <c r="C615" s="4"/>
      <c r="D615" s="92"/>
    </row>
    <row r="616" ht="14.25" customHeight="1">
      <c r="C616" s="4"/>
      <c r="D616" s="92"/>
    </row>
    <row r="617" ht="14.25" customHeight="1">
      <c r="C617" s="4"/>
      <c r="D617" s="92"/>
    </row>
    <row r="618" ht="14.25" customHeight="1">
      <c r="C618" s="4"/>
      <c r="D618" s="92"/>
    </row>
    <row r="619" ht="14.25" customHeight="1">
      <c r="C619" s="4"/>
      <c r="D619" s="92"/>
    </row>
    <row r="620" ht="14.25" customHeight="1">
      <c r="C620" s="4"/>
      <c r="D620" s="92"/>
    </row>
    <row r="621" ht="14.25" customHeight="1">
      <c r="C621" s="4"/>
      <c r="D621" s="92"/>
    </row>
    <row r="622" ht="14.25" customHeight="1">
      <c r="C622" s="4"/>
      <c r="D622" s="92"/>
    </row>
    <row r="623" ht="14.25" customHeight="1">
      <c r="C623" s="4"/>
      <c r="D623" s="92"/>
    </row>
    <row r="624" ht="14.25" customHeight="1">
      <c r="C624" s="4"/>
      <c r="D624" s="92"/>
    </row>
    <row r="625" ht="14.25" customHeight="1">
      <c r="C625" s="4"/>
      <c r="D625" s="92"/>
    </row>
    <row r="626" ht="14.25" customHeight="1">
      <c r="C626" s="4"/>
      <c r="D626" s="92"/>
    </row>
    <row r="627" ht="14.25" customHeight="1">
      <c r="C627" s="4"/>
      <c r="D627" s="92"/>
    </row>
    <row r="628" ht="14.25" customHeight="1">
      <c r="C628" s="4"/>
      <c r="D628" s="92"/>
    </row>
    <row r="629" ht="14.25" customHeight="1">
      <c r="C629" s="4"/>
      <c r="D629" s="92"/>
    </row>
    <row r="630" ht="14.25" customHeight="1">
      <c r="C630" s="4"/>
      <c r="D630" s="92"/>
    </row>
    <row r="631" ht="14.25" customHeight="1">
      <c r="C631" s="4"/>
      <c r="D631" s="92"/>
    </row>
    <row r="632" ht="14.25" customHeight="1">
      <c r="C632" s="4"/>
      <c r="D632" s="92"/>
    </row>
    <row r="633" ht="14.25" customHeight="1">
      <c r="C633" s="4"/>
      <c r="D633" s="92"/>
    </row>
    <row r="634" ht="14.25" customHeight="1">
      <c r="C634" s="4"/>
      <c r="D634" s="92"/>
    </row>
    <row r="635" ht="14.25" customHeight="1">
      <c r="C635" s="4"/>
      <c r="D635" s="92"/>
    </row>
    <row r="636" ht="14.25" customHeight="1">
      <c r="C636" s="4"/>
      <c r="D636" s="92"/>
    </row>
    <row r="637" ht="14.25" customHeight="1">
      <c r="C637" s="4"/>
      <c r="D637" s="92"/>
    </row>
    <row r="638" ht="14.25" customHeight="1">
      <c r="C638" s="4"/>
      <c r="D638" s="92"/>
    </row>
    <row r="639" ht="14.25" customHeight="1">
      <c r="C639" s="4"/>
      <c r="D639" s="92"/>
    </row>
    <row r="640" ht="14.25" customHeight="1">
      <c r="C640" s="4"/>
      <c r="D640" s="92"/>
    </row>
    <row r="641" ht="14.25" customHeight="1">
      <c r="C641" s="4"/>
      <c r="D641" s="92"/>
    </row>
    <row r="642" ht="14.25" customHeight="1">
      <c r="C642" s="4"/>
      <c r="D642" s="92"/>
    </row>
    <row r="643" ht="14.25" customHeight="1">
      <c r="C643" s="4"/>
      <c r="D643" s="92"/>
    </row>
    <row r="644" ht="14.25" customHeight="1">
      <c r="C644" s="4"/>
      <c r="D644" s="92"/>
    </row>
    <row r="645" ht="14.25" customHeight="1">
      <c r="C645" s="4"/>
      <c r="D645" s="92"/>
    </row>
    <row r="646" ht="14.25" customHeight="1">
      <c r="C646" s="4"/>
      <c r="D646" s="92"/>
    </row>
    <row r="647" ht="14.25" customHeight="1">
      <c r="C647" s="4"/>
      <c r="D647" s="92"/>
    </row>
    <row r="648" ht="14.25" customHeight="1">
      <c r="C648" s="4"/>
      <c r="D648" s="92"/>
    </row>
    <row r="649" ht="14.25" customHeight="1">
      <c r="C649" s="4"/>
      <c r="D649" s="92"/>
    </row>
    <row r="650" ht="14.25" customHeight="1">
      <c r="C650" s="4"/>
      <c r="D650" s="92"/>
    </row>
    <row r="651" ht="14.25" customHeight="1">
      <c r="C651" s="4"/>
      <c r="D651" s="92"/>
    </row>
    <row r="652" ht="14.25" customHeight="1">
      <c r="C652" s="4"/>
      <c r="D652" s="92"/>
    </row>
    <row r="653" ht="14.25" customHeight="1">
      <c r="C653" s="4"/>
      <c r="D653" s="92"/>
    </row>
    <row r="654" ht="14.25" customHeight="1">
      <c r="C654" s="4"/>
      <c r="D654" s="92"/>
    </row>
    <row r="655" ht="14.25" customHeight="1">
      <c r="C655" s="4"/>
      <c r="D655" s="92"/>
    </row>
    <row r="656" ht="14.25" customHeight="1">
      <c r="C656" s="4"/>
      <c r="D656" s="92"/>
    </row>
    <row r="657" ht="14.25" customHeight="1">
      <c r="C657" s="4"/>
      <c r="D657" s="92"/>
    </row>
    <row r="658" ht="14.25" customHeight="1">
      <c r="C658" s="4"/>
      <c r="D658" s="92"/>
    </row>
    <row r="659" ht="14.25" customHeight="1">
      <c r="C659" s="4"/>
      <c r="D659" s="92"/>
    </row>
    <row r="660" ht="14.25" customHeight="1">
      <c r="C660" s="4"/>
      <c r="D660" s="92"/>
    </row>
    <row r="661" ht="14.25" customHeight="1">
      <c r="C661" s="4"/>
      <c r="D661" s="92"/>
    </row>
    <row r="662" ht="14.25" customHeight="1">
      <c r="C662" s="4"/>
      <c r="D662" s="92"/>
    </row>
    <row r="663" ht="14.25" customHeight="1">
      <c r="C663" s="4"/>
      <c r="D663" s="92"/>
    </row>
    <row r="664" ht="14.25" customHeight="1">
      <c r="C664" s="4"/>
      <c r="D664" s="92"/>
    </row>
    <row r="665" ht="14.25" customHeight="1">
      <c r="C665" s="4"/>
      <c r="D665" s="92"/>
    </row>
    <row r="666" ht="14.25" customHeight="1">
      <c r="C666" s="4"/>
      <c r="D666" s="92"/>
    </row>
    <row r="667" ht="14.25" customHeight="1">
      <c r="C667" s="4"/>
      <c r="D667" s="92"/>
    </row>
    <row r="668" ht="14.25" customHeight="1">
      <c r="C668" s="4"/>
      <c r="D668" s="92"/>
    </row>
    <row r="669" ht="14.25" customHeight="1">
      <c r="C669" s="4"/>
      <c r="D669" s="92"/>
    </row>
    <row r="670" ht="14.25" customHeight="1">
      <c r="C670" s="4"/>
      <c r="D670" s="92"/>
    </row>
    <row r="671" ht="14.25" customHeight="1">
      <c r="C671" s="4"/>
      <c r="D671" s="92"/>
    </row>
    <row r="672" ht="14.25" customHeight="1">
      <c r="C672" s="4"/>
      <c r="D672" s="92"/>
    </row>
    <row r="673" ht="14.25" customHeight="1">
      <c r="C673" s="4"/>
      <c r="D673" s="92"/>
    </row>
    <row r="674" ht="14.25" customHeight="1">
      <c r="C674" s="4"/>
      <c r="D674" s="92"/>
    </row>
    <row r="675" ht="14.25" customHeight="1">
      <c r="C675" s="4"/>
      <c r="D675" s="92"/>
    </row>
    <row r="676" ht="14.25" customHeight="1">
      <c r="C676" s="4"/>
      <c r="D676" s="92"/>
    </row>
    <row r="677" ht="14.25" customHeight="1">
      <c r="C677" s="4"/>
      <c r="D677" s="92"/>
    </row>
    <row r="678" ht="14.25" customHeight="1">
      <c r="C678" s="4"/>
      <c r="D678" s="92"/>
    </row>
    <row r="679" ht="14.25" customHeight="1">
      <c r="C679" s="4"/>
      <c r="D679" s="92"/>
    </row>
    <row r="680" ht="14.25" customHeight="1">
      <c r="C680" s="4"/>
      <c r="D680" s="92"/>
    </row>
    <row r="681" ht="14.25" customHeight="1">
      <c r="C681" s="4"/>
      <c r="D681" s="92"/>
    </row>
    <row r="682" ht="14.25" customHeight="1">
      <c r="C682" s="4"/>
      <c r="D682" s="92"/>
    </row>
    <row r="683" ht="14.25" customHeight="1">
      <c r="C683" s="4"/>
      <c r="D683" s="92"/>
    </row>
    <row r="684" ht="14.25" customHeight="1">
      <c r="C684" s="4"/>
      <c r="D684" s="92"/>
    </row>
    <row r="685" ht="14.25" customHeight="1">
      <c r="C685" s="4"/>
      <c r="D685" s="92"/>
    </row>
    <row r="686" ht="14.25" customHeight="1">
      <c r="C686" s="4"/>
      <c r="D686" s="92"/>
    </row>
    <row r="687" ht="14.25" customHeight="1">
      <c r="C687" s="4"/>
      <c r="D687" s="92"/>
    </row>
    <row r="688" ht="14.25" customHeight="1">
      <c r="C688" s="4"/>
      <c r="D688" s="92"/>
    </row>
    <row r="689" ht="14.25" customHeight="1">
      <c r="C689" s="4"/>
      <c r="D689" s="92"/>
    </row>
    <row r="690" ht="14.25" customHeight="1">
      <c r="C690" s="4"/>
      <c r="D690" s="92"/>
    </row>
    <row r="691" ht="14.25" customHeight="1">
      <c r="C691" s="4"/>
      <c r="D691" s="92"/>
    </row>
    <row r="692" ht="14.25" customHeight="1">
      <c r="C692" s="4"/>
      <c r="D692" s="92"/>
    </row>
    <row r="693" ht="14.25" customHeight="1">
      <c r="C693" s="4"/>
      <c r="D693" s="92"/>
    </row>
    <row r="694" ht="14.25" customHeight="1">
      <c r="C694" s="4"/>
      <c r="D694" s="92"/>
    </row>
    <row r="695" ht="14.25" customHeight="1">
      <c r="C695" s="4"/>
      <c r="D695" s="92"/>
    </row>
    <row r="696" ht="14.25" customHeight="1">
      <c r="C696" s="4"/>
      <c r="D696" s="92"/>
    </row>
    <row r="697" ht="14.25" customHeight="1">
      <c r="C697" s="4"/>
      <c r="D697" s="92"/>
    </row>
    <row r="698" ht="14.25" customHeight="1">
      <c r="C698" s="4"/>
      <c r="D698" s="92"/>
    </row>
    <row r="699" ht="14.25" customHeight="1">
      <c r="C699" s="4"/>
      <c r="D699" s="92"/>
    </row>
    <row r="700" ht="14.25" customHeight="1">
      <c r="C700" s="4"/>
      <c r="D700" s="92"/>
    </row>
    <row r="701" ht="14.25" customHeight="1">
      <c r="C701" s="4"/>
      <c r="D701" s="92"/>
    </row>
    <row r="702" ht="14.25" customHeight="1">
      <c r="C702" s="4"/>
      <c r="D702" s="92"/>
    </row>
    <row r="703" ht="14.25" customHeight="1">
      <c r="C703" s="4"/>
      <c r="D703" s="92"/>
    </row>
    <row r="704" ht="14.25" customHeight="1">
      <c r="C704" s="4"/>
      <c r="D704" s="92"/>
    </row>
    <row r="705" ht="14.25" customHeight="1">
      <c r="C705" s="4"/>
      <c r="D705" s="92"/>
    </row>
    <row r="706" ht="14.25" customHeight="1">
      <c r="C706" s="4"/>
      <c r="D706" s="92"/>
    </row>
    <row r="707" ht="14.25" customHeight="1">
      <c r="C707" s="4"/>
      <c r="D707" s="92"/>
    </row>
    <row r="708" ht="14.25" customHeight="1">
      <c r="C708" s="4"/>
      <c r="D708" s="92"/>
    </row>
    <row r="709" ht="14.25" customHeight="1">
      <c r="C709" s="4"/>
      <c r="D709" s="92"/>
    </row>
    <row r="710" ht="14.25" customHeight="1">
      <c r="C710" s="4"/>
      <c r="D710" s="92"/>
    </row>
    <row r="711" ht="14.25" customHeight="1">
      <c r="C711" s="4"/>
      <c r="D711" s="92"/>
    </row>
    <row r="712" ht="14.25" customHeight="1">
      <c r="C712" s="4"/>
      <c r="D712" s="92"/>
    </row>
    <row r="713" ht="14.25" customHeight="1">
      <c r="C713" s="4"/>
      <c r="D713" s="92"/>
    </row>
    <row r="714" ht="14.25" customHeight="1">
      <c r="C714" s="4"/>
      <c r="D714" s="92"/>
    </row>
    <row r="715" ht="14.25" customHeight="1">
      <c r="C715" s="4"/>
      <c r="D715" s="92"/>
    </row>
    <row r="716" ht="14.25" customHeight="1">
      <c r="C716" s="4"/>
      <c r="D716" s="92"/>
    </row>
    <row r="717" ht="14.25" customHeight="1">
      <c r="C717" s="4"/>
      <c r="D717" s="92"/>
    </row>
    <row r="718" ht="14.25" customHeight="1">
      <c r="C718" s="4"/>
      <c r="D718" s="92"/>
    </row>
    <row r="719" ht="14.25" customHeight="1">
      <c r="C719" s="4"/>
      <c r="D719" s="92"/>
    </row>
    <row r="720" ht="14.25" customHeight="1">
      <c r="C720" s="4"/>
      <c r="D720" s="92"/>
    </row>
    <row r="721" ht="14.25" customHeight="1">
      <c r="C721" s="4"/>
      <c r="D721" s="92"/>
    </row>
    <row r="722" ht="14.25" customHeight="1">
      <c r="C722" s="4"/>
      <c r="D722" s="92"/>
    </row>
    <row r="723" ht="14.25" customHeight="1">
      <c r="C723" s="4"/>
      <c r="D723" s="92"/>
    </row>
    <row r="724" ht="14.25" customHeight="1">
      <c r="C724" s="4"/>
      <c r="D724" s="92"/>
    </row>
    <row r="725" ht="14.25" customHeight="1">
      <c r="C725" s="4"/>
      <c r="D725" s="92"/>
    </row>
    <row r="726" ht="14.25" customHeight="1">
      <c r="C726" s="4"/>
      <c r="D726" s="92"/>
    </row>
    <row r="727" ht="14.25" customHeight="1">
      <c r="C727" s="4"/>
      <c r="D727" s="92"/>
    </row>
    <row r="728" ht="14.25" customHeight="1">
      <c r="C728" s="4"/>
      <c r="D728" s="92"/>
    </row>
    <row r="729" ht="14.25" customHeight="1">
      <c r="C729" s="4"/>
      <c r="D729" s="92"/>
    </row>
    <row r="730" ht="14.25" customHeight="1">
      <c r="C730" s="4"/>
      <c r="D730" s="92"/>
    </row>
    <row r="731" ht="14.25" customHeight="1">
      <c r="C731" s="4"/>
      <c r="D731" s="92"/>
    </row>
    <row r="732" ht="14.25" customHeight="1">
      <c r="C732" s="4"/>
      <c r="D732" s="92"/>
    </row>
    <row r="733" ht="14.25" customHeight="1">
      <c r="C733" s="4"/>
      <c r="D733" s="92"/>
    </row>
    <row r="734" ht="14.25" customHeight="1">
      <c r="C734" s="4"/>
      <c r="D734" s="92"/>
    </row>
    <row r="735" ht="14.25" customHeight="1">
      <c r="C735" s="4"/>
      <c r="D735" s="92"/>
    </row>
    <row r="736" ht="14.25" customHeight="1">
      <c r="C736" s="4"/>
      <c r="D736" s="92"/>
    </row>
    <row r="737" ht="14.25" customHeight="1">
      <c r="C737" s="4"/>
      <c r="D737" s="92"/>
    </row>
    <row r="738" ht="14.25" customHeight="1">
      <c r="C738" s="4"/>
      <c r="D738" s="92"/>
    </row>
    <row r="739" ht="14.25" customHeight="1">
      <c r="C739" s="4"/>
      <c r="D739" s="92"/>
    </row>
    <row r="740" ht="14.25" customHeight="1">
      <c r="C740" s="4"/>
      <c r="D740" s="92"/>
    </row>
    <row r="741" ht="14.25" customHeight="1">
      <c r="C741" s="4"/>
      <c r="D741" s="92"/>
    </row>
    <row r="742" ht="14.25" customHeight="1">
      <c r="C742" s="4"/>
      <c r="D742" s="92"/>
    </row>
    <row r="743" ht="14.25" customHeight="1">
      <c r="C743" s="4"/>
      <c r="D743" s="92"/>
    </row>
    <row r="744" ht="14.25" customHeight="1">
      <c r="C744" s="4"/>
      <c r="D744" s="92"/>
    </row>
    <row r="745" ht="14.25" customHeight="1">
      <c r="C745" s="4"/>
      <c r="D745" s="92"/>
    </row>
    <row r="746" ht="14.25" customHeight="1">
      <c r="C746" s="4"/>
      <c r="D746" s="92"/>
    </row>
    <row r="747" ht="14.25" customHeight="1">
      <c r="C747" s="4"/>
      <c r="D747" s="92"/>
    </row>
    <row r="748" ht="14.25" customHeight="1">
      <c r="C748" s="4"/>
      <c r="D748" s="92"/>
    </row>
    <row r="749" ht="14.25" customHeight="1">
      <c r="C749" s="4"/>
      <c r="D749" s="92"/>
    </row>
    <row r="750" ht="14.25" customHeight="1">
      <c r="C750" s="4"/>
      <c r="D750" s="92"/>
    </row>
    <row r="751" ht="14.25" customHeight="1">
      <c r="C751" s="4"/>
      <c r="D751" s="92"/>
    </row>
    <row r="752" ht="14.25" customHeight="1">
      <c r="C752" s="4"/>
      <c r="D752" s="92"/>
    </row>
    <row r="753" ht="14.25" customHeight="1">
      <c r="C753" s="4"/>
      <c r="D753" s="92"/>
    </row>
    <row r="754" ht="14.25" customHeight="1">
      <c r="C754" s="4"/>
      <c r="D754" s="92"/>
    </row>
    <row r="755" ht="14.25" customHeight="1">
      <c r="C755" s="4"/>
      <c r="D755" s="92"/>
    </row>
    <row r="756" ht="14.25" customHeight="1">
      <c r="C756" s="4"/>
      <c r="D756" s="92"/>
    </row>
    <row r="757" ht="14.25" customHeight="1">
      <c r="C757" s="4"/>
      <c r="D757" s="92"/>
    </row>
    <row r="758" ht="14.25" customHeight="1">
      <c r="C758" s="4"/>
      <c r="D758" s="92"/>
    </row>
    <row r="759" ht="14.25" customHeight="1">
      <c r="C759" s="4"/>
      <c r="D759" s="92"/>
    </row>
    <row r="760" ht="14.25" customHeight="1">
      <c r="C760" s="4"/>
      <c r="D760" s="92"/>
    </row>
    <row r="761" ht="14.25" customHeight="1">
      <c r="C761" s="4"/>
      <c r="D761" s="92"/>
    </row>
    <row r="762" ht="14.25" customHeight="1">
      <c r="C762" s="4"/>
      <c r="D762" s="92"/>
    </row>
    <row r="763" ht="14.25" customHeight="1">
      <c r="C763" s="4"/>
      <c r="D763" s="92"/>
    </row>
    <row r="764" ht="14.25" customHeight="1">
      <c r="C764" s="4"/>
      <c r="D764" s="92"/>
    </row>
    <row r="765" ht="14.25" customHeight="1">
      <c r="C765" s="4"/>
      <c r="D765" s="92"/>
    </row>
    <row r="766" ht="14.25" customHeight="1">
      <c r="C766" s="4"/>
      <c r="D766" s="92"/>
    </row>
    <row r="767" ht="14.25" customHeight="1">
      <c r="C767" s="4"/>
      <c r="D767" s="92"/>
    </row>
    <row r="768" ht="14.25" customHeight="1">
      <c r="C768" s="4"/>
      <c r="D768" s="92"/>
    </row>
    <row r="769" ht="14.25" customHeight="1">
      <c r="C769" s="4"/>
      <c r="D769" s="92"/>
    </row>
    <row r="770" ht="14.25" customHeight="1">
      <c r="C770" s="4"/>
      <c r="D770" s="92"/>
    </row>
    <row r="771" ht="14.25" customHeight="1">
      <c r="C771" s="4"/>
      <c r="D771" s="92"/>
    </row>
    <row r="772" ht="14.25" customHeight="1">
      <c r="C772" s="4"/>
      <c r="D772" s="92"/>
    </row>
    <row r="773" ht="14.25" customHeight="1">
      <c r="C773" s="4"/>
      <c r="D773" s="92"/>
    </row>
    <row r="774" ht="14.25" customHeight="1">
      <c r="C774" s="4"/>
      <c r="D774" s="92"/>
    </row>
    <row r="775" ht="14.25" customHeight="1">
      <c r="C775" s="4"/>
      <c r="D775" s="92"/>
    </row>
    <row r="776" ht="14.25" customHeight="1">
      <c r="C776" s="4"/>
      <c r="D776" s="92"/>
    </row>
    <row r="777" ht="14.25" customHeight="1">
      <c r="C777" s="4"/>
      <c r="D777" s="92"/>
    </row>
    <row r="778" ht="14.25" customHeight="1">
      <c r="C778" s="4"/>
      <c r="D778" s="92"/>
    </row>
    <row r="779" ht="14.25" customHeight="1">
      <c r="C779" s="4"/>
      <c r="D779" s="92"/>
    </row>
    <row r="780" ht="14.25" customHeight="1">
      <c r="C780" s="4"/>
      <c r="D780" s="92"/>
    </row>
    <row r="781" ht="14.25" customHeight="1">
      <c r="C781" s="4"/>
      <c r="D781" s="92"/>
    </row>
    <row r="782" ht="14.25" customHeight="1">
      <c r="C782" s="4"/>
      <c r="D782" s="92"/>
    </row>
    <row r="783" ht="14.25" customHeight="1">
      <c r="C783" s="4"/>
      <c r="D783" s="92"/>
    </row>
    <row r="784" ht="14.25" customHeight="1">
      <c r="C784" s="4"/>
      <c r="D784" s="92"/>
    </row>
    <row r="785" ht="14.25" customHeight="1">
      <c r="C785" s="4"/>
      <c r="D785" s="92"/>
    </row>
    <row r="786" ht="14.25" customHeight="1">
      <c r="C786" s="4"/>
      <c r="D786" s="92"/>
    </row>
    <row r="787" ht="14.25" customHeight="1">
      <c r="C787" s="4"/>
      <c r="D787" s="92"/>
    </row>
    <row r="788" ht="14.25" customHeight="1">
      <c r="C788" s="4"/>
      <c r="D788" s="92"/>
    </row>
    <row r="789" ht="14.25" customHeight="1">
      <c r="C789" s="4"/>
      <c r="D789" s="92"/>
    </row>
    <row r="790" ht="14.25" customHeight="1">
      <c r="C790" s="4"/>
      <c r="D790" s="92"/>
    </row>
    <row r="791" ht="14.25" customHeight="1">
      <c r="C791" s="4"/>
      <c r="D791" s="92"/>
    </row>
    <row r="792" ht="14.25" customHeight="1">
      <c r="C792" s="4"/>
      <c r="D792" s="92"/>
    </row>
    <row r="793" ht="14.25" customHeight="1">
      <c r="C793" s="4"/>
      <c r="D793" s="92"/>
    </row>
    <row r="794" ht="14.25" customHeight="1">
      <c r="C794" s="4"/>
      <c r="D794" s="92"/>
    </row>
    <row r="795" ht="14.25" customHeight="1">
      <c r="C795" s="4"/>
      <c r="D795" s="92"/>
    </row>
    <row r="796" ht="14.25" customHeight="1">
      <c r="C796" s="4"/>
      <c r="D796" s="92"/>
    </row>
    <row r="797" ht="14.25" customHeight="1">
      <c r="C797" s="4"/>
      <c r="D797" s="92"/>
    </row>
    <row r="798" ht="14.25" customHeight="1">
      <c r="C798" s="4"/>
      <c r="D798" s="92"/>
    </row>
    <row r="799" ht="14.25" customHeight="1">
      <c r="C799" s="4"/>
      <c r="D799" s="92"/>
    </row>
    <row r="800" ht="14.25" customHeight="1">
      <c r="C800" s="4"/>
      <c r="D800" s="92"/>
    </row>
    <row r="801" ht="14.25" customHeight="1">
      <c r="C801" s="4"/>
      <c r="D801" s="92"/>
    </row>
    <row r="802" ht="14.25" customHeight="1">
      <c r="C802" s="4"/>
      <c r="D802" s="92"/>
    </row>
    <row r="803" ht="14.25" customHeight="1">
      <c r="C803" s="4"/>
      <c r="D803" s="92"/>
    </row>
    <row r="804" ht="14.25" customHeight="1">
      <c r="C804" s="4"/>
      <c r="D804" s="92"/>
    </row>
    <row r="805" ht="14.25" customHeight="1">
      <c r="C805" s="4"/>
      <c r="D805" s="92"/>
    </row>
    <row r="806" ht="14.25" customHeight="1">
      <c r="C806" s="4"/>
      <c r="D806" s="92"/>
    </row>
    <row r="807" ht="14.25" customHeight="1">
      <c r="C807" s="4"/>
      <c r="D807" s="92"/>
    </row>
    <row r="808" ht="14.25" customHeight="1">
      <c r="C808" s="4"/>
      <c r="D808" s="92"/>
    </row>
    <row r="809" ht="14.25" customHeight="1">
      <c r="C809" s="4"/>
      <c r="D809" s="92"/>
    </row>
    <row r="810" ht="14.25" customHeight="1">
      <c r="C810" s="4"/>
      <c r="D810" s="92"/>
    </row>
    <row r="811" ht="14.25" customHeight="1">
      <c r="C811" s="4"/>
      <c r="D811" s="92"/>
    </row>
    <row r="812" ht="14.25" customHeight="1">
      <c r="C812" s="4"/>
      <c r="D812" s="92"/>
    </row>
    <row r="813" ht="14.25" customHeight="1">
      <c r="C813" s="4"/>
      <c r="D813" s="92"/>
    </row>
    <row r="814" ht="14.25" customHeight="1">
      <c r="C814" s="4"/>
      <c r="D814" s="92"/>
    </row>
    <row r="815" ht="14.25" customHeight="1">
      <c r="C815" s="4"/>
      <c r="D815" s="92"/>
    </row>
    <row r="816" ht="14.25" customHeight="1">
      <c r="C816" s="4"/>
      <c r="D816" s="92"/>
    </row>
    <row r="817" ht="14.25" customHeight="1">
      <c r="C817" s="4"/>
      <c r="D817" s="92"/>
    </row>
    <row r="818" ht="14.25" customHeight="1">
      <c r="C818" s="4"/>
      <c r="D818" s="92"/>
    </row>
    <row r="819" ht="14.25" customHeight="1">
      <c r="C819" s="4"/>
      <c r="D819" s="92"/>
    </row>
    <row r="820" ht="14.25" customHeight="1">
      <c r="C820" s="4"/>
      <c r="D820" s="92"/>
    </row>
    <row r="821" ht="14.25" customHeight="1">
      <c r="C821" s="4"/>
      <c r="D821" s="92"/>
    </row>
    <row r="822" ht="14.25" customHeight="1">
      <c r="C822" s="4"/>
      <c r="D822" s="92"/>
    </row>
    <row r="823" ht="14.25" customHeight="1">
      <c r="C823" s="4"/>
      <c r="D823" s="92"/>
    </row>
    <row r="824" ht="14.25" customHeight="1">
      <c r="C824" s="4"/>
      <c r="D824" s="92"/>
    </row>
    <row r="825" ht="14.25" customHeight="1">
      <c r="C825" s="4"/>
      <c r="D825" s="92"/>
    </row>
    <row r="826" ht="14.25" customHeight="1">
      <c r="C826" s="4"/>
      <c r="D826" s="92"/>
    </row>
    <row r="827" ht="14.25" customHeight="1">
      <c r="C827" s="4"/>
      <c r="D827" s="92"/>
    </row>
    <row r="828" ht="14.25" customHeight="1">
      <c r="C828" s="4"/>
      <c r="D828" s="92"/>
    </row>
    <row r="829" ht="14.25" customHeight="1">
      <c r="C829" s="4"/>
      <c r="D829" s="92"/>
    </row>
    <row r="830" ht="14.25" customHeight="1">
      <c r="C830" s="4"/>
      <c r="D830" s="92"/>
    </row>
    <row r="831" ht="14.25" customHeight="1">
      <c r="C831" s="4"/>
      <c r="D831" s="92"/>
    </row>
    <row r="832" ht="14.25" customHeight="1">
      <c r="C832" s="4"/>
      <c r="D832" s="92"/>
    </row>
    <row r="833" ht="14.25" customHeight="1">
      <c r="C833" s="4"/>
      <c r="D833" s="92"/>
    </row>
    <row r="834" ht="14.25" customHeight="1">
      <c r="C834" s="4"/>
      <c r="D834" s="92"/>
    </row>
    <row r="835" ht="14.25" customHeight="1">
      <c r="C835" s="4"/>
      <c r="D835" s="92"/>
    </row>
    <row r="836" ht="14.25" customHeight="1">
      <c r="C836" s="4"/>
      <c r="D836" s="92"/>
    </row>
    <row r="837" ht="14.25" customHeight="1">
      <c r="C837" s="4"/>
      <c r="D837" s="92"/>
    </row>
    <row r="838" ht="14.25" customHeight="1">
      <c r="C838" s="4"/>
      <c r="D838" s="92"/>
    </row>
    <row r="839" ht="14.25" customHeight="1">
      <c r="C839" s="4"/>
      <c r="D839" s="92"/>
    </row>
    <row r="840" ht="14.25" customHeight="1">
      <c r="C840" s="4"/>
      <c r="D840" s="92"/>
    </row>
    <row r="841" ht="14.25" customHeight="1">
      <c r="C841" s="4"/>
      <c r="D841" s="92"/>
    </row>
    <row r="842" ht="14.25" customHeight="1">
      <c r="C842" s="4"/>
      <c r="D842" s="92"/>
    </row>
    <row r="843" ht="14.25" customHeight="1">
      <c r="C843" s="4"/>
      <c r="D843" s="92"/>
    </row>
    <row r="844" ht="14.25" customHeight="1">
      <c r="C844" s="4"/>
      <c r="D844" s="92"/>
    </row>
    <row r="845" ht="14.25" customHeight="1">
      <c r="C845" s="4"/>
      <c r="D845" s="92"/>
    </row>
    <row r="846" ht="14.25" customHeight="1">
      <c r="C846" s="4"/>
      <c r="D846" s="92"/>
    </row>
    <row r="847" ht="14.25" customHeight="1">
      <c r="C847" s="4"/>
      <c r="D847" s="92"/>
    </row>
    <row r="848" ht="14.25" customHeight="1">
      <c r="C848" s="4"/>
      <c r="D848" s="92"/>
    </row>
    <row r="849" ht="14.25" customHeight="1">
      <c r="C849" s="4"/>
      <c r="D849" s="92"/>
    </row>
    <row r="850" ht="14.25" customHeight="1">
      <c r="C850" s="4"/>
      <c r="D850" s="92"/>
    </row>
    <row r="851" ht="14.25" customHeight="1">
      <c r="C851" s="4"/>
      <c r="D851" s="92"/>
    </row>
    <row r="852" ht="14.25" customHeight="1">
      <c r="C852" s="4"/>
      <c r="D852" s="92"/>
    </row>
    <row r="853" ht="14.25" customHeight="1">
      <c r="C853" s="4"/>
      <c r="D853" s="92"/>
    </row>
    <row r="854" ht="14.25" customHeight="1">
      <c r="C854" s="4"/>
      <c r="D854" s="92"/>
    </row>
    <row r="855" ht="14.25" customHeight="1">
      <c r="C855" s="4"/>
      <c r="D855" s="92"/>
    </row>
    <row r="856" ht="14.25" customHeight="1">
      <c r="C856" s="4"/>
      <c r="D856" s="92"/>
    </row>
    <row r="857" ht="14.25" customHeight="1">
      <c r="C857" s="4"/>
      <c r="D857" s="92"/>
    </row>
    <row r="858" ht="14.25" customHeight="1">
      <c r="C858" s="4"/>
      <c r="D858" s="92"/>
    </row>
    <row r="859" ht="14.25" customHeight="1">
      <c r="C859" s="4"/>
      <c r="D859" s="92"/>
    </row>
    <row r="860" ht="14.25" customHeight="1">
      <c r="C860" s="4"/>
      <c r="D860" s="92"/>
    </row>
    <row r="861" ht="14.25" customHeight="1">
      <c r="C861" s="4"/>
      <c r="D861" s="92"/>
    </row>
    <row r="862" ht="14.25" customHeight="1">
      <c r="C862" s="4"/>
      <c r="D862" s="92"/>
    </row>
    <row r="863" ht="14.25" customHeight="1">
      <c r="C863" s="4"/>
      <c r="D863" s="92"/>
    </row>
    <row r="864" ht="14.25" customHeight="1">
      <c r="C864" s="4"/>
      <c r="D864" s="92"/>
    </row>
    <row r="865" ht="14.25" customHeight="1">
      <c r="C865" s="4"/>
      <c r="D865" s="92"/>
    </row>
    <row r="866" ht="14.25" customHeight="1">
      <c r="C866" s="4"/>
      <c r="D866" s="92"/>
    </row>
    <row r="867" ht="14.25" customHeight="1">
      <c r="C867" s="4"/>
      <c r="D867" s="92"/>
    </row>
    <row r="868" ht="14.25" customHeight="1">
      <c r="C868" s="4"/>
      <c r="D868" s="92"/>
    </row>
    <row r="869" ht="14.25" customHeight="1">
      <c r="C869" s="4"/>
      <c r="D869" s="92"/>
    </row>
    <row r="870" ht="14.25" customHeight="1">
      <c r="C870" s="4"/>
      <c r="D870" s="92"/>
    </row>
    <row r="871" ht="14.25" customHeight="1">
      <c r="C871" s="4"/>
      <c r="D871" s="92"/>
    </row>
    <row r="872" ht="14.25" customHeight="1">
      <c r="C872" s="4"/>
      <c r="D872" s="92"/>
    </row>
    <row r="873" ht="14.25" customHeight="1">
      <c r="C873" s="4"/>
      <c r="D873" s="92"/>
    </row>
    <row r="874" ht="14.25" customHeight="1">
      <c r="C874" s="4"/>
      <c r="D874" s="92"/>
    </row>
    <row r="875" ht="14.25" customHeight="1">
      <c r="C875" s="4"/>
      <c r="D875" s="92"/>
    </row>
    <row r="876" ht="14.25" customHeight="1">
      <c r="C876" s="4"/>
      <c r="D876" s="92"/>
    </row>
    <row r="877" ht="14.25" customHeight="1">
      <c r="C877" s="4"/>
      <c r="D877" s="92"/>
    </row>
    <row r="878" ht="14.25" customHeight="1">
      <c r="C878" s="4"/>
      <c r="D878" s="92"/>
    </row>
    <row r="879" ht="14.25" customHeight="1">
      <c r="C879" s="4"/>
      <c r="D879" s="92"/>
    </row>
    <row r="880" ht="14.25" customHeight="1">
      <c r="C880" s="4"/>
      <c r="D880" s="92"/>
    </row>
    <row r="881" ht="14.25" customHeight="1">
      <c r="C881" s="4"/>
      <c r="D881" s="92"/>
    </row>
    <row r="882" ht="14.25" customHeight="1">
      <c r="C882" s="4"/>
      <c r="D882" s="92"/>
    </row>
    <row r="883" ht="14.25" customHeight="1">
      <c r="C883" s="4"/>
      <c r="D883" s="92"/>
    </row>
    <row r="884" ht="14.25" customHeight="1">
      <c r="C884" s="4"/>
      <c r="D884" s="92"/>
    </row>
    <row r="885" ht="14.25" customHeight="1">
      <c r="C885" s="4"/>
      <c r="D885" s="92"/>
    </row>
    <row r="886" ht="14.25" customHeight="1">
      <c r="C886" s="4"/>
      <c r="D886" s="92"/>
    </row>
    <row r="887" ht="14.25" customHeight="1">
      <c r="C887" s="4"/>
      <c r="D887" s="92"/>
    </row>
    <row r="888" ht="14.25" customHeight="1">
      <c r="C888" s="4"/>
      <c r="D888" s="92"/>
    </row>
    <row r="889" ht="14.25" customHeight="1">
      <c r="C889" s="4"/>
      <c r="D889" s="92"/>
    </row>
    <row r="890" ht="14.25" customHeight="1">
      <c r="C890" s="4"/>
      <c r="D890" s="92"/>
    </row>
    <row r="891" ht="14.25" customHeight="1">
      <c r="C891" s="4"/>
      <c r="D891" s="92"/>
    </row>
    <row r="892" ht="14.25" customHeight="1">
      <c r="C892" s="4"/>
      <c r="D892" s="92"/>
    </row>
    <row r="893" ht="14.25" customHeight="1">
      <c r="C893" s="4"/>
      <c r="D893" s="92"/>
    </row>
    <row r="894" ht="14.25" customHeight="1">
      <c r="C894" s="4"/>
      <c r="D894" s="92"/>
    </row>
    <row r="895" ht="14.25" customHeight="1">
      <c r="C895" s="4"/>
      <c r="D895" s="92"/>
    </row>
    <row r="896" ht="14.25" customHeight="1">
      <c r="C896" s="4"/>
      <c r="D896" s="92"/>
    </row>
    <row r="897" ht="14.25" customHeight="1">
      <c r="C897" s="4"/>
      <c r="D897" s="92"/>
    </row>
    <row r="898" ht="14.25" customHeight="1">
      <c r="C898" s="4"/>
      <c r="D898" s="92"/>
    </row>
    <row r="899" ht="14.25" customHeight="1">
      <c r="C899" s="4"/>
      <c r="D899" s="92"/>
    </row>
    <row r="900" ht="14.25" customHeight="1">
      <c r="C900" s="4"/>
      <c r="D900" s="92"/>
    </row>
    <row r="901" ht="14.25" customHeight="1">
      <c r="C901" s="4"/>
      <c r="D901" s="92"/>
    </row>
    <row r="902" ht="14.25" customHeight="1">
      <c r="C902" s="4"/>
      <c r="D902" s="92"/>
    </row>
    <row r="903" ht="14.25" customHeight="1">
      <c r="C903" s="4"/>
      <c r="D903" s="92"/>
    </row>
    <row r="904" ht="14.25" customHeight="1">
      <c r="C904" s="4"/>
      <c r="D904" s="92"/>
    </row>
    <row r="905" ht="14.25" customHeight="1">
      <c r="C905" s="4"/>
      <c r="D905" s="92"/>
    </row>
    <row r="906" ht="14.25" customHeight="1">
      <c r="C906" s="4"/>
      <c r="D906" s="92"/>
    </row>
    <row r="907" ht="14.25" customHeight="1">
      <c r="C907" s="4"/>
      <c r="D907" s="92"/>
    </row>
    <row r="908" ht="14.25" customHeight="1">
      <c r="C908" s="4"/>
      <c r="D908" s="92"/>
    </row>
    <row r="909" ht="14.25" customHeight="1">
      <c r="C909" s="4"/>
      <c r="D909" s="92"/>
    </row>
    <row r="910" ht="14.25" customHeight="1">
      <c r="C910" s="4"/>
      <c r="D910" s="92"/>
    </row>
    <row r="911" ht="14.25" customHeight="1">
      <c r="C911" s="4"/>
      <c r="D911" s="92"/>
    </row>
    <row r="912" ht="14.25" customHeight="1">
      <c r="C912" s="4"/>
      <c r="D912" s="92"/>
    </row>
    <row r="913" ht="14.25" customHeight="1">
      <c r="C913" s="4"/>
      <c r="D913" s="92"/>
    </row>
    <row r="914" ht="14.25" customHeight="1">
      <c r="C914" s="4"/>
      <c r="D914" s="92"/>
    </row>
    <row r="915" ht="14.25" customHeight="1">
      <c r="C915" s="4"/>
      <c r="D915" s="92"/>
    </row>
    <row r="916" ht="14.25" customHeight="1">
      <c r="C916" s="4"/>
      <c r="D916" s="92"/>
    </row>
    <row r="917" ht="14.25" customHeight="1">
      <c r="C917" s="4"/>
      <c r="D917" s="92"/>
    </row>
    <row r="918" ht="14.25" customHeight="1">
      <c r="C918" s="4"/>
      <c r="D918" s="92"/>
    </row>
    <row r="919" ht="14.25" customHeight="1">
      <c r="C919" s="4"/>
      <c r="D919" s="92"/>
    </row>
    <row r="920" ht="14.25" customHeight="1">
      <c r="C920" s="4"/>
      <c r="D920" s="92"/>
    </row>
    <row r="921" ht="14.25" customHeight="1">
      <c r="C921" s="4"/>
      <c r="D921" s="92"/>
    </row>
    <row r="922" ht="14.25" customHeight="1">
      <c r="C922" s="4"/>
      <c r="D922" s="92"/>
    </row>
    <row r="923" ht="14.25" customHeight="1">
      <c r="C923" s="4"/>
      <c r="D923" s="92"/>
    </row>
    <row r="924" ht="14.25" customHeight="1">
      <c r="C924" s="4"/>
      <c r="D924" s="92"/>
    </row>
    <row r="925" ht="14.25" customHeight="1">
      <c r="C925" s="4"/>
      <c r="D925" s="92"/>
    </row>
    <row r="926" ht="14.25" customHeight="1">
      <c r="C926" s="4"/>
      <c r="D926" s="92"/>
    </row>
    <row r="927" ht="14.25" customHeight="1">
      <c r="C927" s="4"/>
      <c r="D927" s="92"/>
    </row>
    <row r="928" ht="14.25" customHeight="1">
      <c r="C928" s="4"/>
      <c r="D928" s="92"/>
    </row>
    <row r="929" ht="14.25" customHeight="1">
      <c r="C929" s="4"/>
      <c r="D929" s="92"/>
    </row>
    <row r="930" ht="14.25" customHeight="1">
      <c r="C930" s="4"/>
      <c r="D930" s="92"/>
    </row>
    <row r="931" ht="14.25" customHeight="1">
      <c r="C931" s="4"/>
      <c r="D931" s="92"/>
    </row>
    <row r="932" ht="14.25" customHeight="1">
      <c r="C932" s="4"/>
      <c r="D932" s="92"/>
    </row>
    <row r="933" ht="14.25" customHeight="1">
      <c r="C933" s="4"/>
      <c r="D933" s="92"/>
    </row>
    <row r="934" ht="14.25" customHeight="1">
      <c r="C934" s="4"/>
      <c r="D934" s="92"/>
    </row>
    <row r="935" ht="14.25" customHeight="1">
      <c r="C935" s="4"/>
      <c r="D935" s="92"/>
    </row>
    <row r="936" ht="14.25" customHeight="1">
      <c r="C936" s="4"/>
      <c r="D936" s="92"/>
    </row>
    <row r="937" ht="14.25" customHeight="1">
      <c r="C937" s="4"/>
      <c r="D937" s="92"/>
    </row>
    <row r="938" ht="14.25" customHeight="1">
      <c r="C938" s="4"/>
      <c r="D938" s="92"/>
    </row>
    <row r="939" ht="14.25" customHeight="1">
      <c r="C939" s="4"/>
      <c r="D939" s="92"/>
    </row>
    <row r="940" ht="14.25" customHeight="1">
      <c r="C940" s="4"/>
      <c r="D940" s="92"/>
    </row>
    <row r="941" ht="14.25" customHeight="1">
      <c r="C941" s="4"/>
      <c r="D941" s="92"/>
    </row>
    <row r="942" ht="14.25" customHeight="1">
      <c r="C942" s="4"/>
      <c r="D942" s="92"/>
    </row>
    <row r="943" ht="14.25" customHeight="1">
      <c r="C943" s="4"/>
      <c r="D943" s="92"/>
    </row>
    <row r="944" ht="14.25" customHeight="1">
      <c r="C944" s="4"/>
      <c r="D944" s="92"/>
    </row>
    <row r="945" ht="14.25" customHeight="1">
      <c r="C945" s="4"/>
      <c r="D945" s="92"/>
    </row>
    <row r="946" ht="14.25" customHeight="1">
      <c r="C946" s="4"/>
      <c r="D946" s="92"/>
    </row>
    <row r="947" ht="14.25" customHeight="1">
      <c r="C947" s="4"/>
      <c r="D947" s="92"/>
    </row>
    <row r="948" ht="14.25" customHeight="1">
      <c r="C948" s="4"/>
      <c r="D948" s="92"/>
    </row>
    <row r="949" ht="14.25" customHeight="1">
      <c r="C949" s="4"/>
      <c r="D949" s="92"/>
    </row>
    <row r="950" ht="14.25" customHeight="1">
      <c r="C950" s="4"/>
      <c r="D950" s="92"/>
    </row>
    <row r="951" ht="14.25" customHeight="1">
      <c r="C951" s="4"/>
      <c r="D951" s="92"/>
    </row>
    <row r="952" ht="14.25" customHeight="1">
      <c r="C952" s="4"/>
      <c r="D952" s="92"/>
    </row>
    <row r="953" ht="14.25" customHeight="1">
      <c r="C953" s="4"/>
      <c r="D953" s="92"/>
    </row>
    <row r="954" ht="14.25" customHeight="1">
      <c r="C954" s="4"/>
      <c r="D954" s="92"/>
    </row>
    <row r="955" ht="14.25" customHeight="1">
      <c r="C955" s="4"/>
      <c r="D955" s="92"/>
    </row>
    <row r="956" ht="14.25" customHeight="1">
      <c r="C956" s="4"/>
      <c r="D956" s="92"/>
    </row>
    <row r="957" ht="14.25" customHeight="1">
      <c r="C957" s="4"/>
      <c r="D957" s="92"/>
    </row>
    <row r="958" ht="14.25" customHeight="1">
      <c r="C958" s="4"/>
      <c r="D958" s="92"/>
    </row>
    <row r="959" ht="14.25" customHeight="1">
      <c r="C959" s="4"/>
      <c r="D959" s="92"/>
    </row>
    <row r="960" ht="14.25" customHeight="1">
      <c r="C960" s="4"/>
      <c r="D960" s="92"/>
    </row>
    <row r="961" ht="14.25" customHeight="1">
      <c r="C961" s="4"/>
      <c r="D961" s="92"/>
    </row>
    <row r="962" ht="14.25" customHeight="1">
      <c r="C962" s="4"/>
      <c r="D962" s="92"/>
    </row>
    <row r="963" ht="14.25" customHeight="1">
      <c r="C963" s="4"/>
      <c r="D963" s="92"/>
    </row>
    <row r="964" ht="14.25" customHeight="1">
      <c r="C964" s="4"/>
      <c r="D964" s="92"/>
    </row>
    <row r="965" ht="14.25" customHeight="1">
      <c r="C965" s="4"/>
      <c r="D965" s="92"/>
    </row>
    <row r="966" ht="14.25" customHeight="1">
      <c r="C966" s="4"/>
      <c r="D966" s="92"/>
    </row>
    <row r="967" ht="14.25" customHeight="1">
      <c r="C967" s="4"/>
      <c r="D967" s="92"/>
    </row>
    <row r="968" ht="14.25" customHeight="1">
      <c r="C968" s="4"/>
      <c r="D968" s="92"/>
    </row>
    <row r="969" ht="14.25" customHeight="1">
      <c r="C969" s="4"/>
      <c r="D969" s="92"/>
    </row>
    <row r="970" ht="14.25" customHeight="1">
      <c r="C970" s="4"/>
      <c r="D970" s="92"/>
    </row>
    <row r="971" ht="14.25" customHeight="1">
      <c r="C971" s="4"/>
      <c r="D971" s="92"/>
    </row>
    <row r="972" ht="14.25" customHeight="1">
      <c r="C972" s="4"/>
      <c r="D972" s="92"/>
    </row>
    <row r="973" ht="14.25" customHeight="1">
      <c r="C973" s="4"/>
      <c r="D973" s="92"/>
    </row>
    <row r="974" ht="14.25" customHeight="1">
      <c r="C974" s="4"/>
      <c r="D974" s="92"/>
    </row>
    <row r="975" ht="14.25" customHeight="1">
      <c r="C975" s="4"/>
      <c r="D975" s="92"/>
    </row>
    <row r="976" ht="14.25" customHeight="1">
      <c r="C976" s="4"/>
      <c r="D976" s="92"/>
    </row>
    <row r="977" ht="14.25" customHeight="1">
      <c r="C977" s="4"/>
      <c r="D977" s="92"/>
    </row>
    <row r="978" ht="14.25" customHeight="1">
      <c r="C978" s="4"/>
      <c r="D978" s="92"/>
    </row>
    <row r="979" ht="14.25" customHeight="1">
      <c r="C979" s="4"/>
      <c r="D979" s="92"/>
    </row>
    <row r="980" ht="14.25" customHeight="1">
      <c r="C980" s="4"/>
      <c r="D980" s="92"/>
    </row>
    <row r="981" ht="14.25" customHeight="1">
      <c r="C981" s="4"/>
      <c r="D981" s="92"/>
    </row>
    <row r="982" ht="14.25" customHeight="1">
      <c r="C982" s="4"/>
      <c r="D982" s="92"/>
    </row>
    <row r="983" ht="14.25" customHeight="1">
      <c r="C983" s="4"/>
      <c r="D983" s="92"/>
    </row>
    <row r="984" ht="14.25" customHeight="1">
      <c r="C984" s="4"/>
      <c r="D984" s="92"/>
    </row>
    <row r="985" ht="14.25" customHeight="1">
      <c r="C985" s="4"/>
      <c r="D985" s="92"/>
    </row>
    <row r="986" ht="14.25" customHeight="1">
      <c r="C986" s="4"/>
      <c r="D986" s="92"/>
    </row>
    <row r="987" ht="14.25" customHeight="1">
      <c r="C987" s="4"/>
      <c r="D987" s="92"/>
    </row>
    <row r="988" ht="14.25" customHeight="1">
      <c r="C988" s="4"/>
      <c r="D988" s="92"/>
    </row>
    <row r="989" ht="14.25" customHeight="1">
      <c r="C989" s="4"/>
      <c r="D989" s="92"/>
    </row>
    <row r="990" ht="14.25" customHeight="1">
      <c r="C990" s="4"/>
      <c r="D990" s="92"/>
    </row>
    <row r="991" ht="14.25" customHeight="1">
      <c r="C991" s="4"/>
      <c r="D991" s="92"/>
    </row>
    <row r="992" ht="14.25" customHeight="1">
      <c r="C992" s="4"/>
      <c r="D992" s="92"/>
    </row>
    <row r="993" ht="14.25" customHeight="1">
      <c r="C993" s="4"/>
      <c r="D993" s="92"/>
    </row>
    <row r="994" ht="14.25" customHeight="1">
      <c r="C994" s="4"/>
      <c r="D994" s="92"/>
    </row>
    <row r="995" ht="14.25" customHeight="1">
      <c r="C995" s="4"/>
      <c r="D995" s="92"/>
    </row>
    <row r="996" ht="14.25" customHeight="1">
      <c r="C996" s="4"/>
      <c r="D996" s="92"/>
    </row>
    <row r="997" ht="14.25" customHeight="1">
      <c r="C997" s="4"/>
      <c r="D997" s="92"/>
    </row>
    <row r="998" ht="14.25" customHeight="1">
      <c r="C998" s="4"/>
      <c r="D998" s="92"/>
    </row>
    <row r="999" ht="14.25" customHeight="1">
      <c r="C999" s="4"/>
      <c r="D999" s="92"/>
    </row>
    <row r="1000" ht="14.25" customHeight="1">
      <c r="C1000" s="4"/>
      <c r="D1000" s="92"/>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47.86"/>
    <col customWidth="1" min="2" max="2" width="20.57"/>
    <col customWidth="1" min="3" max="3" width="19.57"/>
    <col customWidth="1" min="4" max="4" width="16.57"/>
    <col customWidth="1" min="5" max="5" width="19.14"/>
    <col customWidth="1" min="6" max="6" width="17.43"/>
    <col customWidth="1" min="7" max="7" width="24.86"/>
    <col customWidth="1" min="8" max="8" width="16.14"/>
    <col customWidth="1" min="9" max="9" width="13.57"/>
    <col customWidth="1" min="10" max="10" width="19.43"/>
    <col customWidth="1" min="11" max="26" width="8.71"/>
  </cols>
  <sheetData>
    <row r="1" ht="14.25" customHeight="1">
      <c r="B1" s="104"/>
      <c r="C1" s="4"/>
      <c r="F1" s="4"/>
      <c r="I1" s="105"/>
    </row>
    <row r="2" ht="14.25" customHeight="1">
      <c r="A2" s="106" t="s">
        <v>185</v>
      </c>
      <c r="B2" s="106"/>
      <c r="C2" s="106"/>
      <c r="D2" s="106"/>
      <c r="E2" s="106"/>
      <c r="F2" s="106"/>
      <c r="G2" s="106"/>
      <c r="H2" s="106"/>
      <c r="I2" s="105"/>
    </row>
    <row r="3" ht="14.25" customHeight="1">
      <c r="A3" s="89" t="s">
        <v>186</v>
      </c>
      <c r="B3" s="107" t="s">
        <v>105</v>
      </c>
      <c r="C3" s="90" t="s">
        <v>187</v>
      </c>
      <c r="D3" s="89" t="s">
        <v>106</v>
      </c>
      <c r="E3" s="89" t="s">
        <v>188</v>
      </c>
      <c r="F3" s="90" t="s">
        <v>189</v>
      </c>
      <c r="G3" s="89" t="s">
        <v>190</v>
      </c>
      <c r="H3" s="89" t="s">
        <v>191</v>
      </c>
      <c r="I3" s="108" t="s">
        <v>192</v>
      </c>
      <c r="J3" s="89" t="s">
        <v>193</v>
      </c>
    </row>
    <row r="4" ht="14.25" customHeight="1">
      <c r="A4" s="2" t="s">
        <v>194</v>
      </c>
      <c r="B4" s="104" t="s">
        <v>195</v>
      </c>
      <c r="C4" s="4">
        <v>450.0</v>
      </c>
      <c r="D4" s="92">
        <v>44344.0</v>
      </c>
      <c r="E4" s="2" t="s">
        <v>196</v>
      </c>
      <c r="F4" s="4">
        <v>500.0</v>
      </c>
      <c r="G4" s="92">
        <v>44755.0</v>
      </c>
      <c r="H4" s="4">
        <f t="shared" ref="H4:H13" si="1">SUM(F4-C4)</f>
        <v>50</v>
      </c>
      <c r="I4" s="105">
        <f t="shared" ref="I4:I14" si="2">H4/C4</f>
        <v>0.1111111111</v>
      </c>
      <c r="J4" s="2">
        <f t="shared" ref="J4:J13" si="3">G4-D4</f>
        <v>411</v>
      </c>
    </row>
    <row r="5" ht="14.25" customHeight="1">
      <c r="A5" s="2" t="s">
        <v>197</v>
      </c>
      <c r="B5" s="104" t="s">
        <v>195</v>
      </c>
      <c r="C5" s="4">
        <v>906.37</v>
      </c>
      <c r="D5" s="92">
        <v>44535.0</v>
      </c>
      <c r="E5" s="2" t="s">
        <v>196</v>
      </c>
      <c r="F5" s="4">
        <v>1000.0</v>
      </c>
      <c r="G5" s="92">
        <v>44755.0</v>
      </c>
      <c r="H5" s="4">
        <f t="shared" si="1"/>
        <v>93.63</v>
      </c>
      <c r="I5" s="105">
        <f t="shared" si="2"/>
        <v>0.1033021834</v>
      </c>
      <c r="J5" s="2">
        <f t="shared" si="3"/>
        <v>220</v>
      </c>
    </row>
    <row r="6" ht="14.25" customHeight="1">
      <c r="A6" s="2" t="s">
        <v>198</v>
      </c>
      <c r="B6" s="104" t="s">
        <v>195</v>
      </c>
      <c r="C6" s="109">
        <v>239.0</v>
      </c>
      <c r="D6" s="92">
        <v>44548.0</v>
      </c>
      <c r="E6" s="2" t="s">
        <v>196</v>
      </c>
      <c r="F6" s="4">
        <v>400.0</v>
      </c>
      <c r="G6" s="92">
        <v>44755.0</v>
      </c>
      <c r="H6" s="4">
        <f t="shared" si="1"/>
        <v>161</v>
      </c>
      <c r="I6" s="105">
        <f t="shared" si="2"/>
        <v>0.6736401674</v>
      </c>
      <c r="J6" s="2">
        <f t="shared" si="3"/>
        <v>207</v>
      </c>
    </row>
    <row r="7" ht="14.25" customHeight="1">
      <c r="A7" s="2" t="s">
        <v>199</v>
      </c>
      <c r="B7" s="104" t="s">
        <v>195</v>
      </c>
      <c r="C7" s="4">
        <v>900.0</v>
      </c>
      <c r="D7" s="92">
        <v>44569.0</v>
      </c>
      <c r="E7" s="2" t="s">
        <v>196</v>
      </c>
      <c r="F7" s="4">
        <v>1100.0</v>
      </c>
      <c r="G7" s="92">
        <v>44755.0</v>
      </c>
      <c r="H7" s="4">
        <f t="shared" si="1"/>
        <v>200</v>
      </c>
      <c r="I7" s="105">
        <f t="shared" si="2"/>
        <v>0.2222222222</v>
      </c>
      <c r="J7" s="2">
        <f t="shared" si="3"/>
        <v>186</v>
      </c>
    </row>
    <row r="8" ht="14.25" customHeight="1">
      <c r="A8" s="2" t="s">
        <v>200</v>
      </c>
      <c r="B8" s="104" t="s">
        <v>195</v>
      </c>
      <c r="C8" s="4">
        <v>172.0</v>
      </c>
      <c r="D8" s="92">
        <v>44569.0</v>
      </c>
      <c r="E8" s="2" t="s">
        <v>196</v>
      </c>
      <c r="F8" s="4">
        <v>375.0</v>
      </c>
      <c r="G8" s="92">
        <v>44755.0</v>
      </c>
      <c r="H8" s="4">
        <f t="shared" si="1"/>
        <v>203</v>
      </c>
      <c r="I8" s="105">
        <f t="shared" si="2"/>
        <v>1.180232558</v>
      </c>
      <c r="J8" s="2">
        <f t="shared" si="3"/>
        <v>186</v>
      </c>
    </row>
    <row r="9" ht="14.25" customHeight="1">
      <c r="A9" s="2" t="s">
        <v>201</v>
      </c>
      <c r="B9" s="104" t="s">
        <v>196</v>
      </c>
      <c r="C9" s="4">
        <v>400.0</v>
      </c>
      <c r="D9" s="92">
        <v>44343.0</v>
      </c>
      <c r="E9" s="2" t="s">
        <v>196</v>
      </c>
      <c r="F9" s="4">
        <v>500.0</v>
      </c>
      <c r="G9" s="92">
        <v>44877.0</v>
      </c>
      <c r="H9" s="4">
        <f t="shared" si="1"/>
        <v>100</v>
      </c>
      <c r="I9" s="105">
        <f t="shared" si="2"/>
        <v>0.25</v>
      </c>
      <c r="J9" s="2">
        <f t="shared" si="3"/>
        <v>534</v>
      </c>
    </row>
    <row r="10" ht="14.25" customHeight="1">
      <c r="A10" s="2" t="s">
        <v>202</v>
      </c>
      <c r="B10" s="104" t="s">
        <v>196</v>
      </c>
      <c r="C10" s="4">
        <v>375.0</v>
      </c>
      <c r="D10" s="92">
        <v>44343.0</v>
      </c>
      <c r="E10" s="2" t="s">
        <v>196</v>
      </c>
      <c r="F10" s="4">
        <v>700.0</v>
      </c>
      <c r="G10" s="92">
        <v>44877.0</v>
      </c>
      <c r="H10" s="4">
        <f t="shared" si="1"/>
        <v>325</v>
      </c>
      <c r="I10" s="105">
        <f t="shared" si="2"/>
        <v>0.8666666667</v>
      </c>
      <c r="J10" s="2">
        <f t="shared" si="3"/>
        <v>534</v>
      </c>
    </row>
    <row r="11" ht="14.25" customHeight="1">
      <c r="A11" s="2" t="s">
        <v>203</v>
      </c>
      <c r="B11" s="104" t="s">
        <v>196</v>
      </c>
      <c r="C11" s="4">
        <v>6250.0</v>
      </c>
      <c r="D11" s="92">
        <v>44343.0</v>
      </c>
      <c r="E11" s="92" t="s">
        <v>196</v>
      </c>
      <c r="F11" s="4">
        <v>15000.0</v>
      </c>
      <c r="G11" s="92">
        <v>44877.0</v>
      </c>
      <c r="H11" s="4">
        <f t="shared" si="1"/>
        <v>8750</v>
      </c>
      <c r="I11" s="105">
        <f t="shared" si="2"/>
        <v>1.4</v>
      </c>
      <c r="J11" s="2">
        <f t="shared" si="3"/>
        <v>534</v>
      </c>
    </row>
    <row r="12" ht="14.25" customHeight="1">
      <c r="A12" s="2" t="s">
        <v>204</v>
      </c>
      <c r="B12" s="104" t="s">
        <v>205</v>
      </c>
      <c r="C12" s="4">
        <v>6100.0</v>
      </c>
      <c r="D12" s="92">
        <v>44692.0</v>
      </c>
      <c r="E12" s="2" t="s">
        <v>206</v>
      </c>
      <c r="F12" s="4">
        <v>8000.0</v>
      </c>
      <c r="G12" s="92">
        <v>44908.0</v>
      </c>
      <c r="H12" s="4">
        <f t="shared" si="1"/>
        <v>1900</v>
      </c>
      <c r="I12" s="105">
        <f t="shared" si="2"/>
        <v>0.3114754098</v>
      </c>
      <c r="J12" s="2">
        <f t="shared" si="3"/>
        <v>216</v>
      </c>
    </row>
    <row r="13" ht="14.25" customHeight="1">
      <c r="A13" s="2" t="s">
        <v>207</v>
      </c>
      <c r="B13" s="104" t="s">
        <v>208</v>
      </c>
      <c r="C13" s="4">
        <v>5250.97</v>
      </c>
      <c r="D13" s="92">
        <v>44895.0</v>
      </c>
      <c r="E13" s="2" t="s">
        <v>209</v>
      </c>
      <c r="F13" s="4">
        <v>9000.0</v>
      </c>
      <c r="G13" s="92">
        <v>44908.0</v>
      </c>
      <c r="H13" s="4">
        <f t="shared" si="1"/>
        <v>3749.03</v>
      </c>
      <c r="I13" s="105">
        <f t="shared" si="2"/>
        <v>0.7139690381</v>
      </c>
      <c r="J13" s="2">
        <f t="shared" si="3"/>
        <v>13</v>
      </c>
    </row>
    <row r="14" ht="14.25" customHeight="1">
      <c r="A14" s="5" t="s">
        <v>88</v>
      </c>
      <c r="B14" s="104"/>
      <c r="C14" s="86">
        <f>SUM(C4:C13)</f>
        <v>21043.34</v>
      </c>
      <c r="D14" s="92"/>
      <c r="F14" s="86">
        <f>SUM(F4:F13)</f>
        <v>36575</v>
      </c>
      <c r="G14" s="92"/>
      <c r="H14" s="110">
        <f>SUM(H4:H13)</f>
        <v>15531.66</v>
      </c>
      <c r="I14" s="105">
        <f t="shared" si="2"/>
        <v>0.7380796014</v>
      </c>
      <c r="J14" s="111">
        <f>AVERAGE(J4:J13)</f>
        <v>304.1</v>
      </c>
    </row>
    <row r="15" ht="14.25" customHeight="1">
      <c r="A15" s="106" t="s">
        <v>210</v>
      </c>
      <c r="B15" s="106"/>
      <c r="C15" s="106"/>
      <c r="D15" s="106"/>
      <c r="E15" s="106"/>
      <c r="F15" s="106"/>
      <c r="G15" s="106"/>
      <c r="H15" s="106"/>
      <c r="I15" s="105"/>
    </row>
    <row r="16" ht="14.25" customHeight="1">
      <c r="A16" s="89" t="s">
        <v>186</v>
      </c>
      <c r="B16" s="107" t="s">
        <v>105</v>
      </c>
      <c r="C16" s="90" t="s">
        <v>187</v>
      </c>
      <c r="D16" s="89" t="s">
        <v>106</v>
      </c>
      <c r="E16" s="89" t="s">
        <v>188</v>
      </c>
      <c r="F16" s="90" t="s">
        <v>189</v>
      </c>
      <c r="G16" s="89" t="s">
        <v>190</v>
      </c>
      <c r="H16" s="89" t="s">
        <v>191</v>
      </c>
      <c r="I16" s="105"/>
    </row>
    <row r="17" ht="14.25" customHeight="1">
      <c r="A17" s="2" t="s">
        <v>211</v>
      </c>
      <c r="B17" s="104" t="s">
        <v>212</v>
      </c>
      <c r="C17" s="4">
        <v>2870.43</v>
      </c>
      <c r="D17" s="92">
        <v>44918.0</v>
      </c>
      <c r="E17" s="2" t="s">
        <v>196</v>
      </c>
      <c r="F17" s="4">
        <v>8500.0</v>
      </c>
      <c r="G17" s="92">
        <v>45071.0</v>
      </c>
      <c r="H17" s="4">
        <f t="shared" ref="H17:H36" si="4">SUM(F17-C17)</f>
        <v>5629.57</v>
      </c>
      <c r="I17" s="105">
        <f t="shared" ref="I17:I37" si="5">H17/C17</f>
        <v>1.961228805</v>
      </c>
      <c r="J17" s="2">
        <f t="shared" ref="J17:J36" si="6">G17-D17</f>
        <v>153</v>
      </c>
    </row>
    <row r="18" ht="14.25" customHeight="1">
      <c r="A18" s="2" t="s">
        <v>213</v>
      </c>
      <c r="B18" s="104" t="s">
        <v>214</v>
      </c>
      <c r="C18" s="4">
        <v>392.14</v>
      </c>
      <c r="D18" s="92">
        <v>44908.0</v>
      </c>
      <c r="E18" s="2" t="s">
        <v>196</v>
      </c>
      <c r="F18" s="4">
        <v>2500.0</v>
      </c>
      <c r="G18" s="92">
        <v>45071.0</v>
      </c>
      <c r="H18" s="4">
        <f t="shared" si="4"/>
        <v>2107.86</v>
      </c>
      <c r="I18" s="105">
        <f t="shared" si="5"/>
        <v>5.375274137</v>
      </c>
      <c r="J18" s="2">
        <f t="shared" si="6"/>
        <v>163</v>
      </c>
    </row>
    <row r="19" ht="14.25" customHeight="1">
      <c r="A19" s="2" t="s">
        <v>215</v>
      </c>
      <c r="B19" s="104" t="s">
        <v>216</v>
      </c>
      <c r="C19" s="4">
        <v>750.0</v>
      </c>
      <c r="D19" s="92">
        <v>44718.0</v>
      </c>
      <c r="E19" s="2" t="s">
        <v>196</v>
      </c>
      <c r="F19" s="4">
        <v>600.0</v>
      </c>
      <c r="G19" s="92">
        <v>45071.0</v>
      </c>
      <c r="H19" s="4">
        <f t="shared" si="4"/>
        <v>-150</v>
      </c>
      <c r="I19" s="105">
        <f t="shared" si="5"/>
        <v>-0.2</v>
      </c>
      <c r="J19" s="2">
        <f t="shared" si="6"/>
        <v>353</v>
      </c>
    </row>
    <row r="20" ht="14.25" customHeight="1">
      <c r="A20" s="2" t="s">
        <v>217</v>
      </c>
      <c r="B20" s="104" t="s">
        <v>195</v>
      </c>
      <c r="C20" s="4">
        <v>1351.78</v>
      </c>
      <c r="D20" s="92">
        <v>44770.0</v>
      </c>
      <c r="E20" s="2" t="s">
        <v>196</v>
      </c>
      <c r="F20" s="4">
        <v>1900.0</v>
      </c>
      <c r="G20" s="92">
        <v>45071.0</v>
      </c>
      <c r="H20" s="4">
        <f t="shared" si="4"/>
        <v>548.22</v>
      </c>
      <c r="I20" s="105">
        <f t="shared" si="5"/>
        <v>0.4055541582</v>
      </c>
      <c r="J20" s="2">
        <f t="shared" si="6"/>
        <v>301</v>
      </c>
    </row>
    <row r="21" ht="14.25" customHeight="1">
      <c r="A21" s="5" t="s">
        <v>218</v>
      </c>
      <c r="B21" s="104" t="s">
        <v>131</v>
      </c>
      <c r="C21" s="4">
        <v>3938.0</v>
      </c>
      <c r="D21" s="92">
        <v>45087.0</v>
      </c>
      <c r="E21" s="2" t="s">
        <v>216</v>
      </c>
      <c r="F21" s="4">
        <v>8500.0</v>
      </c>
      <c r="G21" s="92">
        <v>45099.0</v>
      </c>
      <c r="H21" s="4">
        <f t="shared" si="4"/>
        <v>4562</v>
      </c>
      <c r="I21" s="105">
        <f t="shared" si="5"/>
        <v>1.158456069</v>
      </c>
      <c r="J21" s="2">
        <f t="shared" si="6"/>
        <v>12</v>
      </c>
    </row>
    <row r="22" ht="14.25" customHeight="1">
      <c r="A22" s="2" t="s">
        <v>219</v>
      </c>
      <c r="B22" s="104" t="s">
        <v>195</v>
      </c>
      <c r="C22" s="4">
        <v>233.0</v>
      </c>
      <c r="D22" s="92">
        <v>45086.0</v>
      </c>
      <c r="E22" s="2" t="s">
        <v>216</v>
      </c>
      <c r="F22" s="4">
        <v>500.0</v>
      </c>
      <c r="G22" s="92">
        <v>45099.0</v>
      </c>
      <c r="H22" s="4">
        <f t="shared" si="4"/>
        <v>267</v>
      </c>
      <c r="I22" s="105">
        <f t="shared" si="5"/>
        <v>1.145922747</v>
      </c>
      <c r="J22" s="2">
        <f t="shared" si="6"/>
        <v>13</v>
      </c>
    </row>
    <row r="23" ht="14.25" customHeight="1">
      <c r="A23" s="2" t="s">
        <v>220</v>
      </c>
      <c r="B23" s="104" t="s">
        <v>195</v>
      </c>
      <c r="C23" s="4">
        <v>701.5</v>
      </c>
      <c r="D23" s="92">
        <v>45086.0</v>
      </c>
      <c r="E23" s="2" t="s">
        <v>216</v>
      </c>
      <c r="F23" s="4">
        <v>2000.0</v>
      </c>
      <c r="G23" s="92">
        <v>45099.0</v>
      </c>
      <c r="H23" s="4">
        <f t="shared" si="4"/>
        <v>1298.5</v>
      </c>
      <c r="I23" s="105">
        <f t="shared" si="5"/>
        <v>1.8510335</v>
      </c>
      <c r="J23" s="2">
        <f t="shared" si="6"/>
        <v>13</v>
      </c>
    </row>
    <row r="24" ht="14.25" customHeight="1">
      <c r="A24" s="2" t="s">
        <v>221</v>
      </c>
      <c r="B24" s="104" t="s">
        <v>195</v>
      </c>
      <c r="C24" s="4">
        <v>233.0</v>
      </c>
      <c r="D24" s="92">
        <v>45086.0</v>
      </c>
      <c r="E24" s="2" t="s">
        <v>216</v>
      </c>
      <c r="F24" s="4">
        <v>500.0</v>
      </c>
      <c r="G24" s="92">
        <v>45099.0</v>
      </c>
      <c r="H24" s="4">
        <f t="shared" si="4"/>
        <v>267</v>
      </c>
      <c r="I24" s="105">
        <f t="shared" si="5"/>
        <v>1.145922747</v>
      </c>
      <c r="J24" s="2">
        <f t="shared" si="6"/>
        <v>13</v>
      </c>
    </row>
    <row r="25" ht="14.25" customHeight="1">
      <c r="A25" s="2" t="s">
        <v>222</v>
      </c>
      <c r="B25" s="104" t="s">
        <v>195</v>
      </c>
      <c r="C25" s="4">
        <v>233.0</v>
      </c>
      <c r="D25" s="92">
        <v>45086.0</v>
      </c>
      <c r="E25" s="2" t="s">
        <v>216</v>
      </c>
      <c r="F25" s="4">
        <v>500.0</v>
      </c>
      <c r="G25" s="92">
        <v>45099.0</v>
      </c>
      <c r="H25" s="4">
        <f t="shared" si="4"/>
        <v>267</v>
      </c>
      <c r="I25" s="105">
        <f t="shared" si="5"/>
        <v>1.145922747</v>
      </c>
      <c r="J25" s="2">
        <f t="shared" si="6"/>
        <v>13</v>
      </c>
    </row>
    <row r="26" ht="14.25" customHeight="1">
      <c r="A26" s="2" t="s">
        <v>223</v>
      </c>
      <c r="B26" s="104" t="s">
        <v>131</v>
      </c>
      <c r="C26" s="4">
        <v>2000.0</v>
      </c>
      <c r="D26" s="92">
        <v>44918.0</v>
      </c>
      <c r="E26" s="2" t="s">
        <v>216</v>
      </c>
      <c r="F26" s="4">
        <v>7000.0</v>
      </c>
      <c r="G26" s="92">
        <v>45099.0</v>
      </c>
      <c r="H26" s="4">
        <f t="shared" si="4"/>
        <v>5000</v>
      </c>
      <c r="I26" s="105">
        <f t="shared" si="5"/>
        <v>2.5</v>
      </c>
      <c r="J26" s="2">
        <f t="shared" si="6"/>
        <v>181</v>
      </c>
    </row>
    <row r="27" ht="14.25" customHeight="1">
      <c r="A27" s="2" t="s">
        <v>224</v>
      </c>
      <c r="B27" s="104" t="s">
        <v>131</v>
      </c>
      <c r="C27" s="4">
        <v>990.0</v>
      </c>
      <c r="D27" s="92">
        <v>44918.0</v>
      </c>
      <c r="E27" s="2" t="s">
        <v>216</v>
      </c>
      <c r="F27" s="4">
        <v>1000.0</v>
      </c>
      <c r="G27" s="92">
        <v>45099.0</v>
      </c>
      <c r="H27" s="4">
        <f t="shared" si="4"/>
        <v>10</v>
      </c>
      <c r="I27" s="105">
        <f t="shared" si="5"/>
        <v>0.0101010101</v>
      </c>
      <c r="J27" s="2">
        <f t="shared" si="6"/>
        <v>181</v>
      </c>
    </row>
    <row r="28" ht="14.25" customHeight="1">
      <c r="A28" s="2" t="s">
        <v>225</v>
      </c>
      <c r="B28" s="104" t="s">
        <v>173</v>
      </c>
      <c r="C28" s="103">
        <v>110.0</v>
      </c>
      <c r="D28" s="92">
        <v>44988.0</v>
      </c>
      <c r="E28" s="2" t="s">
        <v>226</v>
      </c>
      <c r="F28" s="4">
        <v>100.0</v>
      </c>
      <c r="G28" s="92">
        <v>45097.0</v>
      </c>
      <c r="H28" s="4">
        <f t="shared" si="4"/>
        <v>-10</v>
      </c>
      <c r="I28" s="105">
        <f t="shared" si="5"/>
        <v>-0.09090909091</v>
      </c>
      <c r="J28" s="2">
        <f t="shared" si="6"/>
        <v>109</v>
      </c>
    </row>
    <row r="29" ht="14.25" customHeight="1">
      <c r="A29" s="2" t="s">
        <v>227</v>
      </c>
      <c r="B29" s="104" t="s">
        <v>228</v>
      </c>
      <c r="C29" s="103">
        <v>360000.0</v>
      </c>
      <c r="D29" s="92">
        <v>45135.0</v>
      </c>
      <c r="E29" s="2" t="s">
        <v>216</v>
      </c>
      <c r="F29" s="4">
        <v>410000.0</v>
      </c>
      <c r="G29" s="92">
        <v>45135.0</v>
      </c>
      <c r="H29" s="4">
        <f t="shared" si="4"/>
        <v>50000</v>
      </c>
      <c r="I29" s="105">
        <f t="shared" si="5"/>
        <v>0.1388888889</v>
      </c>
      <c r="J29" s="2">
        <f t="shared" si="6"/>
        <v>0</v>
      </c>
    </row>
    <row r="30" ht="14.25" customHeight="1">
      <c r="A30" s="2" t="s">
        <v>229</v>
      </c>
      <c r="B30" s="104" t="s">
        <v>228</v>
      </c>
      <c r="C30" s="103">
        <v>3600.0</v>
      </c>
      <c r="D30" s="92">
        <v>45191.0</v>
      </c>
      <c r="E30" s="2" t="s">
        <v>216</v>
      </c>
      <c r="F30" s="4">
        <v>4000.0</v>
      </c>
      <c r="G30" s="92">
        <v>45192.0</v>
      </c>
      <c r="H30" s="4">
        <f t="shared" si="4"/>
        <v>400</v>
      </c>
      <c r="I30" s="105">
        <f t="shared" si="5"/>
        <v>0.1111111111</v>
      </c>
      <c r="J30" s="2">
        <f t="shared" si="6"/>
        <v>1</v>
      </c>
    </row>
    <row r="31" ht="14.25" customHeight="1">
      <c r="A31" s="2" t="s">
        <v>230</v>
      </c>
      <c r="B31" s="104" t="s">
        <v>231</v>
      </c>
      <c r="C31" s="103">
        <v>45000.0</v>
      </c>
      <c r="D31" s="92">
        <v>45237.0</v>
      </c>
      <c r="E31" s="2" t="s">
        <v>216</v>
      </c>
      <c r="F31" s="103">
        <v>55000.0</v>
      </c>
      <c r="G31" s="92">
        <v>45244.0</v>
      </c>
      <c r="H31" s="4">
        <f t="shared" si="4"/>
        <v>10000</v>
      </c>
      <c r="I31" s="105">
        <f t="shared" si="5"/>
        <v>0.2222222222</v>
      </c>
      <c r="J31" s="2">
        <f t="shared" si="6"/>
        <v>7</v>
      </c>
    </row>
    <row r="32" ht="14.25" customHeight="1">
      <c r="A32" s="2" t="s">
        <v>232</v>
      </c>
      <c r="B32" s="104" t="s">
        <v>228</v>
      </c>
      <c r="C32" s="103">
        <v>4000.0</v>
      </c>
      <c r="D32" s="92">
        <v>45246.0</v>
      </c>
      <c r="E32" s="2" t="s">
        <v>233</v>
      </c>
      <c r="F32" s="4">
        <v>4700.0</v>
      </c>
      <c r="G32" s="92">
        <v>45246.0</v>
      </c>
      <c r="H32" s="4">
        <f t="shared" si="4"/>
        <v>700</v>
      </c>
      <c r="I32" s="105">
        <f t="shared" si="5"/>
        <v>0.175</v>
      </c>
      <c r="J32" s="2">
        <f t="shared" si="6"/>
        <v>0</v>
      </c>
    </row>
    <row r="33" ht="14.25" customHeight="1">
      <c r="A33" s="2" t="s">
        <v>234</v>
      </c>
      <c r="B33" s="104" t="s">
        <v>173</v>
      </c>
      <c r="C33" s="4">
        <v>10.0</v>
      </c>
      <c r="D33" s="92">
        <v>44895.0</v>
      </c>
      <c r="E33" s="105" t="s">
        <v>196</v>
      </c>
      <c r="F33" s="4">
        <v>2000.0</v>
      </c>
      <c r="G33" s="92">
        <v>45265.0</v>
      </c>
      <c r="H33" s="4">
        <f t="shared" si="4"/>
        <v>1990</v>
      </c>
      <c r="I33" s="105">
        <f t="shared" si="5"/>
        <v>199</v>
      </c>
      <c r="J33" s="2">
        <f t="shared" si="6"/>
        <v>370</v>
      </c>
    </row>
    <row r="34" ht="14.25" customHeight="1">
      <c r="A34" s="2" t="s">
        <v>235</v>
      </c>
      <c r="B34" s="104" t="s">
        <v>173</v>
      </c>
      <c r="C34" s="4">
        <v>50.0</v>
      </c>
      <c r="D34" s="92">
        <v>44911.0</v>
      </c>
      <c r="E34" s="2" t="s">
        <v>236</v>
      </c>
      <c r="F34" s="4">
        <v>1000.0</v>
      </c>
      <c r="G34" s="92">
        <v>45261.0</v>
      </c>
      <c r="H34" s="4">
        <f t="shared" si="4"/>
        <v>950</v>
      </c>
      <c r="I34" s="105">
        <f t="shared" si="5"/>
        <v>19</v>
      </c>
      <c r="J34" s="2">
        <f t="shared" si="6"/>
        <v>350</v>
      </c>
    </row>
    <row r="35" ht="14.25" customHeight="1">
      <c r="A35" s="2" t="s">
        <v>237</v>
      </c>
      <c r="B35" s="104" t="s">
        <v>205</v>
      </c>
      <c r="C35" s="4">
        <v>50.0</v>
      </c>
      <c r="D35" s="92">
        <v>44911.0</v>
      </c>
      <c r="E35" s="2" t="s">
        <v>236</v>
      </c>
      <c r="F35" s="4">
        <v>100.0</v>
      </c>
      <c r="G35" s="92">
        <v>45261.0</v>
      </c>
      <c r="H35" s="4">
        <f t="shared" si="4"/>
        <v>50</v>
      </c>
      <c r="I35" s="105">
        <f t="shared" si="5"/>
        <v>1</v>
      </c>
      <c r="J35" s="2">
        <f t="shared" si="6"/>
        <v>350</v>
      </c>
    </row>
    <row r="36" ht="14.25" customHeight="1">
      <c r="A36" s="2" t="s">
        <v>238</v>
      </c>
      <c r="B36" s="104" t="s">
        <v>205</v>
      </c>
      <c r="C36" s="4">
        <v>50.0</v>
      </c>
      <c r="D36" s="92">
        <v>44911.0</v>
      </c>
      <c r="E36" s="2" t="s">
        <v>236</v>
      </c>
      <c r="F36" s="4">
        <v>100.0</v>
      </c>
      <c r="G36" s="92">
        <v>45261.0</v>
      </c>
      <c r="H36" s="4">
        <f t="shared" si="4"/>
        <v>50</v>
      </c>
      <c r="I36" s="105">
        <f t="shared" si="5"/>
        <v>1</v>
      </c>
      <c r="J36" s="2">
        <f t="shared" si="6"/>
        <v>350</v>
      </c>
    </row>
    <row r="37" ht="14.25" customHeight="1">
      <c r="A37" s="5" t="s">
        <v>88</v>
      </c>
      <c r="B37" s="104"/>
      <c r="C37" s="86">
        <f>SUM(C17:C36)</f>
        <v>426562.85</v>
      </c>
      <c r="D37" s="92"/>
      <c r="F37" s="86">
        <f>SUM(F17:F36)</f>
        <v>510500</v>
      </c>
      <c r="G37" s="92"/>
      <c r="H37" s="110">
        <f>SUM(H17:H36)</f>
        <v>83937.15</v>
      </c>
      <c r="I37" s="105">
        <f t="shared" si="5"/>
        <v>0.1967755748</v>
      </c>
      <c r="J37" s="111">
        <f>AVERAGE(J17:J36)</f>
        <v>146.65</v>
      </c>
    </row>
    <row r="38" ht="14.25" customHeight="1">
      <c r="A38" s="106" t="s">
        <v>239</v>
      </c>
      <c r="B38" s="106"/>
      <c r="C38" s="106"/>
      <c r="D38" s="106"/>
      <c r="E38" s="106"/>
      <c r="F38" s="106"/>
      <c r="G38" s="106"/>
      <c r="H38" s="106"/>
      <c r="I38" s="105"/>
    </row>
    <row r="39" ht="14.25" customHeight="1">
      <c r="A39" s="89" t="s">
        <v>186</v>
      </c>
      <c r="B39" s="107" t="s">
        <v>105</v>
      </c>
      <c r="C39" s="90" t="s">
        <v>187</v>
      </c>
      <c r="D39" s="89" t="s">
        <v>106</v>
      </c>
      <c r="E39" s="89" t="s">
        <v>188</v>
      </c>
      <c r="F39" s="90" t="s">
        <v>189</v>
      </c>
      <c r="G39" s="89" t="s">
        <v>190</v>
      </c>
      <c r="H39" s="89" t="s">
        <v>191</v>
      </c>
      <c r="I39" s="105"/>
    </row>
    <row r="40" ht="14.25" customHeight="1">
      <c r="A40" s="2" t="s">
        <v>240</v>
      </c>
      <c r="B40" s="104" t="s">
        <v>214</v>
      </c>
      <c r="C40" s="103">
        <v>470.0</v>
      </c>
      <c r="D40" s="92">
        <v>45196.0</v>
      </c>
      <c r="E40" s="2" t="s">
        <v>196</v>
      </c>
      <c r="F40" s="4">
        <v>600.0</v>
      </c>
      <c r="G40" s="92">
        <v>45000.0</v>
      </c>
      <c r="H40" s="4">
        <f t="shared" ref="H40:H46" si="7">SUM(F40-C40)</f>
        <v>130</v>
      </c>
      <c r="I40" s="105">
        <f t="shared" ref="I40:I42" si="8">H40/C40</f>
        <v>0.2765957447</v>
      </c>
    </row>
    <row r="41" ht="14.25" customHeight="1">
      <c r="A41" s="2" t="s">
        <v>241</v>
      </c>
      <c r="B41" s="104" t="s">
        <v>236</v>
      </c>
      <c r="C41" s="103">
        <v>2500.0</v>
      </c>
      <c r="D41" s="92">
        <v>45379.0</v>
      </c>
      <c r="E41" s="2" t="s">
        <v>242</v>
      </c>
      <c r="F41" s="4">
        <v>2982.0</v>
      </c>
      <c r="G41" s="92">
        <v>45379.0</v>
      </c>
      <c r="H41" s="4">
        <f t="shared" si="7"/>
        <v>482</v>
      </c>
      <c r="I41" s="105">
        <f t="shared" si="8"/>
        <v>0.1928</v>
      </c>
    </row>
    <row r="42" ht="14.25" customHeight="1">
      <c r="A42" s="2" t="s">
        <v>243</v>
      </c>
      <c r="B42" s="104" t="s">
        <v>244</v>
      </c>
      <c r="C42" s="103">
        <v>1416.99</v>
      </c>
      <c r="D42" s="92">
        <v>45311.0</v>
      </c>
      <c r="E42" s="2" t="s">
        <v>236</v>
      </c>
      <c r="F42" s="4">
        <v>6500.0</v>
      </c>
      <c r="G42" s="92">
        <v>45448.0</v>
      </c>
      <c r="H42" s="4">
        <f t="shared" si="7"/>
        <v>5083.01</v>
      </c>
      <c r="I42" s="105">
        <f t="shared" si="8"/>
        <v>3.587188336</v>
      </c>
    </row>
    <row r="43" ht="14.25" customHeight="1">
      <c r="A43" s="2" t="s">
        <v>245</v>
      </c>
      <c r="B43" s="104" t="s">
        <v>228</v>
      </c>
      <c r="C43" s="103">
        <v>33000.0</v>
      </c>
      <c r="D43" s="92">
        <v>45468.0</v>
      </c>
      <c r="E43" s="2" t="s">
        <v>236</v>
      </c>
      <c r="F43" s="4">
        <v>36000.0</v>
      </c>
      <c r="G43" s="92">
        <v>45468.0</v>
      </c>
      <c r="H43" s="4">
        <f t="shared" si="7"/>
        <v>3000</v>
      </c>
      <c r="I43" s="105"/>
    </row>
    <row r="44" ht="14.25" customHeight="1">
      <c r="A44" s="2" t="s">
        <v>246</v>
      </c>
      <c r="B44" s="104" t="s">
        <v>228</v>
      </c>
      <c r="C44" s="103">
        <v>25000.0</v>
      </c>
      <c r="D44" s="92">
        <v>45408.0</v>
      </c>
      <c r="E44" s="2" t="s">
        <v>228</v>
      </c>
      <c r="F44" s="4">
        <v>37500.0</v>
      </c>
      <c r="G44" s="92">
        <v>45656.0</v>
      </c>
      <c r="H44" s="4">
        <f t="shared" si="7"/>
        <v>12500</v>
      </c>
      <c r="I44" s="105">
        <f t="shared" ref="I44:I47" si="9">H44/C44</f>
        <v>0.5</v>
      </c>
    </row>
    <row r="45" ht="14.25" customHeight="1">
      <c r="A45" s="2" t="s">
        <v>247</v>
      </c>
      <c r="B45" s="104" t="s">
        <v>195</v>
      </c>
      <c r="C45" s="103">
        <v>1885.96</v>
      </c>
      <c r="D45" s="92">
        <v>45414.0</v>
      </c>
      <c r="E45" s="2" t="s">
        <v>236</v>
      </c>
      <c r="F45" s="4">
        <v>5500.0</v>
      </c>
      <c r="G45" s="92">
        <v>45621.0</v>
      </c>
      <c r="H45" s="4">
        <f t="shared" si="7"/>
        <v>3614.04</v>
      </c>
      <c r="I45" s="105">
        <f t="shared" si="9"/>
        <v>1.916286666</v>
      </c>
    </row>
    <row r="46" ht="14.25" customHeight="1">
      <c r="A46" s="2" t="s">
        <v>248</v>
      </c>
      <c r="B46" s="104" t="s">
        <v>173</v>
      </c>
      <c r="C46" s="4">
        <v>214.99</v>
      </c>
      <c r="D46" s="92">
        <v>45345.0</v>
      </c>
      <c r="E46" s="2" t="s">
        <v>196</v>
      </c>
      <c r="F46" s="4">
        <v>1700.0</v>
      </c>
      <c r="G46" s="92">
        <v>45435.0</v>
      </c>
      <c r="H46" s="4">
        <f t="shared" si="7"/>
        <v>1485.01</v>
      </c>
      <c r="I46" s="105">
        <f t="shared" si="9"/>
        <v>6.907344528</v>
      </c>
    </row>
    <row r="47" ht="14.25" customHeight="1">
      <c r="A47" s="5" t="s">
        <v>88</v>
      </c>
      <c r="B47" s="104"/>
      <c r="C47" s="112">
        <f>SUM(C40:C46)</f>
        <v>64487.94</v>
      </c>
      <c r="D47" s="92"/>
      <c r="F47" s="86">
        <f>SUM(F40:F46)</f>
        <v>90782</v>
      </c>
      <c r="G47" s="92"/>
      <c r="H47" s="110">
        <f>SUM(H40:H46)</f>
        <v>26294.06</v>
      </c>
      <c r="I47" s="105">
        <f t="shared" si="9"/>
        <v>0.4077360821</v>
      </c>
      <c r="J47" s="111">
        <f>AVERAGE(J26:J46)</f>
        <v>170.4708333</v>
      </c>
    </row>
    <row r="48" ht="14.25" customHeight="1">
      <c r="B48" s="104"/>
      <c r="C48" s="4"/>
      <c r="F48" s="4"/>
      <c r="I48" s="105"/>
    </row>
    <row r="49" ht="14.25" customHeight="1">
      <c r="A49" s="106" t="s">
        <v>249</v>
      </c>
      <c r="B49" s="106"/>
      <c r="C49" s="106"/>
      <c r="D49" s="106"/>
      <c r="E49" s="106"/>
      <c r="F49" s="106"/>
      <c r="G49" s="106"/>
      <c r="H49" s="106"/>
      <c r="I49" s="105"/>
    </row>
    <row r="50" ht="14.25" customHeight="1">
      <c r="A50" s="89" t="s">
        <v>186</v>
      </c>
      <c r="B50" s="107" t="s">
        <v>105</v>
      </c>
      <c r="C50" s="90" t="s">
        <v>187</v>
      </c>
      <c r="D50" s="89" t="s">
        <v>106</v>
      </c>
      <c r="E50" s="89" t="s">
        <v>188</v>
      </c>
      <c r="F50" s="90" t="s">
        <v>189</v>
      </c>
      <c r="G50" s="89" t="s">
        <v>190</v>
      </c>
      <c r="H50" s="89" t="s">
        <v>191</v>
      </c>
      <c r="I50" s="105"/>
    </row>
    <row r="51" ht="14.25" customHeight="1">
      <c r="A51" s="113" t="s">
        <v>250</v>
      </c>
      <c r="B51" s="104" t="s">
        <v>228</v>
      </c>
      <c r="C51" s="114">
        <v>1000.0</v>
      </c>
      <c r="D51" s="113"/>
      <c r="E51" s="113" t="s">
        <v>236</v>
      </c>
      <c r="F51" s="114"/>
      <c r="G51" s="115">
        <v>45695.0</v>
      </c>
      <c r="H51" s="113"/>
      <c r="I51" s="105"/>
    </row>
    <row r="52" ht="14.25" customHeight="1">
      <c r="A52" s="113" t="s">
        <v>251</v>
      </c>
      <c r="B52" s="104" t="s">
        <v>228</v>
      </c>
      <c r="C52" s="114">
        <v>300.0</v>
      </c>
      <c r="D52" s="113"/>
      <c r="E52" s="113" t="s">
        <v>236</v>
      </c>
      <c r="F52" s="114"/>
      <c r="G52" s="115">
        <v>45695.0</v>
      </c>
      <c r="H52" s="113"/>
      <c r="I52" s="105"/>
    </row>
    <row r="53" ht="14.25" customHeight="1">
      <c r="A53" s="113" t="s">
        <v>252</v>
      </c>
      <c r="B53" s="104" t="s">
        <v>253</v>
      </c>
      <c r="C53" s="114">
        <v>300.0</v>
      </c>
      <c r="D53" s="113"/>
      <c r="E53" s="113" t="s">
        <v>236</v>
      </c>
      <c r="F53" s="114"/>
      <c r="G53" s="115">
        <v>45695.0</v>
      </c>
      <c r="H53" s="113"/>
      <c r="I53" s="105"/>
    </row>
    <row r="54" ht="14.25" customHeight="1">
      <c r="A54" s="113" t="s">
        <v>254</v>
      </c>
      <c r="B54" s="104" t="s">
        <v>255</v>
      </c>
      <c r="C54" s="4">
        <v>1000.0</v>
      </c>
      <c r="D54" s="113"/>
      <c r="E54" s="113" t="s">
        <v>236</v>
      </c>
      <c r="F54" s="114"/>
      <c r="G54" s="115">
        <v>45695.0</v>
      </c>
      <c r="H54" s="113"/>
      <c r="I54" s="105"/>
    </row>
    <row r="55" ht="14.25" customHeight="1">
      <c r="A55" s="113" t="s">
        <v>256</v>
      </c>
      <c r="B55" s="104" t="s">
        <v>228</v>
      </c>
      <c r="C55" s="114">
        <v>1000.0</v>
      </c>
      <c r="D55" s="113"/>
      <c r="E55" s="113" t="s">
        <v>236</v>
      </c>
      <c r="F55" s="114"/>
      <c r="G55" s="115">
        <v>45695.0</v>
      </c>
      <c r="H55" s="113"/>
      <c r="I55" s="105"/>
    </row>
    <row r="56" ht="14.25" customHeight="1">
      <c r="A56" s="113" t="s">
        <v>257</v>
      </c>
      <c r="B56" s="104" t="s">
        <v>253</v>
      </c>
      <c r="C56" s="114">
        <v>1000.0</v>
      </c>
      <c r="D56" s="113"/>
      <c r="E56" s="113" t="s">
        <v>236</v>
      </c>
      <c r="F56" s="114"/>
      <c r="G56" s="115">
        <v>45695.0</v>
      </c>
      <c r="H56" s="113"/>
      <c r="I56" s="105"/>
    </row>
    <row r="57" ht="14.25" customHeight="1">
      <c r="A57" s="113" t="s">
        <v>258</v>
      </c>
      <c r="B57" s="104" t="s">
        <v>253</v>
      </c>
      <c r="C57" s="114">
        <v>600.0</v>
      </c>
      <c r="D57" s="113"/>
      <c r="E57" s="113" t="s">
        <v>236</v>
      </c>
      <c r="F57" s="114"/>
      <c r="G57" s="115">
        <v>45695.0</v>
      </c>
      <c r="H57" s="113"/>
      <c r="I57" s="105"/>
    </row>
    <row r="58" ht="14.25" customHeight="1">
      <c r="A58" s="113" t="s">
        <v>259</v>
      </c>
      <c r="B58" s="104" t="s">
        <v>253</v>
      </c>
      <c r="C58" s="114">
        <v>600.0</v>
      </c>
      <c r="D58" s="113"/>
      <c r="E58" s="113" t="s">
        <v>236</v>
      </c>
      <c r="F58" s="114"/>
      <c r="G58" s="115">
        <v>45695.0</v>
      </c>
      <c r="H58" s="113"/>
      <c r="I58" s="105"/>
    </row>
    <row r="59" ht="14.25" customHeight="1">
      <c r="A59" s="113" t="s">
        <v>260</v>
      </c>
      <c r="B59" s="104" t="s">
        <v>253</v>
      </c>
      <c r="C59" s="114">
        <v>1000.0</v>
      </c>
      <c r="D59" s="113"/>
      <c r="E59" s="113" t="s">
        <v>236</v>
      </c>
      <c r="F59" s="114"/>
      <c r="G59" s="115">
        <v>45695.0</v>
      </c>
      <c r="H59" s="113"/>
      <c r="I59" s="105"/>
    </row>
    <row r="60" ht="14.25" customHeight="1">
      <c r="A60" s="113" t="s">
        <v>261</v>
      </c>
      <c r="B60" s="104" t="s">
        <v>262</v>
      </c>
      <c r="C60" s="114">
        <v>4000.0</v>
      </c>
      <c r="D60" s="113"/>
      <c r="E60" s="113" t="s">
        <v>236</v>
      </c>
      <c r="F60" s="114"/>
      <c r="G60" s="115">
        <v>45695.0</v>
      </c>
      <c r="H60" s="113"/>
      <c r="I60" s="105"/>
    </row>
    <row r="61" ht="14.25" customHeight="1">
      <c r="A61" s="113" t="s">
        <v>263</v>
      </c>
      <c r="B61" s="104" t="s">
        <v>195</v>
      </c>
      <c r="C61" s="114">
        <v>600.0</v>
      </c>
      <c r="D61" s="113"/>
      <c r="E61" s="113" t="s">
        <v>236</v>
      </c>
      <c r="F61" s="114"/>
      <c r="G61" s="115">
        <v>45695.0</v>
      </c>
      <c r="H61" s="113"/>
      <c r="I61" s="105"/>
    </row>
    <row r="62" ht="14.25" customHeight="1">
      <c r="A62" s="2" t="s">
        <v>264</v>
      </c>
      <c r="B62" s="116" t="s">
        <v>196</v>
      </c>
      <c r="C62" s="4">
        <v>334.44</v>
      </c>
      <c r="D62" s="92">
        <v>45071.0</v>
      </c>
      <c r="E62" s="105" t="s">
        <v>236</v>
      </c>
      <c r="G62" s="115">
        <v>45695.0</v>
      </c>
    </row>
    <row r="63" ht="14.25" customHeight="1">
      <c r="A63" s="2" t="s">
        <v>265</v>
      </c>
      <c r="B63" s="116" t="s">
        <v>196</v>
      </c>
      <c r="C63" s="4">
        <v>234.44</v>
      </c>
      <c r="D63" s="92">
        <v>45071.0</v>
      </c>
      <c r="E63" s="105" t="s">
        <v>236</v>
      </c>
      <c r="G63" s="115">
        <v>45695.0</v>
      </c>
    </row>
    <row r="64" ht="14.25" customHeight="1">
      <c r="A64" s="2" t="s">
        <v>266</v>
      </c>
      <c r="B64" s="116" t="s">
        <v>195</v>
      </c>
      <c r="C64" s="4">
        <v>2228.76</v>
      </c>
      <c r="D64" s="92"/>
      <c r="E64" s="105" t="s">
        <v>236</v>
      </c>
      <c r="G64" s="115">
        <v>45695.0</v>
      </c>
    </row>
    <row r="65" ht="14.25" customHeight="1">
      <c r="A65" s="2" t="s">
        <v>267</v>
      </c>
      <c r="B65" s="116" t="s">
        <v>196</v>
      </c>
      <c r="C65" s="4">
        <v>1000.0</v>
      </c>
      <c r="D65" s="92"/>
      <c r="E65" s="105" t="s">
        <v>236</v>
      </c>
      <c r="G65" s="115">
        <v>45695.0</v>
      </c>
    </row>
    <row r="66" ht="14.25" customHeight="1">
      <c r="A66" s="2" t="s">
        <v>268</v>
      </c>
      <c r="B66" s="104" t="s">
        <v>269</v>
      </c>
      <c r="C66" s="103">
        <v>4500.0</v>
      </c>
      <c r="D66" s="92">
        <v>45275.0</v>
      </c>
      <c r="E66" s="2" t="s">
        <v>236</v>
      </c>
      <c r="F66" s="4"/>
      <c r="G66" s="115">
        <v>45695.0</v>
      </c>
      <c r="I66" s="105"/>
    </row>
    <row r="67" ht="14.25" customHeight="1">
      <c r="A67" s="2" t="s">
        <v>270</v>
      </c>
      <c r="B67" s="104" t="s">
        <v>214</v>
      </c>
      <c r="C67" s="103">
        <v>500.0</v>
      </c>
      <c r="D67" s="92"/>
      <c r="E67" s="2" t="s">
        <v>236</v>
      </c>
      <c r="F67" s="4"/>
      <c r="G67" s="115">
        <v>45695.0</v>
      </c>
      <c r="I67" s="105"/>
    </row>
    <row r="68" ht="14.25" customHeight="1">
      <c r="A68" s="2" t="s">
        <v>271</v>
      </c>
      <c r="B68" s="104" t="s">
        <v>214</v>
      </c>
      <c r="C68" s="4">
        <v>195.78</v>
      </c>
      <c r="D68" s="92">
        <v>44908.0</v>
      </c>
      <c r="E68" s="2" t="s">
        <v>236</v>
      </c>
      <c r="F68" s="4"/>
      <c r="G68" s="115">
        <v>45695.0</v>
      </c>
      <c r="I68" s="105"/>
    </row>
    <row r="69" ht="14.25" customHeight="1">
      <c r="A69" s="2" t="s">
        <v>272</v>
      </c>
      <c r="B69" s="104" t="s">
        <v>195</v>
      </c>
      <c r="C69" s="4">
        <v>311.25</v>
      </c>
      <c r="D69" s="92">
        <v>44284.0</v>
      </c>
      <c r="E69" s="2" t="s">
        <v>236</v>
      </c>
      <c r="F69" s="4"/>
      <c r="G69" s="115">
        <v>45695.0</v>
      </c>
      <c r="I69" s="105"/>
    </row>
    <row r="70" ht="14.25" customHeight="1">
      <c r="A70" s="2" t="s">
        <v>273</v>
      </c>
      <c r="B70" s="104" t="s">
        <v>196</v>
      </c>
      <c r="C70" s="103">
        <v>2240.27</v>
      </c>
      <c r="D70" s="92">
        <v>45356.0</v>
      </c>
      <c r="E70" s="2" t="s">
        <v>236</v>
      </c>
      <c r="F70" s="4"/>
      <c r="G70" s="115">
        <v>45695.0</v>
      </c>
      <c r="I70" s="105"/>
    </row>
    <row r="71" ht="14.25" customHeight="1">
      <c r="B71" s="104"/>
      <c r="C71" s="4">
        <f>SUM(C51:C70)</f>
        <v>22944.94</v>
      </c>
      <c r="D71" s="92"/>
      <c r="F71" s="4">
        <v>30000.0</v>
      </c>
      <c r="G71" s="115"/>
      <c r="H71" s="4">
        <f t="shared" ref="H71:H75" si="10">SUM(F71-C71)</f>
        <v>7055.06</v>
      </c>
      <c r="I71" s="105"/>
    </row>
    <row r="72" ht="14.25" customHeight="1">
      <c r="B72" s="104"/>
      <c r="C72" s="4"/>
      <c r="D72" s="92"/>
      <c r="F72" s="4"/>
      <c r="G72" s="115"/>
      <c r="H72" s="4">
        <f t="shared" si="10"/>
        <v>0</v>
      </c>
      <c r="I72" s="105"/>
    </row>
    <row r="73" ht="14.25" customHeight="1">
      <c r="A73" s="113" t="s">
        <v>274</v>
      </c>
      <c r="B73" s="104" t="s">
        <v>228</v>
      </c>
      <c r="C73" s="114">
        <v>13000.0</v>
      </c>
      <c r="D73" s="113"/>
      <c r="E73" s="113" t="s">
        <v>236</v>
      </c>
      <c r="F73" s="114">
        <v>14000.0</v>
      </c>
      <c r="G73" s="113"/>
      <c r="H73" s="4">
        <f t="shared" si="10"/>
        <v>1000</v>
      </c>
      <c r="I73" s="105"/>
    </row>
    <row r="74" ht="14.25" customHeight="1">
      <c r="A74" s="113" t="s">
        <v>275</v>
      </c>
      <c r="B74" s="104" t="s">
        <v>276</v>
      </c>
      <c r="C74" s="114">
        <v>90000.0</v>
      </c>
      <c r="D74" s="115">
        <v>45709.0</v>
      </c>
      <c r="E74" s="113" t="s">
        <v>277</v>
      </c>
      <c r="F74" s="114">
        <v>105000.0</v>
      </c>
      <c r="G74" s="115">
        <v>45709.0</v>
      </c>
      <c r="H74" s="4">
        <f t="shared" si="10"/>
        <v>15000</v>
      </c>
      <c r="I74" s="105"/>
    </row>
    <row r="75" ht="14.25" customHeight="1">
      <c r="A75" s="113" t="s">
        <v>278</v>
      </c>
      <c r="B75" s="104" t="s">
        <v>196</v>
      </c>
      <c r="C75" s="114">
        <v>900.0</v>
      </c>
      <c r="D75" s="115"/>
      <c r="E75" s="113" t="s">
        <v>228</v>
      </c>
      <c r="F75" s="114">
        <v>1000.0</v>
      </c>
      <c r="G75" s="115"/>
      <c r="H75" s="4">
        <f t="shared" si="10"/>
        <v>100</v>
      </c>
      <c r="I75" s="105"/>
    </row>
    <row r="76" ht="14.25" customHeight="1">
      <c r="A76" s="113"/>
      <c r="B76" s="104"/>
      <c r="C76" s="114"/>
      <c r="D76" s="115"/>
      <c r="E76" s="113"/>
      <c r="F76" s="114"/>
      <c r="G76" s="115"/>
      <c r="H76" s="4"/>
      <c r="I76" s="105"/>
    </row>
    <row r="77" ht="14.25" customHeight="1">
      <c r="A77" s="89" t="s">
        <v>88</v>
      </c>
      <c r="B77" s="104"/>
      <c r="C77" s="114"/>
      <c r="D77" s="113"/>
      <c r="E77" s="113"/>
      <c r="F77" s="114"/>
      <c r="G77" s="113"/>
      <c r="H77" s="114">
        <f>SUM(H51:H75)</f>
        <v>23155.06</v>
      </c>
      <c r="I77" s="105"/>
    </row>
    <row r="78" ht="14.25" customHeight="1">
      <c r="B78" s="117"/>
      <c r="C78" s="118"/>
      <c r="D78" s="118"/>
      <c r="E78" s="118"/>
      <c r="F78" s="118"/>
      <c r="G78" s="118"/>
      <c r="H78" s="118"/>
      <c r="I78" s="105"/>
    </row>
    <row r="79" ht="14.25" customHeight="1">
      <c r="A79" s="119" t="s">
        <v>279</v>
      </c>
      <c r="B79" s="120"/>
      <c r="C79" s="100"/>
      <c r="D79" s="101"/>
      <c r="E79" s="99"/>
      <c r="F79" s="100"/>
      <c r="G79" s="101"/>
      <c r="H79" s="99"/>
      <c r="I79" s="121"/>
      <c r="J79" s="99"/>
      <c r="K79" s="99"/>
      <c r="L79" s="99"/>
      <c r="M79" s="99"/>
      <c r="N79" s="99"/>
      <c r="O79" s="99"/>
      <c r="P79" s="99"/>
      <c r="Q79" s="99"/>
      <c r="R79" s="99"/>
      <c r="S79" s="99"/>
      <c r="T79" s="99"/>
      <c r="U79" s="99"/>
      <c r="V79" s="99"/>
      <c r="W79" s="99"/>
      <c r="X79" s="99"/>
      <c r="Y79" s="99"/>
      <c r="Z79" s="99"/>
    </row>
    <row r="80" ht="14.25" customHeight="1">
      <c r="A80" s="122" t="s">
        <v>280</v>
      </c>
      <c r="B80" s="116" t="s">
        <v>281</v>
      </c>
      <c r="C80" s="88">
        <v>4000.0</v>
      </c>
      <c r="E80" s="105"/>
    </row>
    <row r="81" ht="14.25" customHeight="1">
      <c r="A81" s="2" t="s">
        <v>282</v>
      </c>
      <c r="B81" s="116" t="s">
        <v>195</v>
      </c>
      <c r="C81" s="4">
        <v>250.0</v>
      </c>
      <c r="D81" s="92">
        <v>45119.0</v>
      </c>
      <c r="E81" s="105"/>
    </row>
    <row r="82" ht="14.25" customHeight="1">
      <c r="A82" s="2" t="s">
        <v>282</v>
      </c>
      <c r="B82" s="116" t="s">
        <v>195</v>
      </c>
      <c r="C82" s="4">
        <v>300.0</v>
      </c>
      <c r="D82" s="92">
        <v>45119.0</v>
      </c>
      <c r="E82" s="105"/>
    </row>
    <row r="83" ht="14.25" customHeight="1">
      <c r="A83" s="2" t="s">
        <v>283</v>
      </c>
      <c r="B83" s="116" t="s">
        <v>131</v>
      </c>
      <c r="C83" s="4">
        <v>200.0</v>
      </c>
      <c r="D83" s="92">
        <v>45145.0</v>
      </c>
      <c r="E83" s="105"/>
    </row>
    <row r="84" ht="14.25" customHeight="1">
      <c r="A84" s="2" t="s">
        <v>284</v>
      </c>
      <c r="B84" s="116" t="s">
        <v>131</v>
      </c>
      <c r="C84" s="4">
        <v>551.25</v>
      </c>
      <c r="D84" s="92">
        <v>45114.0</v>
      </c>
      <c r="E84" s="105"/>
    </row>
    <row r="85" ht="14.25" customHeight="1">
      <c r="A85" s="2" t="s">
        <v>285</v>
      </c>
      <c r="B85" s="104" t="s">
        <v>196</v>
      </c>
      <c r="C85" s="4">
        <v>375.0</v>
      </c>
      <c r="D85" s="92">
        <v>44343.0</v>
      </c>
      <c r="E85" s="92"/>
      <c r="F85" s="4"/>
      <c r="I85" s="105"/>
    </row>
    <row r="86" ht="14.25" customHeight="1">
      <c r="A86" s="2" t="s">
        <v>286</v>
      </c>
      <c r="B86" s="104" t="s">
        <v>195</v>
      </c>
      <c r="C86" s="4">
        <v>293.0</v>
      </c>
      <c r="D86" s="92">
        <v>44548.0</v>
      </c>
      <c r="F86" s="4"/>
      <c r="I86" s="105"/>
    </row>
    <row r="87" ht="14.25" customHeight="1">
      <c r="A87" s="2" t="s">
        <v>287</v>
      </c>
      <c r="B87" s="104" t="s">
        <v>195</v>
      </c>
      <c r="C87" s="4">
        <v>293.0</v>
      </c>
      <c r="D87" s="92">
        <v>44548.0</v>
      </c>
      <c r="F87" s="4"/>
      <c r="I87" s="105"/>
    </row>
    <row r="88" ht="14.25" customHeight="1">
      <c r="A88" s="2" t="s">
        <v>288</v>
      </c>
      <c r="B88" s="104" t="s">
        <v>195</v>
      </c>
      <c r="C88" s="4">
        <v>293.0</v>
      </c>
      <c r="D88" s="92">
        <v>44548.0</v>
      </c>
      <c r="F88" s="4"/>
      <c r="I88" s="105"/>
    </row>
    <row r="89" ht="14.25" customHeight="1">
      <c r="A89" s="2" t="s">
        <v>289</v>
      </c>
      <c r="B89" s="104" t="s">
        <v>290</v>
      </c>
      <c r="C89" s="4">
        <v>1000.0</v>
      </c>
      <c r="D89" s="92">
        <v>44562.0</v>
      </c>
      <c r="F89" s="4"/>
      <c r="I89" s="105"/>
    </row>
    <row r="90" ht="14.25" customHeight="1">
      <c r="A90" s="2" t="s">
        <v>291</v>
      </c>
      <c r="B90" s="104" t="s">
        <v>292</v>
      </c>
      <c r="C90" s="4">
        <v>90.0</v>
      </c>
      <c r="F90" s="4"/>
      <c r="I90" s="105"/>
    </row>
    <row r="91" ht="14.25" customHeight="1">
      <c r="A91" s="2" t="s">
        <v>293</v>
      </c>
      <c r="B91" s="104" t="s">
        <v>294</v>
      </c>
      <c r="C91" s="4">
        <v>30.0</v>
      </c>
      <c r="F91" s="4"/>
      <c r="I91" s="105"/>
    </row>
    <row r="92" ht="14.25" customHeight="1">
      <c r="A92" s="2" t="s">
        <v>293</v>
      </c>
      <c r="B92" s="104" t="s">
        <v>294</v>
      </c>
      <c r="C92" s="4">
        <v>35.0</v>
      </c>
      <c r="F92" s="4"/>
      <c r="I92" s="105"/>
    </row>
    <row r="93" ht="14.25" customHeight="1">
      <c r="A93" s="2" t="s">
        <v>295</v>
      </c>
      <c r="B93" s="104" t="s">
        <v>296</v>
      </c>
      <c r="C93" s="4">
        <v>10.0</v>
      </c>
      <c r="D93" s="92">
        <v>45079.0</v>
      </c>
      <c r="I93" s="105"/>
    </row>
    <row r="94" ht="14.25" customHeight="1">
      <c r="A94" s="2" t="s">
        <v>297</v>
      </c>
      <c r="B94" s="104" t="s">
        <v>206</v>
      </c>
      <c r="C94" s="4">
        <v>10.0</v>
      </c>
      <c r="D94" s="92">
        <v>45079.0</v>
      </c>
      <c r="I94" s="105"/>
    </row>
    <row r="95" ht="14.25" customHeight="1">
      <c r="A95" s="2" t="s">
        <v>289</v>
      </c>
      <c r="B95" s="104" t="s">
        <v>206</v>
      </c>
      <c r="C95" s="103">
        <v>500.0</v>
      </c>
      <c r="D95" s="92">
        <v>45079.0</v>
      </c>
      <c r="F95" s="4"/>
      <c r="I95" s="105"/>
    </row>
    <row r="96" ht="14.25" customHeight="1">
      <c r="A96" s="2" t="s">
        <v>298</v>
      </c>
      <c r="B96" s="104" t="s">
        <v>196</v>
      </c>
      <c r="C96" s="103">
        <v>138.91</v>
      </c>
      <c r="D96" s="92">
        <v>45211.0</v>
      </c>
      <c r="F96" s="4"/>
      <c r="I96" s="105"/>
    </row>
    <row r="97" ht="14.25" customHeight="1">
      <c r="A97" s="2" t="s">
        <v>299</v>
      </c>
      <c r="B97" s="104" t="s">
        <v>244</v>
      </c>
      <c r="C97" s="103">
        <v>3000.0</v>
      </c>
      <c r="D97" s="92">
        <v>45311.0</v>
      </c>
      <c r="F97" s="4"/>
      <c r="I97" s="105"/>
    </row>
    <row r="98" ht="14.25" customHeight="1">
      <c r="A98" s="2" t="s">
        <v>300</v>
      </c>
      <c r="B98" s="104" t="s">
        <v>131</v>
      </c>
      <c r="C98" s="103">
        <v>1331.41</v>
      </c>
      <c r="D98" s="92">
        <v>45546.0</v>
      </c>
      <c r="F98" s="4"/>
      <c r="I98" s="105"/>
    </row>
    <row r="99" ht="14.25" customHeight="1">
      <c r="A99" s="2" t="s">
        <v>301</v>
      </c>
      <c r="B99" s="104" t="s">
        <v>131</v>
      </c>
      <c r="C99" s="103">
        <v>205.07</v>
      </c>
      <c r="D99" s="92">
        <v>45446.0</v>
      </c>
      <c r="F99" s="4"/>
      <c r="I99" s="105"/>
    </row>
    <row r="100" ht="14.25" customHeight="1">
      <c r="B100" s="104"/>
      <c r="C100" s="103"/>
      <c r="D100" s="92"/>
      <c r="F100" s="4"/>
      <c r="I100" s="105"/>
    </row>
    <row r="101" ht="14.25" customHeight="1">
      <c r="A101" s="5" t="s">
        <v>88</v>
      </c>
      <c r="B101" s="104"/>
      <c r="C101" s="86"/>
      <c r="F101" s="4"/>
      <c r="I101" s="105"/>
    </row>
    <row r="102" ht="14.25" customHeight="1">
      <c r="B102" s="104"/>
      <c r="C102" s="4"/>
      <c r="F102" s="4"/>
      <c r="I102" s="105"/>
    </row>
    <row r="103" ht="14.25" customHeight="1">
      <c r="A103" s="119" t="s">
        <v>302</v>
      </c>
      <c r="B103" s="120"/>
      <c r="C103" s="100"/>
      <c r="D103" s="99"/>
      <c r="E103" s="99"/>
      <c r="F103" s="100"/>
      <c r="G103" s="99"/>
      <c r="H103" s="99"/>
      <c r="I103" s="121"/>
      <c r="J103" s="99"/>
      <c r="K103" s="99"/>
      <c r="L103" s="99"/>
      <c r="M103" s="99"/>
      <c r="N103" s="99"/>
      <c r="O103" s="99"/>
      <c r="P103" s="99"/>
      <c r="Q103" s="99"/>
      <c r="R103" s="99"/>
      <c r="S103" s="99"/>
      <c r="T103" s="99"/>
      <c r="U103" s="99"/>
      <c r="V103" s="99"/>
      <c r="W103" s="99"/>
      <c r="X103" s="99"/>
      <c r="Y103" s="99"/>
      <c r="Z103" s="99"/>
    </row>
    <row r="104" ht="14.25" customHeight="1">
      <c r="A104" s="2" t="s">
        <v>303</v>
      </c>
      <c r="B104" s="104"/>
      <c r="C104" s="4"/>
      <c r="F104" s="4"/>
      <c r="I104" s="105"/>
    </row>
    <row r="105" ht="14.25" customHeight="1">
      <c r="A105" s="2" t="s">
        <v>304</v>
      </c>
      <c r="B105" s="104"/>
      <c r="C105" s="4"/>
      <c r="F105" s="4"/>
      <c r="I105" s="105"/>
    </row>
    <row r="106" ht="14.25" customHeight="1">
      <c r="A106" s="2" t="s">
        <v>305</v>
      </c>
      <c r="B106" s="104"/>
      <c r="C106" s="4"/>
      <c r="F106" s="4"/>
      <c r="I106" s="105"/>
    </row>
    <row r="107" ht="14.25" customHeight="1">
      <c r="A107" s="2" t="s">
        <v>306</v>
      </c>
      <c r="B107" s="104"/>
      <c r="C107" s="4"/>
      <c r="F107" s="4"/>
      <c r="I107" s="105"/>
    </row>
    <row r="108" ht="14.25" customHeight="1">
      <c r="A108" s="2" t="s">
        <v>307</v>
      </c>
      <c r="B108" s="104"/>
      <c r="C108" s="4"/>
      <c r="F108" s="4"/>
      <c r="I108" s="105"/>
    </row>
    <row r="109" ht="14.25" customHeight="1">
      <c r="A109" s="2" t="s">
        <v>308</v>
      </c>
      <c r="B109" s="104"/>
      <c r="C109" s="4"/>
      <c r="F109" s="4"/>
      <c r="I109" s="105"/>
    </row>
    <row r="110" ht="14.25" customHeight="1">
      <c r="A110" s="2" t="s">
        <v>100</v>
      </c>
      <c r="B110" s="104"/>
      <c r="C110" s="4"/>
      <c r="F110" s="4"/>
      <c r="I110" s="105"/>
    </row>
    <row r="111" ht="14.25" customHeight="1">
      <c r="A111" s="2" t="s">
        <v>309</v>
      </c>
      <c r="B111" s="104"/>
      <c r="C111" s="4"/>
      <c r="F111" s="4"/>
      <c r="I111" s="105"/>
    </row>
    <row r="112" ht="14.25" customHeight="1">
      <c r="B112" s="104"/>
      <c r="C112" s="4"/>
      <c r="F112" s="4"/>
      <c r="I112" s="105"/>
    </row>
    <row r="113" ht="14.25" customHeight="1">
      <c r="B113" s="104"/>
      <c r="C113" s="4"/>
      <c r="F113" s="4"/>
      <c r="I113" s="105"/>
    </row>
    <row r="114" ht="14.25" customHeight="1">
      <c r="B114" s="104"/>
      <c r="C114" s="4"/>
      <c r="F114" s="4"/>
      <c r="I114" s="105"/>
    </row>
    <row r="115" ht="14.25" customHeight="1">
      <c r="B115" s="104"/>
      <c r="C115" s="4"/>
      <c r="F115" s="4"/>
      <c r="I115" s="105"/>
    </row>
    <row r="116" ht="14.25" customHeight="1">
      <c r="B116" s="104"/>
      <c r="C116" s="4"/>
      <c r="F116" s="4"/>
      <c r="I116" s="105"/>
    </row>
    <row r="117" ht="14.25" customHeight="1">
      <c r="B117" s="104"/>
      <c r="C117" s="4"/>
      <c r="F117" s="4"/>
      <c r="I117" s="105"/>
    </row>
    <row r="118" ht="14.25" customHeight="1">
      <c r="B118" s="104"/>
      <c r="C118" s="4"/>
      <c r="F118" s="4"/>
      <c r="I118" s="105"/>
    </row>
    <row r="119" ht="14.25" customHeight="1">
      <c r="B119" s="104"/>
      <c r="C119" s="4"/>
      <c r="F119" s="4"/>
      <c r="I119" s="105"/>
    </row>
    <row r="120" ht="14.25" customHeight="1">
      <c r="B120" s="104"/>
      <c r="C120" s="4"/>
      <c r="F120" s="4"/>
      <c r="I120" s="105"/>
    </row>
    <row r="121" ht="14.25" customHeight="1">
      <c r="B121" s="104"/>
      <c r="C121" s="4"/>
      <c r="F121" s="4"/>
      <c r="I121" s="105"/>
    </row>
    <row r="122" ht="14.25" customHeight="1">
      <c r="B122" s="104"/>
      <c r="C122" s="4"/>
      <c r="F122" s="4"/>
      <c r="I122" s="105"/>
    </row>
    <row r="123" ht="14.25" customHeight="1">
      <c r="B123" s="104"/>
      <c r="C123" s="4"/>
      <c r="F123" s="4"/>
      <c r="I123" s="105"/>
    </row>
    <row r="124" ht="14.25" customHeight="1">
      <c r="B124" s="104"/>
      <c r="C124" s="4"/>
      <c r="F124" s="4"/>
      <c r="I124" s="105"/>
    </row>
    <row r="125" ht="14.25" customHeight="1">
      <c r="B125" s="104"/>
      <c r="C125" s="4"/>
      <c r="F125" s="4"/>
      <c r="I125" s="105"/>
    </row>
    <row r="126" ht="14.25" customHeight="1">
      <c r="B126" s="104"/>
      <c r="C126" s="4"/>
      <c r="F126" s="4"/>
      <c r="I126" s="105"/>
    </row>
    <row r="127" ht="14.25" customHeight="1">
      <c r="B127" s="104"/>
      <c r="C127" s="4"/>
      <c r="F127" s="4"/>
      <c r="I127" s="105"/>
    </row>
    <row r="128" ht="14.25" customHeight="1">
      <c r="B128" s="104"/>
      <c r="C128" s="4"/>
      <c r="F128" s="4"/>
      <c r="I128" s="105"/>
    </row>
    <row r="129" ht="14.25" customHeight="1">
      <c r="B129" s="104"/>
      <c r="C129" s="4"/>
      <c r="F129" s="4"/>
      <c r="I129" s="105"/>
    </row>
    <row r="130" ht="14.25" customHeight="1">
      <c r="B130" s="104"/>
      <c r="C130" s="4"/>
      <c r="F130" s="4"/>
      <c r="I130" s="105"/>
    </row>
    <row r="131" ht="14.25" customHeight="1">
      <c r="B131" s="104"/>
      <c r="C131" s="4"/>
      <c r="F131" s="4"/>
      <c r="I131" s="105"/>
    </row>
    <row r="132" ht="14.25" customHeight="1">
      <c r="B132" s="104"/>
      <c r="C132" s="4"/>
      <c r="F132" s="4"/>
      <c r="I132" s="105"/>
    </row>
    <row r="133" ht="14.25" customHeight="1">
      <c r="B133" s="104"/>
      <c r="C133" s="4"/>
      <c r="F133" s="4"/>
      <c r="I133" s="105"/>
    </row>
    <row r="134" ht="14.25" customHeight="1">
      <c r="B134" s="104"/>
      <c r="C134" s="4"/>
      <c r="F134" s="4"/>
      <c r="I134" s="105"/>
    </row>
    <row r="135" ht="14.25" customHeight="1">
      <c r="B135" s="104"/>
      <c r="C135" s="4"/>
      <c r="F135" s="4"/>
      <c r="I135" s="105"/>
    </row>
    <row r="136" ht="14.25" customHeight="1">
      <c r="B136" s="104"/>
      <c r="C136" s="4"/>
      <c r="F136" s="4"/>
      <c r="I136" s="105"/>
    </row>
    <row r="137" ht="14.25" customHeight="1">
      <c r="B137" s="104"/>
      <c r="C137" s="4"/>
      <c r="F137" s="4"/>
      <c r="I137" s="105"/>
    </row>
    <row r="138" ht="14.25" customHeight="1">
      <c r="B138" s="104"/>
      <c r="C138" s="4"/>
      <c r="F138" s="4"/>
      <c r="I138" s="105"/>
    </row>
    <row r="139" ht="14.25" customHeight="1">
      <c r="B139" s="104"/>
      <c r="C139" s="4"/>
      <c r="F139" s="4"/>
      <c r="I139" s="105"/>
    </row>
    <row r="140" ht="14.25" customHeight="1">
      <c r="B140" s="104"/>
      <c r="C140" s="4"/>
      <c r="F140" s="4"/>
      <c r="I140" s="105"/>
    </row>
    <row r="141" ht="14.25" customHeight="1">
      <c r="B141" s="104"/>
      <c r="C141" s="4"/>
      <c r="F141" s="4"/>
      <c r="I141" s="105"/>
    </row>
    <row r="142" ht="14.25" customHeight="1">
      <c r="B142" s="104"/>
      <c r="C142" s="4"/>
      <c r="F142" s="4"/>
      <c r="I142" s="105"/>
    </row>
    <row r="143" ht="14.25" customHeight="1">
      <c r="B143" s="104"/>
      <c r="C143" s="4"/>
      <c r="F143" s="4"/>
      <c r="I143" s="105"/>
    </row>
    <row r="144" ht="14.25" customHeight="1">
      <c r="B144" s="104"/>
      <c r="C144" s="4"/>
      <c r="F144" s="4"/>
      <c r="I144" s="105"/>
    </row>
    <row r="145" ht="14.25" customHeight="1">
      <c r="B145" s="104"/>
      <c r="C145" s="4"/>
      <c r="F145" s="4"/>
      <c r="I145" s="105"/>
    </row>
    <row r="146" ht="14.25" customHeight="1">
      <c r="B146" s="104"/>
      <c r="C146" s="4"/>
      <c r="F146" s="4"/>
      <c r="I146" s="105"/>
    </row>
    <row r="147" ht="14.25" customHeight="1">
      <c r="B147" s="104"/>
      <c r="C147" s="4"/>
      <c r="F147" s="4"/>
      <c r="I147" s="105"/>
    </row>
    <row r="148" ht="14.25" customHeight="1">
      <c r="B148" s="104"/>
      <c r="C148" s="4"/>
      <c r="F148" s="4"/>
      <c r="I148" s="105"/>
    </row>
    <row r="149" ht="14.25" customHeight="1">
      <c r="B149" s="104"/>
      <c r="C149" s="4"/>
      <c r="F149" s="4"/>
      <c r="I149" s="105"/>
    </row>
    <row r="150" ht="14.25" customHeight="1">
      <c r="B150" s="104"/>
      <c r="C150" s="4"/>
      <c r="F150" s="4"/>
      <c r="I150" s="105"/>
    </row>
    <row r="151" ht="14.25" customHeight="1">
      <c r="B151" s="104"/>
      <c r="C151" s="4"/>
      <c r="F151" s="4"/>
      <c r="I151" s="105"/>
    </row>
    <row r="152" ht="14.25" customHeight="1">
      <c r="B152" s="104"/>
      <c r="C152" s="4"/>
      <c r="F152" s="4"/>
      <c r="I152" s="105"/>
    </row>
    <row r="153" ht="14.25" customHeight="1">
      <c r="B153" s="104"/>
      <c r="C153" s="4"/>
      <c r="F153" s="4"/>
      <c r="I153" s="105"/>
    </row>
    <row r="154" ht="14.25" customHeight="1">
      <c r="B154" s="104"/>
      <c r="C154" s="4"/>
      <c r="F154" s="4"/>
      <c r="I154" s="105"/>
    </row>
    <row r="155" ht="14.25" customHeight="1">
      <c r="B155" s="104"/>
      <c r="C155" s="4"/>
      <c r="F155" s="4"/>
      <c r="I155" s="105"/>
    </row>
    <row r="156" ht="14.25" customHeight="1">
      <c r="B156" s="104"/>
      <c r="C156" s="4"/>
      <c r="F156" s="4"/>
      <c r="I156" s="105"/>
    </row>
    <row r="157" ht="14.25" customHeight="1">
      <c r="B157" s="104"/>
      <c r="C157" s="4"/>
      <c r="F157" s="4"/>
      <c r="I157" s="105"/>
    </row>
    <row r="158" ht="14.25" customHeight="1">
      <c r="B158" s="104"/>
      <c r="C158" s="4"/>
      <c r="F158" s="4"/>
      <c r="I158" s="105"/>
    </row>
    <row r="159" ht="14.25" customHeight="1">
      <c r="B159" s="104"/>
      <c r="C159" s="4"/>
      <c r="F159" s="4"/>
      <c r="I159" s="105"/>
    </row>
    <row r="160" ht="14.25" customHeight="1">
      <c r="B160" s="104"/>
      <c r="C160" s="4"/>
      <c r="F160" s="4"/>
      <c r="I160" s="105"/>
    </row>
    <row r="161" ht="14.25" customHeight="1">
      <c r="B161" s="104"/>
      <c r="C161" s="4"/>
      <c r="F161" s="4"/>
      <c r="I161" s="105"/>
    </row>
    <row r="162" ht="14.25" customHeight="1">
      <c r="B162" s="104"/>
      <c r="C162" s="4"/>
      <c r="F162" s="4"/>
      <c r="I162" s="105"/>
    </row>
    <row r="163" ht="14.25" customHeight="1">
      <c r="B163" s="104"/>
      <c r="C163" s="4"/>
      <c r="F163" s="4"/>
      <c r="I163" s="105"/>
    </row>
    <row r="164" ht="14.25" customHeight="1">
      <c r="B164" s="104"/>
      <c r="C164" s="4"/>
      <c r="F164" s="4"/>
      <c r="I164" s="105"/>
    </row>
    <row r="165" ht="14.25" customHeight="1">
      <c r="B165" s="104"/>
      <c r="C165" s="4"/>
      <c r="F165" s="4"/>
      <c r="I165" s="105"/>
    </row>
    <row r="166" ht="14.25" customHeight="1">
      <c r="B166" s="104"/>
      <c r="C166" s="4"/>
      <c r="F166" s="4"/>
      <c r="I166" s="105"/>
    </row>
    <row r="167" ht="14.25" customHeight="1">
      <c r="B167" s="104"/>
      <c r="C167" s="4"/>
      <c r="F167" s="4"/>
      <c r="I167" s="105"/>
    </row>
    <row r="168" ht="14.25" customHeight="1">
      <c r="B168" s="104"/>
      <c r="C168" s="4"/>
      <c r="F168" s="4"/>
      <c r="I168" s="105"/>
    </row>
    <row r="169" ht="14.25" customHeight="1">
      <c r="B169" s="104"/>
      <c r="C169" s="4"/>
      <c r="F169" s="4"/>
      <c r="I169" s="105"/>
    </row>
    <row r="170" ht="14.25" customHeight="1">
      <c r="B170" s="104"/>
      <c r="C170" s="4"/>
      <c r="F170" s="4"/>
      <c r="I170" s="105"/>
    </row>
    <row r="171" ht="14.25" customHeight="1">
      <c r="B171" s="104"/>
      <c r="C171" s="4"/>
      <c r="F171" s="4"/>
      <c r="I171" s="105"/>
    </row>
    <row r="172" ht="14.25" customHeight="1">
      <c r="B172" s="104"/>
      <c r="C172" s="4"/>
      <c r="F172" s="4"/>
      <c r="I172" s="105"/>
    </row>
    <row r="173" ht="14.25" customHeight="1">
      <c r="B173" s="104"/>
      <c r="C173" s="4"/>
      <c r="F173" s="4"/>
      <c r="I173" s="105"/>
    </row>
    <row r="174" ht="14.25" customHeight="1">
      <c r="B174" s="104"/>
      <c r="C174" s="4"/>
      <c r="F174" s="4"/>
      <c r="I174" s="105"/>
    </row>
    <row r="175" ht="14.25" customHeight="1">
      <c r="B175" s="104"/>
      <c r="C175" s="4"/>
      <c r="F175" s="4"/>
      <c r="I175" s="105"/>
    </row>
    <row r="176" ht="14.25" customHeight="1">
      <c r="B176" s="104"/>
      <c r="C176" s="4"/>
      <c r="F176" s="4"/>
      <c r="I176" s="105"/>
    </row>
    <row r="177" ht="14.25" customHeight="1">
      <c r="B177" s="104"/>
      <c r="C177" s="4"/>
      <c r="F177" s="4"/>
      <c r="I177" s="105"/>
    </row>
    <row r="178" ht="14.25" customHeight="1">
      <c r="B178" s="104"/>
      <c r="C178" s="4"/>
      <c r="F178" s="4"/>
      <c r="I178" s="105"/>
    </row>
    <row r="179" ht="14.25" customHeight="1">
      <c r="B179" s="104"/>
      <c r="C179" s="4"/>
      <c r="F179" s="4"/>
      <c r="I179" s="105"/>
    </row>
    <row r="180" ht="14.25" customHeight="1">
      <c r="B180" s="104"/>
      <c r="C180" s="4"/>
      <c r="F180" s="4"/>
      <c r="I180" s="105"/>
    </row>
    <row r="181" ht="14.25" customHeight="1">
      <c r="B181" s="104"/>
      <c r="C181" s="4"/>
      <c r="F181" s="4"/>
      <c r="I181" s="105"/>
    </row>
    <row r="182" ht="14.25" customHeight="1">
      <c r="B182" s="104"/>
      <c r="C182" s="4"/>
      <c r="F182" s="4"/>
      <c r="I182" s="105"/>
    </row>
    <row r="183" ht="14.25" customHeight="1">
      <c r="B183" s="104"/>
      <c r="C183" s="4"/>
      <c r="F183" s="4"/>
      <c r="I183" s="105"/>
    </row>
    <row r="184" ht="14.25" customHeight="1">
      <c r="B184" s="104"/>
      <c r="C184" s="4"/>
      <c r="F184" s="4"/>
      <c r="I184" s="105"/>
    </row>
    <row r="185" ht="14.25" customHeight="1">
      <c r="B185" s="104"/>
      <c r="C185" s="4"/>
      <c r="F185" s="4"/>
      <c r="I185" s="105"/>
    </row>
    <row r="186" ht="14.25" customHeight="1">
      <c r="B186" s="104"/>
      <c r="C186" s="4"/>
      <c r="F186" s="4"/>
      <c r="I186" s="105"/>
    </row>
    <row r="187" ht="14.25" customHeight="1">
      <c r="B187" s="104"/>
      <c r="C187" s="4"/>
      <c r="F187" s="4"/>
      <c r="I187" s="105"/>
    </row>
    <row r="188" ht="14.25" customHeight="1">
      <c r="B188" s="104"/>
      <c r="C188" s="4"/>
      <c r="F188" s="4"/>
      <c r="I188" s="105"/>
    </row>
    <row r="189" ht="14.25" customHeight="1">
      <c r="B189" s="104"/>
      <c r="C189" s="4"/>
      <c r="F189" s="4"/>
      <c r="I189" s="105"/>
    </row>
    <row r="190" ht="14.25" customHeight="1">
      <c r="B190" s="104"/>
      <c r="C190" s="4"/>
      <c r="F190" s="4"/>
      <c r="I190" s="105"/>
    </row>
    <row r="191" ht="14.25" customHeight="1">
      <c r="B191" s="104"/>
      <c r="C191" s="4"/>
      <c r="F191" s="4"/>
      <c r="I191" s="105"/>
    </row>
    <row r="192" ht="14.25" customHeight="1">
      <c r="B192" s="104"/>
      <c r="C192" s="4"/>
      <c r="F192" s="4"/>
      <c r="I192" s="105"/>
    </row>
    <row r="193" ht="14.25" customHeight="1">
      <c r="B193" s="104"/>
      <c r="C193" s="4"/>
      <c r="F193" s="4"/>
      <c r="I193" s="105"/>
    </row>
    <row r="194" ht="14.25" customHeight="1">
      <c r="B194" s="104"/>
      <c r="C194" s="4"/>
      <c r="F194" s="4"/>
      <c r="I194" s="105"/>
    </row>
    <row r="195" ht="14.25" customHeight="1">
      <c r="B195" s="104"/>
      <c r="C195" s="4"/>
      <c r="F195" s="4"/>
      <c r="I195" s="105"/>
    </row>
    <row r="196" ht="14.25" customHeight="1">
      <c r="B196" s="104"/>
      <c r="C196" s="4"/>
      <c r="F196" s="4"/>
      <c r="I196" s="105"/>
    </row>
    <row r="197" ht="14.25" customHeight="1">
      <c r="B197" s="104"/>
      <c r="C197" s="4"/>
      <c r="F197" s="4"/>
      <c r="I197" s="105"/>
    </row>
    <row r="198" ht="14.25" customHeight="1">
      <c r="B198" s="104"/>
      <c r="C198" s="4"/>
      <c r="F198" s="4"/>
      <c r="I198" s="105"/>
    </row>
    <row r="199" ht="14.25" customHeight="1">
      <c r="B199" s="104"/>
      <c r="C199" s="4"/>
      <c r="F199" s="4"/>
      <c r="I199" s="105"/>
    </row>
    <row r="200" ht="14.25" customHeight="1">
      <c r="B200" s="104"/>
      <c r="C200" s="4"/>
      <c r="F200" s="4"/>
      <c r="I200" s="105"/>
    </row>
    <row r="201" ht="14.25" customHeight="1">
      <c r="B201" s="104"/>
      <c r="C201" s="4"/>
      <c r="F201" s="4"/>
      <c r="I201" s="105"/>
    </row>
    <row r="202" ht="14.25" customHeight="1">
      <c r="B202" s="104"/>
      <c r="C202" s="4"/>
      <c r="F202" s="4"/>
      <c r="I202" s="105"/>
    </row>
    <row r="203" ht="14.25" customHeight="1">
      <c r="B203" s="104"/>
      <c r="C203" s="4"/>
      <c r="F203" s="4"/>
      <c r="I203" s="105"/>
    </row>
    <row r="204" ht="14.25" customHeight="1">
      <c r="B204" s="104"/>
      <c r="C204" s="4"/>
      <c r="F204" s="4"/>
      <c r="I204" s="105"/>
    </row>
    <row r="205" ht="14.25" customHeight="1">
      <c r="B205" s="104"/>
      <c r="C205" s="4"/>
      <c r="F205" s="4"/>
      <c r="I205" s="105"/>
    </row>
    <row r="206" ht="14.25" customHeight="1">
      <c r="B206" s="104"/>
      <c r="C206" s="4"/>
      <c r="F206" s="4"/>
      <c r="I206" s="105"/>
    </row>
    <row r="207" ht="14.25" customHeight="1">
      <c r="B207" s="104"/>
      <c r="C207" s="4"/>
      <c r="F207" s="4"/>
      <c r="I207" s="105"/>
    </row>
    <row r="208" ht="14.25" customHeight="1">
      <c r="B208" s="104"/>
      <c r="C208" s="4"/>
      <c r="F208" s="4"/>
      <c r="I208" s="105"/>
    </row>
    <row r="209" ht="14.25" customHeight="1">
      <c r="B209" s="104"/>
      <c r="C209" s="4"/>
      <c r="F209" s="4"/>
      <c r="I209" s="105"/>
    </row>
    <row r="210" ht="14.25" customHeight="1">
      <c r="B210" s="104"/>
      <c r="C210" s="4"/>
      <c r="F210" s="4"/>
      <c r="I210" s="105"/>
    </row>
    <row r="211" ht="14.25" customHeight="1">
      <c r="B211" s="104"/>
      <c r="C211" s="4"/>
      <c r="F211" s="4"/>
      <c r="I211" s="105"/>
    </row>
    <row r="212" ht="14.25" customHeight="1">
      <c r="B212" s="104"/>
      <c r="C212" s="4"/>
      <c r="F212" s="4"/>
      <c r="I212" s="105"/>
    </row>
    <row r="213" ht="14.25" customHeight="1">
      <c r="B213" s="104"/>
      <c r="C213" s="4"/>
      <c r="F213" s="4"/>
      <c r="I213" s="105"/>
    </row>
    <row r="214" ht="14.25" customHeight="1">
      <c r="B214" s="104"/>
      <c r="C214" s="4"/>
      <c r="F214" s="4"/>
      <c r="I214" s="105"/>
    </row>
    <row r="215" ht="14.25" customHeight="1">
      <c r="B215" s="104"/>
      <c r="C215" s="4"/>
      <c r="F215" s="4"/>
      <c r="I215" s="105"/>
    </row>
    <row r="216" ht="14.25" customHeight="1">
      <c r="B216" s="104"/>
      <c r="C216" s="4"/>
      <c r="F216" s="4"/>
      <c r="I216" s="105"/>
    </row>
    <row r="217" ht="14.25" customHeight="1">
      <c r="B217" s="104"/>
      <c r="C217" s="4"/>
      <c r="F217" s="4"/>
      <c r="I217" s="105"/>
    </row>
    <row r="218" ht="14.25" customHeight="1">
      <c r="B218" s="104"/>
      <c r="C218" s="4"/>
      <c r="F218" s="4"/>
      <c r="I218" s="105"/>
    </row>
    <row r="219" ht="14.25" customHeight="1">
      <c r="B219" s="104"/>
      <c r="C219" s="4"/>
      <c r="F219" s="4"/>
      <c r="I219" s="105"/>
    </row>
    <row r="220" ht="14.25" customHeight="1">
      <c r="B220" s="104"/>
      <c r="C220" s="4"/>
      <c r="F220" s="4"/>
      <c r="I220" s="105"/>
    </row>
    <row r="221" ht="14.25" customHeight="1">
      <c r="B221" s="104"/>
      <c r="C221" s="4"/>
      <c r="F221" s="4"/>
      <c r="I221" s="105"/>
    </row>
    <row r="222" ht="14.25" customHeight="1">
      <c r="B222" s="104"/>
      <c r="C222" s="4"/>
      <c r="F222" s="4"/>
      <c r="I222" s="105"/>
    </row>
    <row r="223" ht="14.25" customHeight="1">
      <c r="B223" s="104"/>
      <c r="C223" s="4"/>
      <c r="F223" s="4"/>
      <c r="I223" s="105"/>
    </row>
    <row r="224" ht="14.25" customHeight="1">
      <c r="B224" s="104"/>
      <c r="C224" s="4"/>
      <c r="F224" s="4"/>
      <c r="I224" s="105"/>
    </row>
    <row r="225" ht="14.25" customHeight="1">
      <c r="B225" s="104"/>
      <c r="C225" s="4"/>
      <c r="F225" s="4"/>
      <c r="I225" s="105"/>
    </row>
    <row r="226" ht="14.25" customHeight="1">
      <c r="B226" s="104"/>
      <c r="C226" s="4"/>
      <c r="F226" s="4"/>
      <c r="I226" s="105"/>
    </row>
    <row r="227" ht="14.25" customHeight="1">
      <c r="B227" s="104"/>
      <c r="C227" s="4"/>
      <c r="F227" s="4"/>
      <c r="I227" s="105"/>
    </row>
    <row r="228" ht="14.25" customHeight="1">
      <c r="B228" s="104"/>
      <c r="C228" s="4"/>
      <c r="F228" s="4"/>
      <c r="I228" s="105"/>
    </row>
    <row r="229" ht="14.25" customHeight="1">
      <c r="B229" s="104"/>
      <c r="C229" s="4"/>
      <c r="F229" s="4"/>
      <c r="I229" s="105"/>
    </row>
    <row r="230" ht="14.25" customHeight="1">
      <c r="B230" s="104"/>
      <c r="C230" s="4"/>
      <c r="F230" s="4"/>
      <c r="I230" s="105"/>
    </row>
    <row r="231" ht="14.25" customHeight="1">
      <c r="B231" s="104"/>
      <c r="C231" s="4"/>
      <c r="F231" s="4"/>
      <c r="I231" s="105"/>
    </row>
    <row r="232" ht="14.25" customHeight="1">
      <c r="B232" s="104"/>
      <c r="C232" s="4"/>
      <c r="F232" s="4"/>
      <c r="I232" s="105"/>
    </row>
    <row r="233" ht="14.25" customHeight="1">
      <c r="B233" s="104"/>
      <c r="C233" s="4"/>
      <c r="F233" s="4"/>
      <c r="I233" s="105"/>
    </row>
    <row r="234" ht="14.25" customHeight="1">
      <c r="B234" s="104"/>
      <c r="C234" s="4"/>
      <c r="F234" s="4"/>
      <c r="I234" s="105"/>
    </row>
    <row r="235" ht="14.25" customHeight="1">
      <c r="B235" s="104"/>
      <c r="C235" s="4"/>
      <c r="F235" s="4"/>
      <c r="I235" s="105"/>
    </row>
    <row r="236" ht="14.25" customHeight="1">
      <c r="B236" s="104"/>
      <c r="C236" s="4"/>
      <c r="F236" s="4"/>
      <c r="I236" s="105"/>
    </row>
    <row r="237" ht="14.25" customHeight="1">
      <c r="B237" s="104"/>
      <c r="C237" s="4"/>
      <c r="F237" s="4"/>
      <c r="I237" s="105"/>
    </row>
    <row r="238" ht="14.25" customHeight="1">
      <c r="B238" s="104"/>
      <c r="C238" s="4"/>
      <c r="F238" s="4"/>
      <c r="I238" s="105"/>
    </row>
    <row r="239" ht="14.25" customHeight="1">
      <c r="B239" s="104"/>
      <c r="C239" s="4"/>
      <c r="F239" s="4"/>
      <c r="I239" s="105"/>
    </row>
    <row r="240" ht="14.25" customHeight="1">
      <c r="B240" s="104"/>
      <c r="C240" s="4"/>
      <c r="F240" s="4"/>
      <c r="I240" s="105"/>
    </row>
    <row r="241" ht="14.25" customHeight="1">
      <c r="B241" s="104"/>
      <c r="C241" s="4"/>
      <c r="F241" s="4"/>
      <c r="I241" s="105"/>
    </row>
    <row r="242" ht="14.25" customHeight="1">
      <c r="B242" s="104"/>
      <c r="C242" s="4"/>
      <c r="F242" s="4"/>
      <c r="I242" s="105"/>
    </row>
    <row r="243" ht="14.25" customHeight="1">
      <c r="B243" s="104"/>
      <c r="C243" s="4"/>
      <c r="F243" s="4"/>
      <c r="I243" s="105"/>
    </row>
    <row r="244" ht="14.25" customHeight="1">
      <c r="B244" s="104"/>
      <c r="C244" s="4"/>
      <c r="F244" s="4"/>
      <c r="I244" s="105"/>
    </row>
    <row r="245" ht="14.25" customHeight="1">
      <c r="B245" s="104"/>
      <c r="C245" s="4"/>
      <c r="F245" s="4"/>
      <c r="I245" s="105"/>
    </row>
    <row r="246" ht="14.25" customHeight="1">
      <c r="B246" s="104"/>
      <c r="C246" s="4"/>
      <c r="F246" s="4"/>
      <c r="I246" s="105"/>
    </row>
    <row r="247" ht="14.25" customHeight="1">
      <c r="B247" s="104"/>
      <c r="C247" s="4"/>
      <c r="F247" s="4"/>
      <c r="I247" s="105"/>
    </row>
    <row r="248" ht="14.25" customHeight="1">
      <c r="B248" s="104"/>
      <c r="C248" s="4"/>
      <c r="F248" s="4"/>
      <c r="I248" s="105"/>
    </row>
    <row r="249" ht="14.25" customHeight="1">
      <c r="B249" s="104"/>
      <c r="C249" s="4"/>
      <c r="F249" s="4"/>
      <c r="I249" s="105"/>
    </row>
    <row r="250" ht="14.25" customHeight="1">
      <c r="B250" s="104"/>
      <c r="C250" s="4"/>
      <c r="F250" s="4"/>
      <c r="I250" s="105"/>
    </row>
    <row r="251" ht="14.25" customHeight="1">
      <c r="B251" s="104"/>
      <c r="C251" s="4"/>
      <c r="F251" s="4"/>
      <c r="I251" s="105"/>
    </row>
    <row r="252" ht="14.25" customHeight="1">
      <c r="B252" s="104"/>
      <c r="C252" s="4"/>
      <c r="F252" s="4"/>
      <c r="I252" s="105"/>
    </row>
    <row r="253" ht="14.25" customHeight="1">
      <c r="B253" s="104"/>
      <c r="C253" s="4"/>
      <c r="F253" s="4"/>
      <c r="I253" s="105"/>
    </row>
    <row r="254" ht="14.25" customHeight="1">
      <c r="B254" s="104"/>
      <c r="C254" s="4"/>
      <c r="F254" s="4"/>
      <c r="I254" s="105"/>
    </row>
    <row r="255" ht="14.25" customHeight="1">
      <c r="B255" s="104"/>
      <c r="C255" s="4"/>
      <c r="F255" s="4"/>
      <c r="I255" s="105"/>
    </row>
    <row r="256" ht="14.25" customHeight="1">
      <c r="B256" s="104"/>
      <c r="C256" s="4"/>
      <c r="F256" s="4"/>
      <c r="I256" s="105"/>
    </row>
    <row r="257" ht="14.25" customHeight="1">
      <c r="B257" s="104"/>
      <c r="C257" s="4"/>
      <c r="F257" s="4"/>
      <c r="I257" s="105"/>
    </row>
    <row r="258" ht="14.25" customHeight="1">
      <c r="B258" s="104"/>
      <c r="C258" s="4"/>
      <c r="F258" s="4"/>
      <c r="I258" s="105"/>
    </row>
    <row r="259" ht="14.25" customHeight="1">
      <c r="B259" s="104"/>
      <c r="C259" s="4"/>
      <c r="F259" s="4"/>
      <c r="I259" s="105"/>
    </row>
    <row r="260" ht="14.25" customHeight="1">
      <c r="B260" s="104"/>
      <c r="C260" s="4"/>
      <c r="F260" s="4"/>
      <c r="I260" s="105"/>
    </row>
    <row r="261" ht="14.25" customHeight="1">
      <c r="B261" s="104"/>
      <c r="C261" s="4"/>
      <c r="F261" s="4"/>
      <c r="I261" s="105"/>
    </row>
    <row r="262" ht="14.25" customHeight="1">
      <c r="B262" s="104"/>
      <c r="C262" s="4"/>
      <c r="F262" s="4"/>
      <c r="I262" s="105"/>
    </row>
    <row r="263" ht="14.25" customHeight="1">
      <c r="B263" s="104"/>
      <c r="C263" s="4"/>
      <c r="F263" s="4"/>
      <c r="I263" s="105"/>
    </row>
    <row r="264" ht="14.25" customHeight="1">
      <c r="B264" s="104"/>
      <c r="C264" s="4"/>
      <c r="F264" s="4"/>
      <c r="I264" s="105"/>
    </row>
    <row r="265" ht="14.25" customHeight="1">
      <c r="B265" s="104"/>
      <c r="C265" s="4"/>
      <c r="F265" s="4"/>
      <c r="I265" s="105"/>
    </row>
    <row r="266" ht="14.25" customHeight="1">
      <c r="B266" s="104"/>
      <c r="C266" s="4"/>
      <c r="F266" s="4"/>
      <c r="I266" s="105"/>
    </row>
    <row r="267" ht="14.25" customHeight="1">
      <c r="B267" s="104"/>
      <c r="C267" s="4"/>
      <c r="F267" s="4"/>
      <c r="I267" s="105"/>
    </row>
    <row r="268" ht="14.25" customHeight="1">
      <c r="B268" s="104"/>
      <c r="C268" s="4"/>
      <c r="F268" s="4"/>
      <c r="I268" s="105"/>
    </row>
    <row r="269" ht="14.25" customHeight="1">
      <c r="B269" s="104"/>
      <c r="C269" s="4"/>
      <c r="F269" s="4"/>
      <c r="I269" s="105"/>
    </row>
    <row r="270" ht="14.25" customHeight="1">
      <c r="B270" s="104"/>
      <c r="C270" s="4"/>
      <c r="F270" s="4"/>
      <c r="I270" s="105"/>
    </row>
    <row r="271" ht="14.25" customHeight="1">
      <c r="B271" s="104"/>
      <c r="C271" s="4"/>
      <c r="F271" s="4"/>
      <c r="I271" s="105"/>
    </row>
    <row r="272" ht="14.25" customHeight="1">
      <c r="B272" s="104"/>
      <c r="C272" s="4"/>
      <c r="F272" s="4"/>
      <c r="I272" s="105"/>
    </row>
    <row r="273" ht="14.25" customHeight="1">
      <c r="B273" s="104"/>
      <c r="C273" s="4"/>
      <c r="F273" s="4"/>
      <c r="I273" s="105"/>
    </row>
    <row r="274" ht="14.25" customHeight="1">
      <c r="B274" s="104"/>
      <c r="C274" s="4"/>
      <c r="F274" s="4"/>
      <c r="I274" s="105"/>
    </row>
    <row r="275" ht="14.25" customHeight="1">
      <c r="B275" s="104"/>
      <c r="C275" s="4"/>
      <c r="F275" s="4"/>
      <c r="I275" s="105"/>
    </row>
    <row r="276" ht="14.25" customHeight="1">
      <c r="B276" s="104"/>
      <c r="C276" s="4"/>
      <c r="F276" s="4"/>
      <c r="I276" s="105"/>
    </row>
    <row r="277" ht="14.25" customHeight="1">
      <c r="B277" s="104"/>
      <c r="C277" s="4"/>
      <c r="F277" s="4"/>
      <c r="I277" s="105"/>
    </row>
    <row r="278" ht="14.25" customHeight="1">
      <c r="B278" s="104"/>
      <c r="C278" s="4"/>
      <c r="F278" s="4"/>
      <c r="I278" s="105"/>
    </row>
    <row r="279" ht="14.25" customHeight="1">
      <c r="B279" s="104"/>
      <c r="C279" s="4"/>
      <c r="F279" s="4"/>
      <c r="I279" s="105"/>
    </row>
    <row r="280" ht="14.25" customHeight="1">
      <c r="B280" s="104"/>
      <c r="C280" s="4"/>
      <c r="F280" s="4"/>
      <c r="I280" s="105"/>
    </row>
    <row r="281" ht="14.25" customHeight="1">
      <c r="B281" s="104"/>
      <c r="C281" s="4"/>
      <c r="F281" s="4"/>
      <c r="I281" s="105"/>
    </row>
    <row r="282" ht="14.25" customHeight="1">
      <c r="B282" s="104"/>
      <c r="C282" s="4"/>
      <c r="F282" s="4"/>
      <c r="I282" s="105"/>
    </row>
    <row r="283" ht="14.25" customHeight="1">
      <c r="B283" s="104"/>
      <c r="C283" s="4"/>
      <c r="F283" s="4"/>
      <c r="I283" s="105"/>
    </row>
    <row r="284" ht="14.25" customHeight="1">
      <c r="B284" s="104"/>
      <c r="C284" s="4"/>
      <c r="F284" s="4"/>
      <c r="I284" s="105"/>
    </row>
    <row r="285" ht="14.25" customHeight="1">
      <c r="B285" s="104"/>
      <c r="C285" s="4"/>
      <c r="F285" s="4"/>
      <c r="I285" s="105"/>
    </row>
    <row r="286" ht="14.25" customHeight="1">
      <c r="B286" s="104"/>
      <c r="C286" s="4"/>
      <c r="F286" s="4"/>
      <c r="I286" s="105"/>
    </row>
    <row r="287" ht="14.25" customHeight="1">
      <c r="B287" s="104"/>
      <c r="C287" s="4"/>
      <c r="F287" s="4"/>
      <c r="I287" s="105"/>
    </row>
    <row r="288" ht="14.25" customHeight="1">
      <c r="B288" s="104"/>
      <c r="C288" s="4"/>
      <c r="F288" s="4"/>
      <c r="I288" s="105"/>
    </row>
    <row r="289" ht="14.25" customHeight="1">
      <c r="B289" s="104"/>
      <c r="C289" s="4"/>
      <c r="F289" s="4"/>
      <c r="I289" s="105"/>
    </row>
    <row r="290" ht="14.25" customHeight="1">
      <c r="B290" s="104"/>
      <c r="C290" s="4"/>
      <c r="F290" s="4"/>
      <c r="I290" s="105"/>
    </row>
    <row r="291" ht="14.25" customHeight="1">
      <c r="B291" s="104"/>
      <c r="C291" s="4"/>
      <c r="F291" s="4"/>
      <c r="I291" s="105"/>
    </row>
    <row r="292" ht="14.25" customHeight="1">
      <c r="B292" s="104"/>
      <c r="C292" s="4"/>
      <c r="F292" s="4"/>
      <c r="I292" s="105"/>
    </row>
    <row r="293" ht="14.25" customHeight="1">
      <c r="B293" s="104"/>
      <c r="C293" s="4"/>
      <c r="F293" s="4"/>
      <c r="I293" s="105"/>
    </row>
    <row r="294" ht="14.25" customHeight="1">
      <c r="B294" s="104"/>
      <c r="C294" s="4"/>
      <c r="F294" s="4"/>
      <c r="I294" s="105"/>
    </row>
    <row r="295" ht="14.25" customHeight="1">
      <c r="B295" s="104"/>
      <c r="C295" s="4"/>
      <c r="F295" s="4"/>
      <c r="I295" s="105"/>
    </row>
    <row r="296" ht="14.25" customHeight="1">
      <c r="B296" s="104"/>
      <c r="C296" s="4"/>
      <c r="F296" s="4"/>
      <c r="I296" s="105"/>
    </row>
    <row r="297" ht="14.25" customHeight="1">
      <c r="B297" s="104"/>
      <c r="C297" s="4"/>
      <c r="F297" s="4"/>
      <c r="I297" s="105"/>
    </row>
    <row r="298" ht="14.25" customHeight="1">
      <c r="B298" s="104"/>
      <c r="C298" s="4"/>
      <c r="F298" s="4"/>
      <c r="I298" s="105"/>
    </row>
    <row r="299" ht="14.25" customHeight="1">
      <c r="B299" s="104"/>
      <c r="C299" s="4"/>
      <c r="F299" s="4"/>
      <c r="I299" s="105"/>
    </row>
    <row r="300" ht="14.25" customHeight="1">
      <c r="B300" s="104"/>
      <c r="C300" s="4"/>
      <c r="F300" s="4"/>
      <c r="I300" s="105"/>
    </row>
    <row r="301" ht="14.25" customHeight="1">
      <c r="B301" s="104"/>
      <c r="C301" s="4"/>
      <c r="F301" s="4"/>
      <c r="I301" s="105"/>
    </row>
    <row r="302" ht="14.25" customHeight="1">
      <c r="B302" s="104"/>
      <c r="C302" s="4"/>
      <c r="F302" s="4"/>
      <c r="I302" s="105"/>
    </row>
    <row r="303" ht="14.25" customHeight="1">
      <c r="B303" s="104"/>
      <c r="C303" s="4"/>
      <c r="F303" s="4"/>
      <c r="I303" s="105"/>
    </row>
    <row r="304" ht="14.25" customHeight="1">
      <c r="B304" s="104"/>
      <c r="C304" s="4"/>
      <c r="F304" s="4"/>
      <c r="I304" s="105"/>
    </row>
    <row r="305" ht="14.25" customHeight="1">
      <c r="B305" s="104"/>
      <c r="C305" s="4"/>
      <c r="F305" s="4"/>
      <c r="I305" s="105"/>
    </row>
    <row r="306" ht="14.25" customHeight="1">
      <c r="B306" s="104"/>
      <c r="C306" s="4"/>
      <c r="F306" s="4"/>
      <c r="I306" s="105"/>
    </row>
    <row r="307" ht="14.25" customHeight="1">
      <c r="B307" s="104"/>
      <c r="C307" s="4"/>
      <c r="F307" s="4"/>
      <c r="I307" s="105"/>
    </row>
    <row r="308" ht="14.25" customHeight="1">
      <c r="B308" s="104"/>
      <c r="C308" s="4"/>
      <c r="F308" s="4"/>
      <c r="I308" s="105"/>
    </row>
    <row r="309" ht="14.25" customHeight="1">
      <c r="B309" s="104"/>
      <c r="C309" s="4"/>
      <c r="F309" s="4"/>
      <c r="I309" s="105"/>
    </row>
    <row r="310" ht="14.25" customHeight="1">
      <c r="B310" s="104"/>
      <c r="C310" s="4"/>
      <c r="F310" s="4"/>
      <c r="I310" s="105"/>
    </row>
    <row r="311" ht="14.25" customHeight="1">
      <c r="B311" s="104"/>
      <c r="C311" s="4"/>
      <c r="F311" s="4"/>
      <c r="I311" s="105"/>
    </row>
    <row r="312" ht="14.25" customHeight="1">
      <c r="B312" s="104"/>
      <c r="C312" s="4"/>
      <c r="F312" s="4"/>
      <c r="I312" s="105"/>
    </row>
    <row r="313" ht="14.25" customHeight="1">
      <c r="B313" s="104"/>
      <c r="C313" s="4"/>
      <c r="F313" s="4"/>
      <c r="I313" s="105"/>
    </row>
    <row r="314" ht="14.25" customHeight="1">
      <c r="B314" s="104"/>
      <c r="C314" s="4"/>
      <c r="F314" s="4"/>
      <c r="I314" s="105"/>
    </row>
    <row r="315" ht="14.25" customHeight="1">
      <c r="B315" s="104"/>
      <c r="C315" s="4"/>
      <c r="F315" s="4"/>
      <c r="I315" s="105"/>
    </row>
    <row r="316" ht="14.25" customHeight="1">
      <c r="B316" s="104"/>
      <c r="C316" s="4"/>
      <c r="F316" s="4"/>
      <c r="I316" s="105"/>
    </row>
    <row r="317" ht="14.25" customHeight="1">
      <c r="B317" s="104"/>
      <c r="C317" s="4"/>
      <c r="F317" s="4"/>
      <c r="I317" s="105"/>
    </row>
    <row r="318" ht="14.25" customHeight="1">
      <c r="B318" s="104"/>
      <c r="C318" s="4"/>
      <c r="F318" s="4"/>
      <c r="I318" s="105"/>
    </row>
    <row r="319" ht="14.25" customHeight="1">
      <c r="B319" s="104"/>
      <c r="C319" s="4"/>
      <c r="F319" s="4"/>
      <c r="I319" s="105"/>
    </row>
    <row r="320" ht="14.25" customHeight="1">
      <c r="B320" s="104"/>
      <c r="C320" s="4"/>
      <c r="F320" s="4"/>
      <c r="I320" s="105"/>
    </row>
    <row r="321" ht="14.25" customHeight="1">
      <c r="B321" s="104"/>
      <c r="C321" s="4"/>
      <c r="F321" s="4"/>
      <c r="I321" s="105"/>
    </row>
    <row r="322" ht="14.25" customHeight="1">
      <c r="B322" s="104"/>
      <c r="C322" s="4"/>
      <c r="F322" s="4"/>
      <c r="I322" s="105"/>
    </row>
    <row r="323" ht="14.25" customHeight="1">
      <c r="B323" s="104"/>
      <c r="C323" s="4"/>
      <c r="F323" s="4"/>
      <c r="I323" s="105"/>
    </row>
    <row r="324" ht="14.25" customHeight="1">
      <c r="B324" s="104"/>
      <c r="C324" s="4"/>
      <c r="F324" s="4"/>
      <c r="I324" s="105"/>
    </row>
    <row r="325" ht="14.25" customHeight="1">
      <c r="B325" s="104"/>
      <c r="C325" s="4"/>
      <c r="F325" s="4"/>
      <c r="I325" s="105"/>
    </row>
    <row r="326" ht="14.25" customHeight="1">
      <c r="B326" s="104"/>
      <c r="C326" s="4"/>
      <c r="F326" s="4"/>
      <c r="I326" s="105"/>
    </row>
    <row r="327" ht="14.25" customHeight="1">
      <c r="B327" s="104"/>
      <c r="C327" s="4"/>
      <c r="F327" s="4"/>
      <c r="I327" s="105"/>
    </row>
    <row r="328" ht="14.25" customHeight="1">
      <c r="B328" s="104"/>
      <c r="C328" s="4"/>
      <c r="F328" s="4"/>
      <c r="I328" s="105"/>
    </row>
    <row r="329" ht="14.25" customHeight="1">
      <c r="B329" s="104"/>
      <c r="C329" s="4"/>
      <c r="F329" s="4"/>
      <c r="I329" s="105"/>
    </row>
    <row r="330" ht="14.25" customHeight="1">
      <c r="B330" s="104"/>
      <c r="C330" s="4"/>
      <c r="F330" s="4"/>
      <c r="I330" s="105"/>
    </row>
    <row r="331" ht="14.25" customHeight="1">
      <c r="B331" s="104"/>
      <c r="C331" s="4"/>
      <c r="F331" s="4"/>
      <c r="I331" s="105"/>
    </row>
    <row r="332" ht="14.25" customHeight="1">
      <c r="B332" s="104"/>
      <c r="C332" s="4"/>
      <c r="F332" s="4"/>
      <c r="I332" s="105"/>
    </row>
    <row r="333" ht="14.25" customHeight="1">
      <c r="B333" s="104"/>
      <c r="C333" s="4"/>
      <c r="F333" s="4"/>
      <c r="I333" s="105"/>
    </row>
    <row r="334" ht="14.25" customHeight="1">
      <c r="B334" s="104"/>
      <c r="C334" s="4"/>
      <c r="F334" s="4"/>
      <c r="I334" s="105"/>
    </row>
    <row r="335" ht="14.25" customHeight="1">
      <c r="B335" s="104"/>
      <c r="C335" s="4"/>
      <c r="F335" s="4"/>
      <c r="I335" s="105"/>
    </row>
    <row r="336" ht="14.25" customHeight="1">
      <c r="B336" s="104"/>
      <c r="C336" s="4"/>
      <c r="F336" s="4"/>
      <c r="I336" s="105"/>
    </row>
    <row r="337" ht="14.25" customHeight="1">
      <c r="B337" s="104"/>
      <c r="C337" s="4"/>
      <c r="F337" s="4"/>
      <c r="I337" s="105"/>
    </row>
    <row r="338" ht="14.25" customHeight="1">
      <c r="B338" s="104"/>
      <c r="C338" s="4"/>
      <c r="F338" s="4"/>
      <c r="I338" s="105"/>
    </row>
    <row r="339" ht="14.25" customHeight="1">
      <c r="B339" s="104"/>
      <c r="C339" s="4"/>
      <c r="F339" s="4"/>
      <c r="I339" s="105"/>
    </row>
    <row r="340" ht="14.25" customHeight="1">
      <c r="B340" s="104"/>
      <c r="C340" s="4"/>
      <c r="F340" s="4"/>
      <c r="I340" s="105"/>
    </row>
    <row r="341" ht="14.25" customHeight="1">
      <c r="B341" s="104"/>
      <c r="C341" s="4"/>
      <c r="F341" s="4"/>
      <c r="I341" s="105"/>
    </row>
    <row r="342" ht="14.25" customHeight="1">
      <c r="B342" s="104"/>
      <c r="C342" s="4"/>
      <c r="F342" s="4"/>
      <c r="I342" s="105"/>
    </row>
    <row r="343" ht="14.25" customHeight="1">
      <c r="B343" s="104"/>
      <c r="C343" s="4"/>
      <c r="F343" s="4"/>
      <c r="I343" s="105"/>
    </row>
    <row r="344" ht="14.25" customHeight="1">
      <c r="B344" s="104"/>
      <c r="C344" s="4"/>
      <c r="F344" s="4"/>
      <c r="I344" s="105"/>
    </row>
    <row r="345" ht="14.25" customHeight="1">
      <c r="B345" s="104"/>
      <c r="C345" s="4"/>
      <c r="F345" s="4"/>
      <c r="I345" s="105"/>
    </row>
    <row r="346" ht="14.25" customHeight="1">
      <c r="B346" s="104"/>
      <c r="C346" s="4"/>
      <c r="F346" s="4"/>
      <c r="I346" s="105"/>
    </row>
    <row r="347" ht="14.25" customHeight="1">
      <c r="B347" s="104"/>
      <c r="C347" s="4"/>
      <c r="F347" s="4"/>
      <c r="I347" s="105"/>
    </row>
    <row r="348" ht="14.25" customHeight="1">
      <c r="B348" s="104"/>
      <c r="C348" s="4"/>
      <c r="F348" s="4"/>
      <c r="I348" s="105"/>
    </row>
    <row r="349" ht="14.25" customHeight="1">
      <c r="B349" s="104"/>
      <c r="C349" s="4"/>
      <c r="F349" s="4"/>
      <c r="I349" s="105"/>
    </row>
    <row r="350" ht="14.25" customHeight="1">
      <c r="B350" s="104"/>
      <c r="C350" s="4"/>
      <c r="F350" s="4"/>
      <c r="I350" s="105"/>
    </row>
    <row r="351" ht="14.25" customHeight="1">
      <c r="B351" s="104"/>
      <c r="C351" s="4"/>
      <c r="F351" s="4"/>
      <c r="I351" s="105"/>
    </row>
    <row r="352" ht="14.25" customHeight="1">
      <c r="B352" s="104"/>
      <c r="C352" s="4"/>
      <c r="F352" s="4"/>
      <c r="I352" s="105"/>
    </row>
    <row r="353" ht="14.25" customHeight="1">
      <c r="B353" s="104"/>
      <c r="C353" s="4"/>
      <c r="F353" s="4"/>
      <c r="I353" s="105"/>
    </row>
    <row r="354" ht="14.25" customHeight="1">
      <c r="B354" s="104"/>
      <c r="C354" s="4"/>
      <c r="F354" s="4"/>
      <c r="I354" s="105"/>
    </row>
    <row r="355" ht="14.25" customHeight="1">
      <c r="B355" s="104"/>
      <c r="C355" s="4"/>
      <c r="F355" s="4"/>
      <c r="I355" s="105"/>
    </row>
    <row r="356" ht="14.25" customHeight="1">
      <c r="B356" s="104"/>
      <c r="C356" s="4"/>
      <c r="F356" s="4"/>
      <c r="I356" s="105"/>
    </row>
    <row r="357" ht="14.25" customHeight="1">
      <c r="B357" s="104"/>
      <c r="C357" s="4"/>
      <c r="F357" s="4"/>
      <c r="I357" s="105"/>
    </row>
    <row r="358" ht="14.25" customHeight="1">
      <c r="B358" s="104"/>
      <c r="C358" s="4"/>
      <c r="F358" s="4"/>
      <c r="I358" s="105"/>
    </row>
    <row r="359" ht="14.25" customHeight="1">
      <c r="B359" s="104"/>
      <c r="C359" s="4"/>
      <c r="F359" s="4"/>
      <c r="I359" s="105"/>
    </row>
    <row r="360" ht="14.25" customHeight="1">
      <c r="B360" s="104"/>
      <c r="C360" s="4"/>
      <c r="F360" s="4"/>
      <c r="I360" s="105"/>
    </row>
    <row r="361" ht="14.25" customHeight="1">
      <c r="B361" s="104"/>
      <c r="C361" s="4"/>
      <c r="F361" s="4"/>
      <c r="I361" s="105"/>
    </row>
    <row r="362" ht="14.25" customHeight="1">
      <c r="B362" s="104"/>
      <c r="C362" s="4"/>
      <c r="F362" s="4"/>
      <c r="I362" s="105"/>
    </row>
    <row r="363" ht="14.25" customHeight="1">
      <c r="B363" s="104"/>
      <c r="C363" s="4"/>
      <c r="F363" s="4"/>
      <c r="I363" s="105"/>
    </row>
    <row r="364" ht="14.25" customHeight="1">
      <c r="B364" s="104"/>
      <c r="C364" s="4"/>
      <c r="F364" s="4"/>
      <c r="I364" s="105"/>
    </row>
    <row r="365" ht="14.25" customHeight="1">
      <c r="B365" s="104"/>
      <c r="C365" s="4"/>
      <c r="F365" s="4"/>
      <c r="I365" s="105"/>
    </row>
    <row r="366" ht="14.25" customHeight="1">
      <c r="B366" s="104"/>
      <c r="C366" s="4"/>
      <c r="F366" s="4"/>
      <c r="I366" s="105"/>
    </row>
    <row r="367" ht="14.25" customHeight="1">
      <c r="B367" s="104"/>
      <c r="C367" s="4"/>
      <c r="F367" s="4"/>
      <c r="I367" s="105"/>
    </row>
    <row r="368" ht="14.25" customHeight="1">
      <c r="B368" s="104"/>
      <c r="C368" s="4"/>
      <c r="F368" s="4"/>
      <c r="I368" s="105"/>
    </row>
    <row r="369" ht="14.25" customHeight="1">
      <c r="B369" s="104"/>
      <c r="C369" s="4"/>
      <c r="F369" s="4"/>
      <c r="I369" s="105"/>
    </row>
    <row r="370" ht="14.25" customHeight="1">
      <c r="B370" s="104"/>
      <c r="C370" s="4"/>
      <c r="F370" s="4"/>
      <c r="I370" s="105"/>
    </row>
    <row r="371" ht="14.25" customHeight="1">
      <c r="B371" s="104"/>
      <c r="C371" s="4"/>
      <c r="F371" s="4"/>
      <c r="I371" s="105"/>
    </row>
    <row r="372" ht="14.25" customHeight="1">
      <c r="B372" s="104"/>
      <c r="C372" s="4"/>
      <c r="F372" s="4"/>
      <c r="I372" s="105"/>
    </row>
    <row r="373" ht="14.25" customHeight="1">
      <c r="B373" s="104"/>
      <c r="C373" s="4"/>
      <c r="F373" s="4"/>
      <c r="I373" s="105"/>
    </row>
    <row r="374" ht="14.25" customHeight="1">
      <c r="B374" s="104"/>
      <c r="C374" s="4"/>
      <c r="F374" s="4"/>
      <c r="I374" s="105"/>
    </row>
    <row r="375" ht="14.25" customHeight="1">
      <c r="B375" s="104"/>
      <c r="C375" s="4"/>
      <c r="F375" s="4"/>
      <c r="I375" s="105"/>
    </row>
    <row r="376" ht="14.25" customHeight="1">
      <c r="B376" s="104"/>
      <c r="C376" s="4"/>
      <c r="F376" s="4"/>
      <c r="I376" s="105"/>
    </row>
    <row r="377" ht="14.25" customHeight="1">
      <c r="B377" s="104"/>
      <c r="C377" s="4"/>
      <c r="F377" s="4"/>
      <c r="I377" s="105"/>
    </row>
    <row r="378" ht="14.25" customHeight="1">
      <c r="B378" s="104"/>
      <c r="C378" s="4"/>
      <c r="F378" s="4"/>
      <c r="I378" s="105"/>
    </row>
    <row r="379" ht="14.25" customHeight="1">
      <c r="B379" s="104"/>
      <c r="C379" s="4"/>
      <c r="F379" s="4"/>
      <c r="I379" s="105"/>
    </row>
    <row r="380" ht="14.25" customHeight="1">
      <c r="B380" s="104"/>
      <c r="C380" s="4"/>
      <c r="F380" s="4"/>
      <c r="I380" s="105"/>
    </row>
    <row r="381" ht="14.25" customHeight="1">
      <c r="B381" s="104"/>
      <c r="C381" s="4"/>
      <c r="F381" s="4"/>
      <c r="I381" s="105"/>
    </row>
    <row r="382" ht="14.25" customHeight="1">
      <c r="B382" s="104"/>
      <c r="C382" s="4"/>
      <c r="F382" s="4"/>
      <c r="I382" s="105"/>
    </row>
    <row r="383" ht="14.25" customHeight="1">
      <c r="B383" s="104"/>
      <c r="C383" s="4"/>
      <c r="F383" s="4"/>
      <c r="I383" s="105"/>
    </row>
    <row r="384" ht="14.25" customHeight="1">
      <c r="B384" s="104"/>
      <c r="C384" s="4"/>
      <c r="F384" s="4"/>
      <c r="I384" s="105"/>
    </row>
    <row r="385" ht="14.25" customHeight="1">
      <c r="B385" s="104"/>
      <c r="C385" s="4"/>
      <c r="F385" s="4"/>
      <c r="I385" s="105"/>
    </row>
    <row r="386" ht="14.25" customHeight="1">
      <c r="B386" s="104"/>
      <c r="C386" s="4"/>
      <c r="F386" s="4"/>
      <c r="I386" s="105"/>
    </row>
    <row r="387" ht="14.25" customHeight="1">
      <c r="B387" s="104"/>
      <c r="C387" s="4"/>
      <c r="F387" s="4"/>
      <c r="I387" s="105"/>
    </row>
    <row r="388" ht="14.25" customHeight="1">
      <c r="B388" s="104"/>
      <c r="C388" s="4"/>
      <c r="F388" s="4"/>
      <c r="I388" s="105"/>
    </row>
    <row r="389" ht="14.25" customHeight="1">
      <c r="B389" s="104"/>
      <c r="C389" s="4"/>
      <c r="F389" s="4"/>
      <c r="I389" s="105"/>
    </row>
    <row r="390" ht="14.25" customHeight="1">
      <c r="B390" s="104"/>
      <c r="C390" s="4"/>
      <c r="F390" s="4"/>
      <c r="I390" s="105"/>
    </row>
    <row r="391" ht="14.25" customHeight="1">
      <c r="B391" s="104"/>
      <c r="C391" s="4"/>
      <c r="F391" s="4"/>
      <c r="I391" s="105"/>
    </row>
    <row r="392" ht="14.25" customHeight="1">
      <c r="B392" s="104"/>
      <c r="C392" s="4"/>
      <c r="F392" s="4"/>
      <c r="I392" s="105"/>
    </row>
    <row r="393" ht="14.25" customHeight="1">
      <c r="B393" s="104"/>
      <c r="C393" s="4"/>
      <c r="F393" s="4"/>
      <c r="I393" s="105"/>
    </row>
    <row r="394" ht="14.25" customHeight="1">
      <c r="B394" s="104"/>
      <c r="C394" s="4"/>
      <c r="F394" s="4"/>
      <c r="I394" s="105"/>
    </row>
    <row r="395" ht="14.25" customHeight="1">
      <c r="B395" s="104"/>
      <c r="C395" s="4"/>
      <c r="F395" s="4"/>
      <c r="I395" s="105"/>
    </row>
    <row r="396" ht="14.25" customHeight="1">
      <c r="B396" s="104"/>
      <c r="C396" s="4"/>
      <c r="F396" s="4"/>
      <c r="I396" s="105"/>
    </row>
    <row r="397" ht="14.25" customHeight="1">
      <c r="B397" s="104"/>
      <c r="C397" s="4"/>
      <c r="F397" s="4"/>
      <c r="I397" s="105"/>
    </row>
    <row r="398" ht="14.25" customHeight="1">
      <c r="B398" s="104"/>
      <c r="C398" s="4"/>
      <c r="F398" s="4"/>
      <c r="I398" s="105"/>
    </row>
    <row r="399" ht="14.25" customHeight="1">
      <c r="B399" s="104"/>
      <c r="C399" s="4"/>
      <c r="F399" s="4"/>
      <c r="I399" s="105"/>
    </row>
    <row r="400" ht="14.25" customHeight="1">
      <c r="B400" s="104"/>
      <c r="C400" s="4"/>
      <c r="F400" s="4"/>
      <c r="I400" s="105"/>
    </row>
    <row r="401" ht="14.25" customHeight="1">
      <c r="B401" s="104"/>
      <c r="C401" s="4"/>
      <c r="F401" s="4"/>
      <c r="I401" s="105"/>
    </row>
    <row r="402" ht="14.25" customHeight="1">
      <c r="B402" s="104"/>
      <c r="C402" s="4"/>
      <c r="F402" s="4"/>
      <c r="I402" s="105"/>
    </row>
    <row r="403" ht="14.25" customHeight="1">
      <c r="B403" s="104"/>
      <c r="C403" s="4"/>
      <c r="F403" s="4"/>
      <c r="I403" s="105"/>
    </row>
    <row r="404" ht="14.25" customHeight="1">
      <c r="B404" s="104"/>
      <c r="C404" s="4"/>
      <c r="F404" s="4"/>
      <c r="I404" s="105"/>
    </row>
    <row r="405" ht="14.25" customHeight="1">
      <c r="B405" s="104"/>
      <c r="C405" s="4"/>
      <c r="F405" s="4"/>
      <c r="I405" s="105"/>
    </row>
    <row r="406" ht="14.25" customHeight="1">
      <c r="B406" s="104"/>
      <c r="C406" s="4"/>
      <c r="F406" s="4"/>
      <c r="I406" s="105"/>
    </row>
    <row r="407" ht="14.25" customHeight="1">
      <c r="B407" s="104"/>
      <c r="C407" s="4"/>
      <c r="F407" s="4"/>
      <c r="I407" s="105"/>
    </row>
    <row r="408" ht="14.25" customHeight="1">
      <c r="B408" s="104"/>
      <c r="C408" s="4"/>
      <c r="F408" s="4"/>
      <c r="I408" s="105"/>
    </row>
    <row r="409" ht="14.25" customHeight="1">
      <c r="B409" s="104"/>
      <c r="C409" s="4"/>
      <c r="F409" s="4"/>
      <c r="I409" s="105"/>
    </row>
    <row r="410" ht="14.25" customHeight="1">
      <c r="B410" s="104"/>
      <c r="C410" s="4"/>
      <c r="F410" s="4"/>
      <c r="I410" s="105"/>
    </row>
    <row r="411" ht="14.25" customHeight="1">
      <c r="B411" s="104"/>
      <c r="C411" s="4"/>
      <c r="F411" s="4"/>
      <c r="I411" s="105"/>
    </row>
    <row r="412" ht="14.25" customHeight="1">
      <c r="B412" s="104"/>
      <c r="C412" s="4"/>
      <c r="F412" s="4"/>
      <c r="I412" s="105"/>
    </row>
    <row r="413" ht="14.25" customHeight="1">
      <c r="B413" s="104"/>
      <c r="C413" s="4"/>
      <c r="F413" s="4"/>
      <c r="I413" s="105"/>
    </row>
    <row r="414" ht="14.25" customHeight="1">
      <c r="B414" s="104"/>
      <c r="C414" s="4"/>
      <c r="F414" s="4"/>
      <c r="I414" s="105"/>
    </row>
    <row r="415" ht="14.25" customHeight="1">
      <c r="B415" s="104"/>
      <c r="C415" s="4"/>
      <c r="F415" s="4"/>
      <c r="I415" s="105"/>
    </row>
    <row r="416" ht="14.25" customHeight="1">
      <c r="B416" s="104"/>
      <c r="C416" s="4"/>
      <c r="F416" s="4"/>
      <c r="I416" s="105"/>
    </row>
    <row r="417" ht="14.25" customHeight="1">
      <c r="B417" s="104"/>
      <c r="C417" s="4"/>
      <c r="F417" s="4"/>
      <c r="I417" s="105"/>
    </row>
    <row r="418" ht="14.25" customHeight="1">
      <c r="B418" s="104"/>
      <c r="C418" s="4"/>
      <c r="F418" s="4"/>
      <c r="I418" s="105"/>
    </row>
    <row r="419" ht="14.25" customHeight="1">
      <c r="B419" s="104"/>
      <c r="C419" s="4"/>
      <c r="F419" s="4"/>
      <c r="I419" s="105"/>
    </row>
    <row r="420" ht="14.25" customHeight="1">
      <c r="B420" s="104"/>
      <c r="C420" s="4"/>
      <c r="F420" s="4"/>
      <c r="I420" s="105"/>
    </row>
    <row r="421" ht="14.25" customHeight="1">
      <c r="B421" s="104"/>
      <c r="C421" s="4"/>
      <c r="F421" s="4"/>
      <c r="I421" s="105"/>
    </row>
    <row r="422" ht="14.25" customHeight="1">
      <c r="B422" s="104"/>
      <c r="C422" s="4"/>
      <c r="F422" s="4"/>
      <c r="I422" s="105"/>
    </row>
    <row r="423" ht="14.25" customHeight="1">
      <c r="B423" s="104"/>
      <c r="C423" s="4"/>
      <c r="F423" s="4"/>
      <c r="I423" s="105"/>
    </row>
    <row r="424" ht="14.25" customHeight="1">
      <c r="B424" s="104"/>
      <c r="C424" s="4"/>
      <c r="F424" s="4"/>
      <c r="I424" s="105"/>
    </row>
    <row r="425" ht="14.25" customHeight="1">
      <c r="B425" s="104"/>
      <c r="C425" s="4"/>
      <c r="F425" s="4"/>
      <c r="I425" s="105"/>
    </row>
    <row r="426" ht="14.25" customHeight="1">
      <c r="B426" s="104"/>
      <c r="C426" s="4"/>
      <c r="F426" s="4"/>
      <c r="I426" s="105"/>
    </row>
    <row r="427" ht="14.25" customHeight="1">
      <c r="B427" s="104"/>
      <c r="C427" s="4"/>
      <c r="F427" s="4"/>
      <c r="I427" s="105"/>
    </row>
    <row r="428" ht="14.25" customHeight="1">
      <c r="B428" s="104"/>
      <c r="C428" s="4"/>
      <c r="F428" s="4"/>
      <c r="I428" s="105"/>
    </row>
    <row r="429" ht="14.25" customHeight="1">
      <c r="B429" s="104"/>
      <c r="C429" s="4"/>
      <c r="F429" s="4"/>
      <c r="I429" s="105"/>
    </row>
    <row r="430" ht="14.25" customHeight="1">
      <c r="B430" s="104"/>
      <c r="C430" s="4"/>
      <c r="F430" s="4"/>
      <c r="I430" s="105"/>
    </row>
    <row r="431" ht="14.25" customHeight="1">
      <c r="B431" s="104"/>
      <c r="C431" s="4"/>
      <c r="F431" s="4"/>
      <c r="I431" s="105"/>
    </row>
    <row r="432" ht="14.25" customHeight="1">
      <c r="B432" s="104"/>
      <c r="C432" s="4"/>
      <c r="F432" s="4"/>
      <c r="I432" s="105"/>
    </row>
    <row r="433" ht="14.25" customHeight="1">
      <c r="B433" s="104"/>
      <c r="C433" s="4"/>
      <c r="F433" s="4"/>
      <c r="I433" s="105"/>
    </row>
    <row r="434" ht="14.25" customHeight="1">
      <c r="B434" s="104"/>
      <c r="C434" s="4"/>
      <c r="F434" s="4"/>
      <c r="I434" s="105"/>
    </row>
    <row r="435" ht="14.25" customHeight="1">
      <c r="B435" s="104"/>
      <c r="C435" s="4"/>
      <c r="F435" s="4"/>
      <c r="I435" s="105"/>
    </row>
    <row r="436" ht="14.25" customHeight="1">
      <c r="B436" s="104"/>
      <c r="C436" s="4"/>
      <c r="F436" s="4"/>
      <c r="I436" s="105"/>
    </row>
    <row r="437" ht="14.25" customHeight="1">
      <c r="B437" s="104"/>
      <c r="C437" s="4"/>
      <c r="F437" s="4"/>
      <c r="I437" s="105"/>
    </row>
    <row r="438" ht="14.25" customHeight="1">
      <c r="B438" s="104"/>
      <c r="C438" s="4"/>
      <c r="F438" s="4"/>
      <c r="I438" s="105"/>
    </row>
    <row r="439" ht="14.25" customHeight="1">
      <c r="B439" s="104"/>
      <c r="C439" s="4"/>
      <c r="F439" s="4"/>
      <c r="I439" s="105"/>
    </row>
    <row r="440" ht="14.25" customHeight="1">
      <c r="B440" s="104"/>
      <c r="C440" s="4"/>
      <c r="F440" s="4"/>
      <c r="I440" s="105"/>
    </row>
    <row r="441" ht="14.25" customHeight="1">
      <c r="B441" s="104"/>
      <c r="C441" s="4"/>
      <c r="F441" s="4"/>
      <c r="I441" s="105"/>
    </row>
    <row r="442" ht="14.25" customHeight="1">
      <c r="B442" s="104"/>
      <c r="C442" s="4"/>
      <c r="F442" s="4"/>
      <c r="I442" s="105"/>
    </row>
    <row r="443" ht="14.25" customHeight="1">
      <c r="B443" s="104"/>
      <c r="C443" s="4"/>
      <c r="F443" s="4"/>
      <c r="I443" s="105"/>
    </row>
    <row r="444" ht="14.25" customHeight="1">
      <c r="B444" s="104"/>
      <c r="C444" s="4"/>
      <c r="F444" s="4"/>
      <c r="I444" s="105"/>
    </row>
    <row r="445" ht="14.25" customHeight="1">
      <c r="B445" s="104"/>
      <c r="C445" s="4"/>
      <c r="F445" s="4"/>
      <c r="I445" s="105"/>
    </row>
    <row r="446" ht="14.25" customHeight="1">
      <c r="B446" s="104"/>
      <c r="C446" s="4"/>
      <c r="F446" s="4"/>
      <c r="I446" s="105"/>
    </row>
    <row r="447" ht="14.25" customHeight="1">
      <c r="B447" s="104"/>
      <c r="C447" s="4"/>
      <c r="F447" s="4"/>
      <c r="I447" s="105"/>
    </row>
    <row r="448" ht="14.25" customHeight="1">
      <c r="B448" s="104"/>
      <c r="C448" s="4"/>
      <c r="F448" s="4"/>
      <c r="I448" s="105"/>
    </row>
    <row r="449" ht="14.25" customHeight="1">
      <c r="B449" s="104"/>
      <c r="C449" s="4"/>
      <c r="F449" s="4"/>
      <c r="I449" s="105"/>
    </row>
    <row r="450" ht="14.25" customHeight="1">
      <c r="B450" s="104"/>
      <c r="C450" s="4"/>
      <c r="F450" s="4"/>
      <c r="I450" s="105"/>
    </row>
    <row r="451" ht="14.25" customHeight="1">
      <c r="B451" s="104"/>
      <c r="C451" s="4"/>
      <c r="F451" s="4"/>
      <c r="I451" s="105"/>
    </row>
    <row r="452" ht="14.25" customHeight="1">
      <c r="B452" s="104"/>
      <c r="C452" s="4"/>
      <c r="F452" s="4"/>
      <c r="I452" s="105"/>
    </row>
    <row r="453" ht="14.25" customHeight="1">
      <c r="B453" s="104"/>
      <c r="C453" s="4"/>
      <c r="F453" s="4"/>
      <c r="I453" s="105"/>
    </row>
    <row r="454" ht="14.25" customHeight="1">
      <c r="B454" s="104"/>
      <c r="C454" s="4"/>
      <c r="F454" s="4"/>
      <c r="I454" s="105"/>
    </row>
    <row r="455" ht="14.25" customHeight="1">
      <c r="B455" s="104"/>
      <c r="C455" s="4"/>
      <c r="F455" s="4"/>
      <c r="I455" s="105"/>
    </row>
    <row r="456" ht="14.25" customHeight="1">
      <c r="B456" s="104"/>
      <c r="C456" s="4"/>
      <c r="F456" s="4"/>
      <c r="I456" s="105"/>
    </row>
    <row r="457" ht="14.25" customHeight="1">
      <c r="B457" s="104"/>
      <c r="C457" s="4"/>
      <c r="F457" s="4"/>
      <c r="I457" s="105"/>
    </row>
    <row r="458" ht="14.25" customHeight="1">
      <c r="B458" s="104"/>
      <c r="C458" s="4"/>
      <c r="F458" s="4"/>
      <c r="I458" s="105"/>
    </row>
    <row r="459" ht="14.25" customHeight="1">
      <c r="B459" s="104"/>
      <c r="C459" s="4"/>
      <c r="F459" s="4"/>
      <c r="I459" s="105"/>
    </row>
    <row r="460" ht="14.25" customHeight="1">
      <c r="B460" s="104"/>
      <c r="C460" s="4"/>
      <c r="F460" s="4"/>
      <c r="I460" s="105"/>
    </row>
    <row r="461" ht="14.25" customHeight="1">
      <c r="B461" s="104"/>
      <c r="C461" s="4"/>
      <c r="F461" s="4"/>
      <c r="I461" s="105"/>
    </row>
    <row r="462" ht="14.25" customHeight="1">
      <c r="B462" s="104"/>
      <c r="C462" s="4"/>
      <c r="F462" s="4"/>
      <c r="I462" s="105"/>
    </row>
    <row r="463" ht="14.25" customHeight="1">
      <c r="B463" s="104"/>
      <c r="C463" s="4"/>
      <c r="F463" s="4"/>
      <c r="I463" s="105"/>
    </row>
    <row r="464" ht="14.25" customHeight="1">
      <c r="B464" s="104"/>
      <c r="C464" s="4"/>
      <c r="F464" s="4"/>
      <c r="I464" s="105"/>
    </row>
    <row r="465" ht="14.25" customHeight="1">
      <c r="B465" s="104"/>
      <c r="C465" s="4"/>
      <c r="F465" s="4"/>
      <c r="I465" s="105"/>
    </row>
    <row r="466" ht="14.25" customHeight="1">
      <c r="B466" s="104"/>
      <c r="C466" s="4"/>
      <c r="F466" s="4"/>
      <c r="I466" s="105"/>
    </row>
    <row r="467" ht="14.25" customHeight="1">
      <c r="B467" s="104"/>
      <c r="C467" s="4"/>
      <c r="F467" s="4"/>
      <c r="I467" s="105"/>
    </row>
    <row r="468" ht="14.25" customHeight="1">
      <c r="B468" s="104"/>
      <c r="C468" s="4"/>
      <c r="F468" s="4"/>
      <c r="I468" s="105"/>
    </row>
    <row r="469" ht="14.25" customHeight="1">
      <c r="B469" s="104"/>
      <c r="C469" s="4"/>
      <c r="F469" s="4"/>
      <c r="I469" s="105"/>
    </row>
    <row r="470" ht="14.25" customHeight="1">
      <c r="B470" s="104"/>
      <c r="C470" s="4"/>
      <c r="F470" s="4"/>
      <c r="I470" s="105"/>
    </row>
    <row r="471" ht="14.25" customHeight="1">
      <c r="B471" s="104"/>
      <c r="C471" s="4"/>
      <c r="F471" s="4"/>
      <c r="I471" s="105"/>
    </row>
    <row r="472" ht="14.25" customHeight="1">
      <c r="B472" s="104"/>
      <c r="C472" s="4"/>
      <c r="F472" s="4"/>
      <c r="I472" s="105"/>
    </row>
    <row r="473" ht="14.25" customHeight="1">
      <c r="B473" s="104"/>
      <c r="C473" s="4"/>
      <c r="F473" s="4"/>
      <c r="I473" s="105"/>
    </row>
    <row r="474" ht="14.25" customHeight="1">
      <c r="B474" s="104"/>
      <c r="C474" s="4"/>
      <c r="F474" s="4"/>
      <c r="I474" s="105"/>
    </row>
    <row r="475" ht="14.25" customHeight="1">
      <c r="B475" s="104"/>
      <c r="C475" s="4"/>
      <c r="F475" s="4"/>
      <c r="I475" s="105"/>
    </row>
    <row r="476" ht="14.25" customHeight="1">
      <c r="B476" s="104"/>
      <c r="C476" s="4"/>
      <c r="F476" s="4"/>
      <c r="I476" s="105"/>
    </row>
    <row r="477" ht="14.25" customHeight="1">
      <c r="B477" s="104"/>
      <c r="C477" s="4"/>
      <c r="F477" s="4"/>
      <c r="I477" s="105"/>
    </row>
    <row r="478" ht="14.25" customHeight="1">
      <c r="B478" s="104"/>
      <c r="C478" s="4"/>
      <c r="F478" s="4"/>
      <c r="I478" s="105"/>
    </row>
    <row r="479" ht="14.25" customHeight="1">
      <c r="B479" s="104"/>
      <c r="C479" s="4"/>
      <c r="F479" s="4"/>
      <c r="I479" s="105"/>
    </row>
    <row r="480" ht="14.25" customHeight="1">
      <c r="B480" s="104"/>
      <c r="C480" s="4"/>
      <c r="F480" s="4"/>
      <c r="I480" s="105"/>
    </row>
    <row r="481" ht="14.25" customHeight="1">
      <c r="B481" s="104"/>
      <c r="C481" s="4"/>
      <c r="F481" s="4"/>
      <c r="I481" s="105"/>
    </row>
    <row r="482" ht="14.25" customHeight="1">
      <c r="B482" s="104"/>
      <c r="C482" s="4"/>
      <c r="F482" s="4"/>
      <c r="I482" s="105"/>
    </row>
    <row r="483" ht="14.25" customHeight="1">
      <c r="B483" s="104"/>
      <c r="C483" s="4"/>
      <c r="F483" s="4"/>
      <c r="I483" s="105"/>
    </row>
    <row r="484" ht="14.25" customHeight="1">
      <c r="B484" s="104"/>
      <c r="C484" s="4"/>
      <c r="F484" s="4"/>
      <c r="I484" s="105"/>
    </row>
    <row r="485" ht="14.25" customHeight="1">
      <c r="B485" s="104"/>
      <c r="C485" s="4"/>
      <c r="F485" s="4"/>
      <c r="I485" s="105"/>
    </row>
    <row r="486" ht="14.25" customHeight="1">
      <c r="B486" s="104"/>
      <c r="C486" s="4"/>
      <c r="F486" s="4"/>
      <c r="I486" s="105"/>
    </row>
    <row r="487" ht="14.25" customHeight="1">
      <c r="B487" s="104"/>
      <c r="C487" s="4"/>
      <c r="F487" s="4"/>
      <c r="I487" s="105"/>
    </row>
    <row r="488" ht="14.25" customHeight="1">
      <c r="B488" s="104"/>
      <c r="C488" s="4"/>
      <c r="F488" s="4"/>
      <c r="I488" s="105"/>
    </row>
    <row r="489" ht="14.25" customHeight="1">
      <c r="B489" s="104"/>
      <c r="C489" s="4"/>
      <c r="F489" s="4"/>
      <c r="I489" s="105"/>
    </row>
    <row r="490" ht="14.25" customHeight="1">
      <c r="B490" s="104"/>
      <c r="C490" s="4"/>
      <c r="F490" s="4"/>
      <c r="I490" s="105"/>
    </row>
    <row r="491" ht="14.25" customHeight="1">
      <c r="B491" s="104"/>
      <c r="C491" s="4"/>
      <c r="F491" s="4"/>
      <c r="I491" s="105"/>
    </row>
    <row r="492" ht="14.25" customHeight="1">
      <c r="B492" s="104"/>
      <c r="C492" s="4"/>
      <c r="F492" s="4"/>
      <c r="I492" s="105"/>
    </row>
    <row r="493" ht="14.25" customHeight="1">
      <c r="B493" s="104"/>
      <c r="C493" s="4"/>
      <c r="F493" s="4"/>
      <c r="I493" s="105"/>
    </row>
    <row r="494" ht="14.25" customHeight="1">
      <c r="B494" s="104"/>
      <c r="C494" s="4"/>
      <c r="F494" s="4"/>
      <c r="I494" s="105"/>
    </row>
    <row r="495" ht="14.25" customHeight="1">
      <c r="B495" s="104"/>
      <c r="C495" s="4"/>
      <c r="F495" s="4"/>
      <c r="I495" s="105"/>
    </row>
    <row r="496" ht="14.25" customHeight="1">
      <c r="B496" s="104"/>
      <c r="C496" s="4"/>
      <c r="F496" s="4"/>
      <c r="I496" s="105"/>
    </row>
    <row r="497" ht="14.25" customHeight="1">
      <c r="B497" s="104"/>
      <c r="C497" s="4"/>
      <c r="F497" s="4"/>
      <c r="I497" s="105"/>
    </row>
    <row r="498" ht="14.25" customHeight="1">
      <c r="B498" s="104"/>
      <c r="C498" s="4"/>
      <c r="F498" s="4"/>
      <c r="I498" s="105"/>
    </row>
    <row r="499" ht="14.25" customHeight="1">
      <c r="B499" s="104"/>
      <c r="C499" s="4"/>
      <c r="F499" s="4"/>
      <c r="I499" s="105"/>
    </row>
    <row r="500" ht="14.25" customHeight="1">
      <c r="B500" s="104"/>
      <c r="C500" s="4"/>
      <c r="F500" s="4"/>
      <c r="I500" s="105"/>
    </row>
    <row r="501" ht="14.25" customHeight="1">
      <c r="B501" s="104"/>
      <c r="C501" s="4"/>
      <c r="F501" s="4"/>
      <c r="I501" s="105"/>
    </row>
    <row r="502" ht="14.25" customHeight="1">
      <c r="B502" s="104"/>
      <c r="C502" s="4"/>
      <c r="F502" s="4"/>
      <c r="I502" s="105"/>
    </row>
    <row r="503" ht="14.25" customHeight="1">
      <c r="B503" s="104"/>
      <c r="C503" s="4"/>
      <c r="F503" s="4"/>
      <c r="I503" s="105"/>
    </row>
    <row r="504" ht="14.25" customHeight="1">
      <c r="B504" s="104"/>
      <c r="C504" s="4"/>
      <c r="F504" s="4"/>
      <c r="I504" s="105"/>
    </row>
    <row r="505" ht="14.25" customHeight="1">
      <c r="B505" s="104"/>
      <c r="C505" s="4"/>
      <c r="F505" s="4"/>
      <c r="I505" s="105"/>
    </row>
    <row r="506" ht="14.25" customHeight="1">
      <c r="B506" s="104"/>
      <c r="C506" s="4"/>
      <c r="F506" s="4"/>
      <c r="I506" s="105"/>
    </row>
    <row r="507" ht="14.25" customHeight="1">
      <c r="B507" s="104"/>
      <c r="C507" s="4"/>
      <c r="F507" s="4"/>
      <c r="I507" s="105"/>
    </row>
    <row r="508" ht="14.25" customHeight="1">
      <c r="B508" s="104"/>
      <c r="C508" s="4"/>
      <c r="F508" s="4"/>
      <c r="I508" s="105"/>
    </row>
    <row r="509" ht="14.25" customHeight="1">
      <c r="B509" s="104"/>
      <c r="C509" s="4"/>
      <c r="F509" s="4"/>
      <c r="I509" s="105"/>
    </row>
    <row r="510" ht="14.25" customHeight="1">
      <c r="B510" s="104"/>
      <c r="C510" s="4"/>
      <c r="F510" s="4"/>
      <c r="I510" s="105"/>
    </row>
    <row r="511" ht="14.25" customHeight="1">
      <c r="B511" s="104"/>
      <c r="C511" s="4"/>
      <c r="F511" s="4"/>
      <c r="I511" s="105"/>
    </row>
    <row r="512" ht="14.25" customHeight="1">
      <c r="B512" s="104"/>
      <c r="C512" s="4"/>
      <c r="F512" s="4"/>
      <c r="I512" s="105"/>
    </row>
    <row r="513" ht="14.25" customHeight="1">
      <c r="B513" s="104"/>
      <c r="C513" s="4"/>
      <c r="F513" s="4"/>
      <c r="I513" s="105"/>
    </row>
    <row r="514" ht="14.25" customHeight="1">
      <c r="B514" s="104"/>
      <c r="C514" s="4"/>
      <c r="F514" s="4"/>
      <c r="I514" s="105"/>
    </row>
    <row r="515" ht="14.25" customHeight="1">
      <c r="B515" s="104"/>
      <c r="C515" s="4"/>
      <c r="F515" s="4"/>
      <c r="I515" s="105"/>
    </row>
    <row r="516" ht="14.25" customHeight="1">
      <c r="B516" s="104"/>
      <c r="C516" s="4"/>
      <c r="F516" s="4"/>
      <c r="I516" s="105"/>
    </row>
    <row r="517" ht="14.25" customHeight="1">
      <c r="B517" s="104"/>
      <c r="C517" s="4"/>
      <c r="F517" s="4"/>
      <c r="I517" s="105"/>
    </row>
    <row r="518" ht="14.25" customHeight="1">
      <c r="B518" s="104"/>
      <c r="C518" s="4"/>
      <c r="F518" s="4"/>
      <c r="I518" s="105"/>
    </row>
    <row r="519" ht="14.25" customHeight="1">
      <c r="B519" s="104"/>
      <c r="C519" s="4"/>
      <c r="F519" s="4"/>
      <c r="I519" s="105"/>
    </row>
    <row r="520" ht="14.25" customHeight="1">
      <c r="B520" s="104"/>
      <c r="C520" s="4"/>
      <c r="F520" s="4"/>
      <c r="I520" s="105"/>
    </row>
    <row r="521" ht="14.25" customHeight="1">
      <c r="B521" s="104"/>
      <c r="C521" s="4"/>
      <c r="F521" s="4"/>
      <c r="I521" s="105"/>
    </row>
    <row r="522" ht="14.25" customHeight="1">
      <c r="B522" s="104"/>
      <c r="C522" s="4"/>
      <c r="F522" s="4"/>
      <c r="I522" s="105"/>
    </row>
    <row r="523" ht="14.25" customHeight="1">
      <c r="B523" s="104"/>
      <c r="C523" s="4"/>
      <c r="F523" s="4"/>
      <c r="I523" s="105"/>
    </row>
    <row r="524" ht="14.25" customHeight="1">
      <c r="B524" s="104"/>
      <c r="C524" s="4"/>
      <c r="F524" s="4"/>
      <c r="I524" s="105"/>
    </row>
    <row r="525" ht="14.25" customHeight="1">
      <c r="B525" s="104"/>
      <c r="C525" s="4"/>
      <c r="F525" s="4"/>
      <c r="I525" s="105"/>
    </row>
    <row r="526" ht="14.25" customHeight="1">
      <c r="B526" s="104"/>
      <c r="C526" s="4"/>
      <c r="F526" s="4"/>
      <c r="I526" s="105"/>
    </row>
    <row r="527" ht="14.25" customHeight="1">
      <c r="B527" s="104"/>
      <c r="C527" s="4"/>
      <c r="F527" s="4"/>
      <c r="I527" s="105"/>
    </row>
    <row r="528" ht="14.25" customHeight="1">
      <c r="B528" s="104"/>
      <c r="C528" s="4"/>
      <c r="F528" s="4"/>
      <c r="I528" s="105"/>
    </row>
    <row r="529" ht="14.25" customHeight="1">
      <c r="B529" s="104"/>
      <c r="C529" s="4"/>
      <c r="F529" s="4"/>
      <c r="I529" s="105"/>
    </row>
    <row r="530" ht="14.25" customHeight="1">
      <c r="B530" s="104"/>
      <c r="C530" s="4"/>
      <c r="F530" s="4"/>
      <c r="I530" s="105"/>
    </row>
    <row r="531" ht="14.25" customHeight="1">
      <c r="B531" s="104"/>
      <c r="C531" s="4"/>
      <c r="F531" s="4"/>
      <c r="I531" s="105"/>
    </row>
    <row r="532" ht="14.25" customHeight="1">
      <c r="B532" s="104"/>
      <c r="C532" s="4"/>
      <c r="F532" s="4"/>
      <c r="I532" s="105"/>
    </row>
    <row r="533" ht="14.25" customHeight="1">
      <c r="B533" s="104"/>
      <c r="C533" s="4"/>
      <c r="F533" s="4"/>
      <c r="I533" s="105"/>
    </row>
    <row r="534" ht="14.25" customHeight="1">
      <c r="B534" s="104"/>
      <c r="C534" s="4"/>
      <c r="F534" s="4"/>
      <c r="I534" s="105"/>
    </row>
    <row r="535" ht="14.25" customHeight="1">
      <c r="B535" s="104"/>
      <c r="C535" s="4"/>
      <c r="F535" s="4"/>
      <c r="I535" s="105"/>
    </row>
    <row r="536" ht="14.25" customHeight="1">
      <c r="B536" s="104"/>
      <c r="C536" s="4"/>
      <c r="F536" s="4"/>
      <c r="I536" s="105"/>
    </row>
    <row r="537" ht="14.25" customHeight="1">
      <c r="B537" s="104"/>
      <c r="C537" s="4"/>
      <c r="F537" s="4"/>
      <c r="I537" s="105"/>
    </row>
    <row r="538" ht="14.25" customHeight="1">
      <c r="B538" s="104"/>
      <c r="C538" s="4"/>
      <c r="F538" s="4"/>
      <c r="I538" s="105"/>
    </row>
    <row r="539" ht="14.25" customHeight="1">
      <c r="B539" s="104"/>
      <c r="C539" s="4"/>
      <c r="F539" s="4"/>
      <c r="I539" s="105"/>
    </row>
    <row r="540" ht="14.25" customHeight="1">
      <c r="B540" s="104"/>
      <c r="C540" s="4"/>
      <c r="F540" s="4"/>
      <c r="I540" s="105"/>
    </row>
    <row r="541" ht="14.25" customHeight="1">
      <c r="B541" s="104"/>
      <c r="C541" s="4"/>
      <c r="F541" s="4"/>
      <c r="I541" s="105"/>
    </row>
    <row r="542" ht="14.25" customHeight="1">
      <c r="B542" s="104"/>
      <c r="C542" s="4"/>
      <c r="F542" s="4"/>
      <c r="I542" s="105"/>
    </row>
    <row r="543" ht="14.25" customHeight="1">
      <c r="B543" s="104"/>
      <c r="C543" s="4"/>
      <c r="F543" s="4"/>
      <c r="I543" s="105"/>
    </row>
    <row r="544" ht="14.25" customHeight="1">
      <c r="B544" s="104"/>
      <c r="C544" s="4"/>
      <c r="F544" s="4"/>
      <c r="I544" s="105"/>
    </row>
    <row r="545" ht="14.25" customHeight="1">
      <c r="B545" s="104"/>
      <c r="C545" s="4"/>
      <c r="F545" s="4"/>
      <c r="I545" s="105"/>
    </row>
    <row r="546" ht="14.25" customHeight="1">
      <c r="B546" s="104"/>
      <c r="C546" s="4"/>
      <c r="F546" s="4"/>
      <c r="I546" s="105"/>
    </row>
    <row r="547" ht="14.25" customHeight="1">
      <c r="B547" s="104"/>
      <c r="C547" s="4"/>
      <c r="F547" s="4"/>
      <c r="I547" s="105"/>
    </row>
    <row r="548" ht="14.25" customHeight="1">
      <c r="B548" s="104"/>
      <c r="C548" s="4"/>
      <c r="F548" s="4"/>
      <c r="I548" s="105"/>
    </row>
    <row r="549" ht="14.25" customHeight="1">
      <c r="B549" s="104"/>
      <c r="C549" s="4"/>
      <c r="F549" s="4"/>
      <c r="I549" s="105"/>
    </row>
    <row r="550" ht="14.25" customHeight="1">
      <c r="B550" s="104"/>
      <c r="C550" s="4"/>
      <c r="F550" s="4"/>
      <c r="I550" s="105"/>
    </row>
    <row r="551" ht="14.25" customHeight="1">
      <c r="B551" s="104"/>
      <c r="C551" s="4"/>
      <c r="F551" s="4"/>
      <c r="I551" s="105"/>
    </row>
    <row r="552" ht="14.25" customHeight="1">
      <c r="B552" s="104"/>
      <c r="C552" s="4"/>
      <c r="F552" s="4"/>
      <c r="I552" s="105"/>
    </row>
    <row r="553" ht="14.25" customHeight="1">
      <c r="B553" s="104"/>
      <c r="C553" s="4"/>
      <c r="F553" s="4"/>
      <c r="I553" s="105"/>
    </row>
    <row r="554" ht="14.25" customHeight="1">
      <c r="B554" s="104"/>
      <c r="C554" s="4"/>
      <c r="F554" s="4"/>
      <c r="I554" s="105"/>
    </row>
    <row r="555" ht="14.25" customHeight="1">
      <c r="B555" s="104"/>
      <c r="C555" s="4"/>
      <c r="F555" s="4"/>
      <c r="I555" s="105"/>
    </row>
    <row r="556" ht="14.25" customHeight="1">
      <c r="B556" s="104"/>
      <c r="C556" s="4"/>
      <c r="F556" s="4"/>
      <c r="I556" s="105"/>
    </row>
    <row r="557" ht="14.25" customHeight="1">
      <c r="B557" s="104"/>
      <c r="C557" s="4"/>
      <c r="F557" s="4"/>
      <c r="I557" s="105"/>
    </row>
    <row r="558" ht="14.25" customHeight="1">
      <c r="B558" s="104"/>
      <c r="C558" s="4"/>
      <c r="F558" s="4"/>
      <c r="I558" s="105"/>
    </row>
    <row r="559" ht="14.25" customHeight="1">
      <c r="B559" s="104"/>
      <c r="C559" s="4"/>
      <c r="F559" s="4"/>
      <c r="I559" s="105"/>
    </row>
    <row r="560" ht="14.25" customHeight="1">
      <c r="B560" s="104"/>
      <c r="C560" s="4"/>
      <c r="F560" s="4"/>
      <c r="I560" s="105"/>
    </row>
    <row r="561" ht="14.25" customHeight="1">
      <c r="B561" s="104"/>
      <c r="C561" s="4"/>
      <c r="F561" s="4"/>
      <c r="I561" s="105"/>
    </row>
    <row r="562" ht="14.25" customHeight="1">
      <c r="B562" s="104"/>
      <c r="C562" s="4"/>
      <c r="F562" s="4"/>
      <c r="I562" s="105"/>
    </row>
    <row r="563" ht="14.25" customHeight="1">
      <c r="B563" s="104"/>
      <c r="C563" s="4"/>
      <c r="F563" s="4"/>
      <c r="I563" s="105"/>
    </row>
    <row r="564" ht="14.25" customHeight="1">
      <c r="B564" s="104"/>
      <c r="C564" s="4"/>
      <c r="F564" s="4"/>
      <c r="I564" s="105"/>
    </row>
    <row r="565" ht="14.25" customHeight="1">
      <c r="B565" s="104"/>
      <c r="C565" s="4"/>
      <c r="F565" s="4"/>
      <c r="I565" s="105"/>
    </row>
    <row r="566" ht="14.25" customHeight="1">
      <c r="B566" s="104"/>
      <c r="C566" s="4"/>
      <c r="F566" s="4"/>
      <c r="I566" s="105"/>
    </row>
    <row r="567" ht="14.25" customHeight="1">
      <c r="B567" s="104"/>
      <c r="C567" s="4"/>
      <c r="F567" s="4"/>
      <c r="I567" s="105"/>
    </row>
    <row r="568" ht="14.25" customHeight="1">
      <c r="B568" s="104"/>
      <c r="C568" s="4"/>
      <c r="F568" s="4"/>
      <c r="I568" s="105"/>
    </row>
    <row r="569" ht="14.25" customHeight="1">
      <c r="B569" s="104"/>
      <c r="C569" s="4"/>
      <c r="F569" s="4"/>
      <c r="I569" s="105"/>
    </row>
    <row r="570" ht="14.25" customHeight="1">
      <c r="B570" s="104"/>
      <c r="C570" s="4"/>
      <c r="F570" s="4"/>
      <c r="I570" s="105"/>
    </row>
    <row r="571" ht="14.25" customHeight="1">
      <c r="B571" s="104"/>
      <c r="C571" s="4"/>
      <c r="F571" s="4"/>
      <c r="I571" s="105"/>
    </row>
    <row r="572" ht="14.25" customHeight="1">
      <c r="B572" s="104"/>
      <c r="C572" s="4"/>
      <c r="F572" s="4"/>
      <c r="I572" s="105"/>
    </row>
    <row r="573" ht="14.25" customHeight="1">
      <c r="B573" s="104"/>
      <c r="C573" s="4"/>
      <c r="F573" s="4"/>
      <c r="I573" s="105"/>
    </row>
    <row r="574" ht="14.25" customHeight="1">
      <c r="B574" s="104"/>
      <c r="C574" s="4"/>
      <c r="F574" s="4"/>
      <c r="I574" s="105"/>
    </row>
    <row r="575" ht="14.25" customHeight="1">
      <c r="B575" s="104"/>
      <c r="C575" s="4"/>
      <c r="F575" s="4"/>
      <c r="I575" s="105"/>
    </row>
    <row r="576" ht="14.25" customHeight="1">
      <c r="B576" s="104"/>
      <c r="C576" s="4"/>
      <c r="F576" s="4"/>
      <c r="I576" s="105"/>
    </row>
    <row r="577" ht="14.25" customHeight="1">
      <c r="B577" s="104"/>
      <c r="C577" s="4"/>
      <c r="F577" s="4"/>
      <c r="I577" s="105"/>
    </row>
    <row r="578" ht="14.25" customHeight="1">
      <c r="B578" s="104"/>
      <c r="C578" s="4"/>
      <c r="F578" s="4"/>
      <c r="I578" s="105"/>
    </row>
    <row r="579" ht="14.25" customHeight="1">
      <c r="B579" s="104"/>
      <c r="C579" s="4"/>
      <c r="F579" s="4"/>
      <c r="I579" s="105"/>
    </row>
    <row r="580" ht="14.25" customHeight="1">
      <c r="B580" s="104"/>
      <c r="C580" s="4"/>
      <c r="F580" s="4"/>
      <c r="I580" s="105"/>
    </row>
    <row r="581" ht="14.25" customHeight="1">
      <c r="B581" s="104"/>
      <c r="C581" s="4"/>
      <c r="F581" s="4"/>
      <c r="I581" s="105"/>
    </row>
    <row r="582" ht="14.25" customHeight="1">
      <c r="B582" s="104"/>
      <c r="C582" s="4"/>
      <c r="F582" s="4"/>
      <c r="I582" s="105"/>
    </row>
    <row r="583" ht="14.25" customHeight="1">
      <c r="B583" s="104"/>
      <c r="C583" s="4"/>
      <c r="F583" s="4"/>
      <c r="I583" s="105"/>
    </row>
    <row r="584" ht="14.25" customHeight="1">
      <c r="B584" s="104"/>
      <c r="C584" s="4"/>
      <c r="F584" s="4"/>
      <c r="I584" s="105"/>
    </row>
    <row r="585" ht="14.25" customHeight="1">
      <c r="B585" s="104"/>
      <c r="C585" s="4"/>
      <c r="F585" s="4"/>
      <c r="I585" s="105"/>
    </row>
    <row r="586" ht="14.25" customHeight="1">
      <c r="B586" s="104"/>
      <c r="C586" s="4"/>
      <c r="F586" s="4"/>
      <c r="I586" s="105"/>
    </row>
    <row r="587" ht="14.25" customHeight="1">
      <c r="B587" s="104"/>
      <c r="C587" s="4"/>
      <c r="F587" s="4"/>
      <c r="I587" s="105"/>
    </row>
    <row r="588" ht="14.25" customHeight="1">
      <c r="B588" s="104"/>
      <c r="C588" s="4"/>
      <c r="F588" s="4"/>
      <c r="I588" s="105"/>
    </row>
    <row r="589" ht="14.25" customHeight="1">
      <c r="B589" s="104"/>
      <c r="C589" s="4"/>
      <c r="F589" s="4"/>
      <c r="I589" s="105"/>
    </row>
    <row r="590" ht="14.25" customHeight="1">
      <c r="B590" s="104"/>
      <c r="C590" s="4"/>
      <c r="F590" s="4"/>
      <c r="I590" s="105"/>
    </row>
    <row r="591" ht="14.25" customHeight="1">
      <c r="B591" s="104"/>
      <c r="C591" s="4"/>
      <c r="F591" s="4"/>
      <c r="I591" s="105"/>
    </row>
    <row r="592" ht="14.25" customHeight="1">
      <c r="B592" s="104"/>
      <c r="C592" s="4"/>
      <c r="F592" s="4"/>
      <c r="I592" s="105"/>
    </row>
    <row r="593" ht="14.25" customHeight="1">
      <c r="B593" s="104"/>
      <c r="C593" s="4"/>
      <c r="F593" s="4"/>
      <c r="I593" s="105"/>
    </row>
    <row r="594" ht="14.25" customHeight="1">
      <c r="B594" s="104"/>
      <c r="C594" s="4"/>
      <c r="F594" s="4"/>
      <c r="I594" s="105"/>
    </row>
    <row r="595" ht="14.25" customHeight="1">
      <c r="B595" s="104"/>
      <c r="C595" s="4"/>
      <c r="F595" s="4"/>
      <c r="I595" s="105"/>
    </row>
    <row r="596" ht="14.25" customHeight="1">
      <c r="B596" s="104"/>
      <c r="C596" s="4"/>
      <c r="F596" s="4"/>
      <c r="I596" s="105"/>
    </row>
    <row r="597" ht="14.25" customHeight="1">
      <c r="B597" s="104"/>
      <c r="C597" s="4"/>
      <c r="F597" s="4"/>
      <c r="I597" s="105"/>
    </row>
    <row r="598" ht="14.25" customHeight="1">
      <c r="B598" s="104"/>
      <c r="C598" s="4"/>
      <c r="F598" s="4"/>
      <c r="I598" s="105"/>
    </row>
    <row r="599" ht="14.25" customHeight="1">
      <c r="B599" s="104"/>
      <c r="C599" s="4"/>
      <c r="F599" s="4"/>
      <c r="I599" s="105"/>
    </row>
    <row r="600" ht="14.25" customHeight="1">
      <c r="B600" s="104"/>
      <c r="C600" s="4"/>
      <c r="F600" s="4"/>
      <c r="I600" s="105"/>
    </row>
    <row r="601" ht="14.25" customHeight="1">
      <c r="B601" s="104"/>
      <c r="C601" s="4"/>
      <c r="F601" s="4"/>
      <c r="I601" s="105"/>
    </row>
    <row r="602" ht="14.25" customHeight="1">
      <c r="B602" s="104"/>
      <c r="C602" s="4"/>
      <c r="F602" s="4"/>
      <c r="I602" s="105"/>
    </row>
    <row r="603" ht="14.25" customHeight="1">
      <c r="B603" s="104"/>
      <c r="C603" s="4"/>
      <c r="F603" s="4"/>
      <c r="I603" s="105"/>
    </row>
    <row r="604" ht="14.25" customHeight="1">
      <c r="B604" s="104"/>
      <c r="C604" s="4"/>
      <c r="F604" s="4"/>
      <c r="I604" s="105"/>
    </row>
    <row r="605" ht="14.25" customHeight="1">
      <c r="B605" s="104"/>
      <c r="C605" s="4"/>
      <c r="F605" s="4"/>
      <c r="I605" s="105"/>
    </row>
    <row r="606" ht="14.25" customHeight="1">
      <c r="B606" s="104"/>
      <c r="C606" s="4"/>
      <c r="F606" s="4"/>
      <c r="I606" s="105"/>
    </row>
    <row r="607" ht="14.25" customHeight="1">
      <c r="B607" s="104"/>
      <c r="C607" s="4"/>
      <c r="F607" s="4"/>
      <c r="I607" s="105"/>
    </row>
    <row r="608" ht="14.25" customHeight="1">
      <c r="B608" s="104"/>
      <c r="C608" s="4"/>
      <c r="F608" s="4"/>
      <c r="I608" s="105"/>
    </row>
    <row r="609" ht="14.25" customHeight="1">
      <c r="B609" s="104"/>
      <c r="C609" s="4"/>
      <c r="F609" s="4"/>
      <c r="I609" s="105"/>
    </row>
    <row r="610" ht="14.25" customHeight="1">
      <c r="B610" s="104"/>
      <c r="C610" s="4"/>
      <c r="F610" s="4"/>
      <c r="I610" s="105"/>
    </row>
    <row r="611" ht="14.25" customHeight="1">
      <c r="B611" s="104"/>
      <c r="C611" s="4"/>
      <c r="F611" s="4"/>
      <c r="I611" s="105"/>
    </row>
    <row r="612" ht="14.25" customHeight="1">
      <c r="B612" s="104"/>
      <c r="C612" s="4"/>
      <c r="F612" s="4"/>
      <c r="I612" s="105"/>
    </row>
    <row r="613" ht="14.25" customHeight="1">
      <c r="B613" s="104"/>
      <c r="C613" s="4"/>
      <c r="F613" s="4"/>
      <c r="I613" s="105"/>
    </row>
    <row r="614" ht="14.25" customHeight="1">
      <c r="B614" s="104"/>
      <c r="C614" s="4"/>
      <c r="F614" s="4"/>
      <c r="I614" s="105"/>
    </row>
    <row r="615" ht="14.25" customHeight="1">
      <c r="B615" s="104"/>
      <c r="C615" s="4"/>
      <c r="F615" s="4"/>
      <c r="I615" s="105"/>
    </row>
    <row r="616" ht="14.25" customHeight="1">
      <c r="B616" s="104"/>
      <c r="C616" s="4"/>
      <c r="F616" s="4"/>
      <c r="I616" s="105"/>
    </row>
    <row r="617" ht="14.25" customHeight="1">
      <c r="B617" s="104"/>
      <c r="C617" s="4"/>
      <c r="F617" s="4"/>
      <c r="I617" s="105"/>
    </row>
    <row r="618" ht="14.25" customHeight="1">
      <c r="B618" s="104"/>
      <c r="C618" s="4"/>
      <c r="F618" s="4"/>
      <c r="I618" s="105"/>
    </row>
    <row r="619" ht="14.25" customHeight="1">
      <c r="B619" s="104"/>
      <c r="C619" s="4"/>
      <c r="F619" s="4"/>
      <c r="I619" s="105"/>
    </row>
    <row r="620" ht="14.25" customHeight="1">
      <c r="B620" s="104"/>
      <c r="C620" s="4"/>
      <c r="F620" s="4"/>
      <c r="I620" s="105"/>
    </row>
    <row r="621" ht="14.25" customHeight="1">
      <c r="B621" s="104"/>
      <c r="C621" s="4"/>
      <c r="F621" s="4"/>
      <c r="I621" s="105"/>
    </row>
    <row r="622" ht="14.25" customHeight="1">
      <c r="B622" s="104"/>
      <c r="C622" s="4"/>
      <c r="F622" s="4"/>
      <c r="I622" s="105"/>
    </row>
    <row r="623" ht="14.25" customHeight="1">
      <c r="B623" s="104"/>
      <c r="C623" s="4"/>
      <c r="F623" s="4"/>
      <c r="I623" s="105"/>
    </row>
    <row r="624" ht="14.25" customHeight="1">
      <c r="B624" s="104"/>
      <c r="C624" s="4"/>
      <c r="F624" s="4"/>
      <c r="I624" s="105"/>
    </row>
    <row r="625" ht="14.25" customHeight="1">
      <c r="B625" s="104"/>
      <c r="C625" s="4"/>
      <c r="F625" s="4"/>
      <c r="I625" s="105"/>
    </row>
    <row r="626" ht="14.25" customHeight="1">
      <c r="B626" s="104"/>
      <c r="C626" s="4"/>
      <c r="F626" s="4"/>
      <c r="I626" s="105"/>
    </row>
    <row r="627" ht="14.25" customHeight="1">
      <c r="B627" s="104"/>
      <c r="C627" s="4"/>
      <c r="F627" s="4"/>
      <c r="I627" s="105"/>
    </row>
    <row r="628" ht="14.25" customHeight="1">
      <c r="B628" s="104"/>
      <c r="C628" s="4"/>
      <c r="F628" s="4"/>
      <c r="I628" s="105"/>
    </row>
    <row r="629" ht="14.25" customHeight="1">
      <c r="B629" s="104"/>
      <c r="C629" s="4"/>
      <c r="F629" s="4"/>
      <c r="I629" s="105"/>
    </row>
    <row r="630" ht="14.25" customHeight="1">
      <c r="B630" s="104"/>
      <c r="C630" s="4"/>
      <c r="F630" s="4"/>
      <c r="I630" s="105"/>
    </row>
    <row r="631" ht="14.25" customHeight="1">
      <c r="B631" s="104"/>
      <c r="C631" s="4"/>
      <c r="F631" s="4"/>
      <c r="I631" s="105"/>
    </row>
    <row r="632" ht="14.25" customHeight="1">
      <c r="B632" s="104"/>
      <c r="C632" s="4"/>
      <c r="F632" s="4"/>
      <c r="I632" s="105"/>
    </row>
    <row r="633" ht="14.25" customHeight="1">
      <c r="B633" s="104"/>
      <c r="C633" s="4"/>
      <c r="F633" s="4"/>
      <c r="I633" s="105"/>
    </row>
    <row r="634" ht="14.25" customHeight="1">
      <c r="B634" s="104"/>
      <c r="C634" s="4"/>
      <c r="F634" s="4"/>
      <c r="I634" s="105"/>
    </row>
    <row r="635" ht="14.25" customHeight="1">
      <c r="B635" s="104"/>
      <c r="C635" s="4"/>
      <c r="F635" s="4"/>
      <c r="I635" s="105"/>
    </row>
    <row r="636" ht="14.25" customHeight="1">
      <c r="B636" s="104"/>
      <c r="C636" s="4"/>
      <c r="F636" s="4"/>
      <c r="I636" s="105"/>
    </row>
    <row r="637" ht="14.25" customHeight="1">
      <c r="B637" s="104"/>
      <c r="C637" s="4"/>
      <c r="F637" s="4"/>
      <c r="I637" s="105"/>
    </row>
    <row r="638" ht="14.25" customHeight="1">
      <c r="B638" s="104"/>
      <c r="C638" s="4"/>
      <c r="F638" s="4"/>
      <c r="I638" s="105"/>
    </row>
    <row r="639" ht="14.25" customHeight="1">
      <c r="B639" s="104"/>
      <c r="C639" s="4"/>
      <c r="F639" s="4"/>
      <c r="I639" s="105"/>
    </row>
    <row r="640" ht="14.25" customHeight="1">
      <c r="B640" s="104"/>
      <c r="C640" s="4"/>
      <c r="F640" s="4"/>
      <c r="I640" s="105"/>
    </row>
    <row r="641" ht="14.25" customHeight="1">
      <c r="B641" s="104"/>
      <c r="C641" s="4"/>
      <c r="F641" s="4"/>
      <c r="I641" s="105"/>
    </row>
    <row r="642" ht="14.25" customHeight="1">
      <c r="B642" s="104"/>
      <c r="C642" s="4"/>
      <c r="F642" s="4"/>
      <c r="I642" s="105"/>
    </row>
    <row r="643" ht="14.25" customHeight="1">
      <c r="B643" s="104"/>
      <c r="C643" s="4"/>
      <c r="F643" s="4"/>
      <c r="I643" s="105"/>
    </row>
    <row r="644" ht="14.25" customHeight="1">
      <c r="B644" s="104"/>
      <c r="C644" s="4"/>
      <c r="F644" s="4"/>
      <c r="I644" s="105"/>
    </row>
    <row r="645" ht="14.25" customHeight="1">
      <c r="B645" s="104"/>
      <c r="C645" s="4"/>
      <c r="F645" s="4"/>
      <c r="I645" s="105"/>
    </row>
    <row r="646" ht="14.25" customHeight="1">
      <c r="B646" s="104"/>
      <c r="C646" s="4"/>
      <c r="F646" s="4"/>
      <c r="I646" s="105"/>
    </row>
    <row r="647" ht="14.25" customHeight="1">
      <c r="B647" s="104"/>
      <c r="C647" s="4"/>
      <c r="F647" s="4"/>
      <c r="I647" s="105"/>
    </row>
    <row r="648" ht="14.25" customHeight="1">
      <c r="B648" s="104"/>
      <c r="C648" s="4"/>
      <c r="F648" s="4"/>
      <c r="I648" s="105"/>
    </row>
    <row r="649" ht="14.25" customHeight="1">
      <c r="B649" s="104"/>
      <c r="C649" s="4"/>
      <c r="F649" s="4"/>
      <c r="I649" s="105"/>
    </row>
    <row r="650" ht="14.25" customHeight="1">
      <c r="B650" s="104"/>
      <c r="C650" s="4"/>
      <c r="F650" s="4"/>
      <c r="I650" s="105"/>
    </row>
    <row r="651" ht="14.25" customHeight="1">
      <c r="B651" s="104"/>
      <c r="C651" s="4"/>
      <c r="F651" s="4"/>
      <c r="I651" s="105"/>
    </row>
    <row r="652" ht="14.25" customHeight="1">
      <c r="B652" s="104"/>
      <c r="C652" s="4"/>
      <c r="F652" s="4"/>
      <c r="I652" s="105"/>
    </row>
    <row r="653" ht="14.25" customHeight="1">
      <c r="B653" s="104"/>
      <c r="C653" s="4"/>
      <c r="F653" s="4"/>
      <c r="I653" s="105"/>
    </row>
    <row r="654" ht="14.25" customHeight="1">
      <c r="B654" s="104"/>
      <c r="C654" s="4"/>
      <c r="F654" s="4"/>
      <c r="I654" s="105"/>
    </row>
    <row r="655" ht="14.25" customHeight="1">
      <c r="B655" s="104"/>
      <c r="C655" s="4"/>
      <c r="F655" s="4"/>
      <c r="I655" s="105"/>
    </row>
    <row r="656" ht="14.25" customHeight="1">
      <c r="B656" s="104"/>
      <c r="C656" s="4"/>
      <c r="F656" s="4"/>
      <c r="I656" s="105"/>
    </row>
    <row r="657" ht="14.25" customHeight="1">
      <c r="B657" s="104"/>
      <c r="C657" s="4"/>
      <c r="F657" s="4"/>
      <c r="I657" s="105"/>
    </row>
    <row r="658" ht="14.25" customHeight="1">
      <c r="B658" s="104"/>
      <c r="C658" s="4"/>
      <c r="F658" s="4"/>
      <c r="I658" s="105"/>
    </row>
    <row r="659" ht="14.25" customHeight="1">
      <c r="B659" s="104"/>
      <c r="C659" s="4"/>
      <c r="F659" s="4"/>
      <c r="I659" s="105"/>
    </row>
    <row r="660" ht="14.25" customHeight="1">
      <c r="B660" s="104"/>
      <c r="C660" s="4"/>
      <c r="F660" s="4"/>
      <c r="I660" s="105"/>
    </row>
    <row r="661" ht="14.25" customHeight="1">
      <c r="B661" s="104"/>
      <c r="C661" s="4"/>
      <c r="F661" s="4"/>
      <c r="I661" s="105"/>
    </row>
    <row r="662" ht="14.25" customHeight="1">
      <c r="B662" s="104"/>
      <c r="C662" s="4"/>
      <c r="F662" s="4"/>
      <c r="I662" s="105"/>
    </row>
    <row r="663" ht="14.25" customHeight="1">
      <c r="B663" s="104"/>
      <c r="C663" s="4"/>
      <c r="F663" s="4"/>
      <c r="I663" s="105"/>
    </row>
    <row r="664" ht="14.25" customHeight="1">
      <c r="B664" s="104"/>
      <c r="C664" s="4"/>
      <c r="F664" s="4"/>
      <c r="I664" s="105"/>
    </row>
    <row r="665" ht="14.25" customHeight="1">
      <c r="B665" s="104"/>
      <c r="C665" s="4"/>
      <c r="F665" s="4"/>
      <c r="I665" s="105"/>
    </row>
    <row r="666" ht="14.25" customHeight="1">
      <c r="B666" s="104"/>
      <c r="C666" s="4"/>
      <c r="F666" s="4"/>
      <c r="I666" s="105"/>
    </row>
    <row r="667" ht="14.25" customHeight="1">
      <c r="B667" s="104"/>
      <c r="C667" s="4"/>
      <c r="F667" s="4"/>
      <c r="I667" s="105"/>
    </row>
    <row r="668" ht="14.25" customHeight="1">
      <c r="B668" s="104"/>
      <c r="C668" s="4"/>
      <c r="F668" s="4"/>
      <c r="I668" s="105"/>
    </row>
    <row r="669" ht="14.25" customHeight="1">
      <c r="B669" s="104"/>
      <c r="C669" s="4"/>
      <c r="F669" s="4"/>
      <c r="I669" s="105"/>
    </row>
    <row r="670" ht="14.25" customHeight="1">
      <c r="B670" s="104"/>
      <c r="C670" s="4"/>
      <c r="F670" s="4"/>
      <c r="I670" s="105"/>
    </row>
    <row r="671" ht="14.25" customHeight="1">
      <c r="B671" s="104"/>
      <c r="C671" s="4"/>
      <c r="F671" s="4"/>
      <c r="I671" s="105"/>
    </row>
    <row r="672" ht="14.25" customHeight="1">
      <c r="B672" s="104"/>
      <c r="C672" s="4"/>
      <c r="F672" s="4"/>
      <c r="I672" s="105"/>
    </row>
    <row r="673" ht="14.25" customHeight="1">
      <c r="B673" s="104"/>
      <c r="C673" s="4"/>
      <c r="F673" s="4"/>
      <c r="I673" s="105"/>
    </row>
    <row r="674" ht="14.25" customHeight="1">
      <c r="B674" s="104"/>
      <c r="C674" s="4"/>
      <c r="F674" s="4"/>
      <c r="I674" s="105"/>
    </row>
    <row r="675" ht="14.25" customHeight="1">
      <c r="B675" s="104"/>
      <c r="C675" s="4"/>
      <c r="F675" s="4"/>
      <c r="I675" s="105"/>
    </row>
    <row r="676" ht="14.25" customHeight="1">
      <c r="B676" s="104"/>
      <c r="C676" s="4"/>
      <c r="F676" s="4"/>
      <c r="I676" s="105"/>
    </row>
    <row r="677" ht="14.25" customHeight="1">
      <c r="B677" s="104"/>
      <c r="C677" s="4"/>
      <c r="F677" s="4"/>
      <c r="I677" s="105"/>
    </row>
    <row r="678" ht="14.25" customHeight="1">
      <c r="B678" s="104"/>
      <c r="C678" s="4"/>
      <c r="F678" s="4"/>
      <c r="I678" s="105"/>
    </row>
    <row r="679" ht="14.25" customHeight="1">
      <c r="B679" s="104"/>
      <c r="C679" s="4"/>
      <c r="F679" s="4"/>
      <c r="I679" s="105"/>
    </row>
    <row r="680" ht="14.25" customHeight="1">
      <c r="B680" s="104"/>
      <c r="C680" s="4"/>
      <c r="F680" s="4"/>
      <c r="I680" s="105"/>
    </row>
    <row r="681" ht="14.25" customHeight="1">
      <c r="B681" s="104"/>
      <c r="C681" s="4"/>
      <c r="F681" s="4"/>
      <c r="I681" s="105"/>
    </row>
    <row r="682" ht="14.25" customHeight="1">
      <c r="B682" s="104"/>
      <c r="C682" s="4"/>
      <c r="F682" s="4"/>
      <c r="I682" s="105"/>
    </row>
    <row r="683" ht="14.25" customHeight="1">
      <c r="B683" s="104"/>
      <c r="C683" s="4"/>
      <c r="F683" s="4"/>
      <c r="I683" s="105"/>
    </row>
    <row r="684" ht="14.25" customHeight="1">
      <c r="B684" s="104"/>
      <c r="C684" s="4"/>
      <c r="F684" s="4"/>
      <c r="I684" s="105"/>
    </row>
    <row r="685" ht="14.25" customHeight="1">
      <c r="B685" s="104"/>
      <c r="C685" s="4"/>
      <c r="F685" s="4"/>
      <c r="I685" s="105"/>
    </row>
    <row r="686" ht="14.25" customHeight="1">
      <c r="B686" s="104"/>
      <c r="C686" s="4"/>
      <c r="F686" s="4"/>
      <c r="I686" s="105"/>
    </row>
    <row r="687" ht="14.25" customHeight="1">
      <c r="B687" s="104"/>
      <c r="C687" s="4"/>
      <c r="F687" s="4"/>
      <c r="I687" s="105"/>
    </row>
    <row r="688" ht="14.25" customHeight="1">
      <c r="B688" s="104"/>
      <c r="C688" s="4"/>
      <c r="F688" s="4"/>
      <c r="I688" s="105"/>
    </row>
    <row r="689" ht="14.25" customHeight="1">
      <c r="B689" s="104"/>
      <c r="C689" s="4"/>
      <c r="F689" s="4"/>
      <c r="I689" s="105"/>
    </row>
    <row r="690" ht="14.25" customHeight="1">
      <c r="B690" s="104"/>
      <c r="C690" s="4"/>
      <c r="F690" s="4"/>
      <c r="I690" s="105"/>
    </row>
    <row r="691" ht="14.25" customHeight="1">
      <c r="B691" s="104"/>
      <c r="C691" s="4"/>
      <c r="F691" s="4"/>
      <c r="I691" s="105"/>
    </row>
    <row r="692" ht="14.25" customHeight="1">
      <c r="B692" s="104"/>
      <c r="C692" s="4"/>
      <c r="F692" s="4"/>
      <c r="I692" s="105"/>
    </row>
    <row r="693" ht="14.25" customHeight="1">
      <c r="B693" s="104"/>
      <c r="C693" s="4"/>
      <c r="F693" s="4"/>
      <c r="I693" s="105"/>
    </row>
    <row r="694" ht="14.25" customHeight="1">
      <c r="B694" s="104"/>
      <c r="C694" s="4"/>
      <c r="F694" s="4"/>
      <c r="I694" s="105"/>
    </row>
    <row r="695" ht="14.25" customHeight="1">
      <c r="B695" s="104"/>
      <c r="C695" s="4"/>
      <c r="F695" s="4"/>
      <c r="I695" s="105"/>
    </row>
    <row r="696" ht="14.25" customHeight="1">
      <c r="B696" s="104"/>
      <c r="C696" s="4"/>
      <c r="F696" s="4"/>
      <c r="I696" s="105"/>
    </row>
    <row r="697" ht="14.25" customHeight="1">
      <c r="B697" s="104"/>
      <c r="C697" s="4"/>
      <c r="F697" s="4"/>
      <c r="I697" s="105"/>
    </row>
    <row r="698" ht="14.25" customHeight="1">
      <c r="B698" s="104"/>
      <c r="C698" s="4"/>
      <c r="F698" s="4"/>
      <c r="I698" s="105"/>
    </row>
    <row r="699" ht="14.25" customHeight="1">
      <c r="B699" s="104"/>
      <c r="C699" s="4"/>
      <c r="F699" s="4"/>
      <c r="I699" s="105"/>
    </row>
    <row r="700" ht="14.25" customHeight="1">
      <c r="B700" s="104"/>
      <c r="C700" s="4"/>
      <c r="F700" s="4"/>
      <c r="I700" s="105"/>
    </row>
    <row r="701" ht="14.25" customHeight="1">
      <c r="B701" s="104"/>
      <c r="C701" s="4"/>
      <c r="F701" s="4"/>
      <c r="I701" s="105"/>
    </row>
    <row r="702" ht="14.25" customHeight="1">
      <c r="B702" s="104"/>
      <c r="C702" s="4"/>
      <c r="F702" s="4"/>
      <c r="I702" s="105"/>
    </row>
    <row r="703" ht="14.25" customHeight="1">
      <c r="B703" s="104"/>
      <c r="C703" s="4"/>
      <c r="F703" s="4"/>
      <c r="I703" s="105"/>
    </row>
    <row r="704" ht="14.25" customHeight="1">
      <c r="B704" s="104"/>
      <c r="C704" s="4"/>
      <c r="F704" s="4"/>
      <c r="I704" s="105"/>
    </row>
    <row r="705" ht="14.25" customHeight="1">
      <c r="B705" s="104"/>
      <c r="C705" s="4"/>
      <c r="F705" s="4"/>
      <c r="I705" s="105"/>
    </row>
    <row r="706" ht="14.25" customHeight="1">
      <c r="B706" s="104"/>
      <c r="C706" s="4"/>
      <c r="F706" s="4"/>
      <c r="I706" s="105"/>
    </row>
    <row r="707" ht="14.25" customHeight="1">
      <c r="B707" s="104"/>
      <c r="C707" s="4"/>
      <c r="F707" s="4"/>
      <c r="I707" s="105"/>
    </row>
    <row r="708" ht="14.25" customHeight="1">
      <c r="B708" s="104"/>
      <c r="C708" s="4"/>
      <c r="F708" s="4"/>
      <c r="I708" s="105"/>
    </row>
    <row r="709" ht="14.25" customHeight="1">
      <c r="B709" s="104"/>
      <c r="C709" s="4"/>
      <c r="F709" s="4"/>
      <c r="I709" s="105"/>
    </row>
    <row r="710" ht="14.25" customHeight="1">
      <c r="B710" s="104"/>
      <c r="C710" s="4"/>
      <c r="F710" s="4"/>
      <c r="I710" s="105"/>
    </row>
    <row r="711" ht="14.25" customHeight="1">
      <c r="B711" s="104"/>
      <c r="C711" s="4"/>
      <c r="F711" s="4"/>
      <c r="I711" s="105"/>
    </row>
    <row r="712" ht="14.25" customHeight="1">
      <c r="B712" s="104"/>
      <c r="C712" s="4"/>
      <c r="F712" s="4"/>
      <c r="I712" s="105"/>
    </row>
    <row r="713" ht="14.25" customHeight="1">
      <c r="B713" s="104"/>
      <c r="C713" s="4"/>
      <c r="F713" s="4"/>
      <c r="I713" s="105"/>
    </row>
    <row r="714" ht="14.25" customHeight="1">
      <c r="B714" s="104"/>
      <c r="C714" s="4"/>
      <c r="F714" s="4"/>
      <c r="I714" s="105"/>
    </row>
    <row r="715" ht="14.25" customHeight="1">
      <c r="B715" s="104"/>
      <c r="C715" s="4"/>
      <c r="F715" s="4"/>
      <c r="I715" s="105"/>
    </row>
    <row r="716" ht="14.25" customHeight="1">
      <c r="B716" s="104"/>
      <c r="C716" s="4"/>
      <c r="F716" s="4"/>
      <c r="I716" s="105"/>
    </row>
    <row r="717" ht="14.25" customHeight="1">
      <c r="B717" s="104"/>
      <c r="C717" s="4"/>
      <c r="F717" s="4"/>
      <c r="I717" s="105"/>
    </row>
    <row r="718" ht="14.25" customHeight="1">
      <c r="B718" s="104"/>
      <c r="C718" s="4"/>
      <c r="F718" s="4"/>
      <c r="I718" s="105"/>
    </row>
    <row r="719" ht="14.25" customHeight="1">
      <c r="B719" s="104"/>
      <c r="C719" s="4"/>
      <c r="F719" s="4"/>
      <c r="I719" s="105"/>
    </row>
    <row r="720" ht="14.25" customHeight="1">
      <c r="B720" s="104"/>
      <c r="C720" s="4"/>
      <c r="F720" s="4"/>
      <c r="I720" s="105"/>
    </row>
    <row r="721" ht="14.25" customHeight="1">
      <c r="B721" s="104"/>
      <c r="C721" s="4"/>
      <c r="F721" s="4"/>
      <c r="I721" s="105"/>
    </row>
    <row r="722" ht="14.25" customHeight="1">
      <c r="B722" s="104"/>
      <c r="C722" s="4"/>
      <c r="F722" s="4"/>
      <c r="I722" s="105"/>
    </row>
    <row r="723" ht="14.25" customHeight="1">
      <c r="B723" s="104"/>
      <c r="C723" s="4"/>
      <c r="F723" s="4"/>
      <c r="I723" s="105"/>
    </row>
    <row r="724" ht="14.25" customHeight="1">
      <c r="B724" s="104"/>
      <c r="C724" s="4"/>
      <c r="F724" s="4"/>
      <c r="I724" s="105"/>
    </row>
    <row r="725" ht="14.25" customHeight="1">
      <c r="B725" s="104"/>
      <c r="C725" s="4"/>
      <c r="F725" s="4"/>
      <c r="I725" s="105"/>
    </row>
    <row r="726" ht="14.25" customHeight="1">
      <c r="B726" s="104"/>
      <c r="C726" s="4"/>
      <c r="F726" s="4"/>
      <c r="I726" s="105"/>
    </row>
    <row r="727" ht="14.25" customHeight="1">
      <c r="B727" s="104"/>
      <c r="C727" s="4"/>
      <c r="F727" s="4"/>
      <c r="I727" s="105"/>
    </row>
    <row r="728" ht="14.25" customHeight="1">
      <c r="B728" s="104"/>
      <c r="C728" s="4"/>
      <c r="F728" s="4"/>
      <c r="I728" s="105"/>
    </row>
    <row r="729" ht="14.25" customHeight="1">
      <c r="B729" s="104"/>
      <c r="C729" s="4"/>
      <c r="F729" s="4"/>
      <c r="I729" s="105"/>
    </row>
    <row r="730" ht="14.25" customHeight="1">
      <c r="B730" s="104"/>
      <c r="C730" s="4"/>
      <c r="F730" s="4"/>
      <c r="I730" s="105"/>
    </row>
    <row r="731" ht="14.25" customHeight="1">
      <c r="B731" s="104"/>
      <c r="C731" s="4"/>
      <c r="F731" s="4"/>
      <c r="I731" s="105"/>
    </row>
    <row r="732" ht="14.25" customHeight="1">
      <c r="B732" s="104"/>
      <c r="C732" s="4"/>
      <c r="F732" s="4"/>
      <c r="I732" s="105"/>
    </row>
    <row r="733" ht="14.25" customHeight="1">
      <c r="B733" s="104"/>
      <c r="C733" s="4"/>
      <c r="F733" s="4"/>
      <c r="I733" s="105"/>
    </row>
    <row r="734" ht="14.25" customHeight="1">
      <c r="B734" s="104"/>
      <c r="C734" s="4"/>
      <c r="F734" s="4"/>
      <c r="I734" s="105"/>
    </row>
    <row r="735" ht="14.25" customHeight="1">
      <c r="B735" s="104"/>
      <c r="C735" s="4"/>
      <c r="F735" s="4"/>
      <c r="I735" s="105"/>
    </row>
    <row r="736" ht="14.25" customHeight="1">
      <c r="B736" s="104"/>
      <c r="C736" s="4"/>
      <c r="F736" s="4"/>
      <c r="I736" s="105"/>
    </row>
    <row r="737" ht="14.25" customHeight="1">
      <c r="B737" s="104"/>
      <c r="C737" s="4"/>
      <c r="F737" s="4"/>
      <c r="I737" s="105"/>
    </row>
    <row r="738" ht="14.25" customHeight="1">
      <c r="B738" s="104"/>
      <c r="C738" s="4"/>
      <c r="F738" s="4"/>
      <c r="I738" s="105"/>
    </row>
    <row r="739" ht="14.25" customHeight="1">
      <c r="B739" s="104"/>
      <c r="C739" s="4"/>
      <c r="F739" s="4"/>
      <c r="I739" s="105"/>
    </row>
    <row r="740" ht="14.25" customHeight="1">
      <c r="B740" s="104"/>
      <c r="C740" s="4"/>
      <c r="F740" s="4"/>
      <c r="I740" s="105"/>
    </row>
    <row r="741" ht="14.25" customHeight="1">
      <c r="B741" s="104"/>
      <c r="C741" s="4"/>
      <c r="F741" s="4"/>
      <c r="I741" s="105"/>
    </row>
    <row r="742" ht="14.25" customHeight="1">
      <c r="B742" s="104"/>
      <c r="C742" s="4"/>
      <c r="F742" s="4"/>
      <c r="I742" s="105"/>
    </row>
    <row r="743" ht="14.25" customHeight="1">
      <c r="B743" s="104"/>
      <c r="C743" s="4"/>
      <c r="F743" s="4"/>
      <c r="I743" s="105"/>
    </row>
    <row r="744" ht="14.25" customHeight="1">
      <c r="B744" s="104"/>
      <c r="C744" s="4"/>
      <c r="F744" s="4"/>
      <c r="I744" s="105"/>
    </row>
    <row r="745" ht="14.25" customHeight="1">
      <c r="B745" s="104"/>
      <c r="C745" s="4"/>
      <c r="F745" s="4"/>
      <c r="I745" s="105"/>
    </row>
    <row r="746" ht="14.25" customHeight="1">
      <c r="B746" s="104"/>
      <c r="C746" s="4"/>
      <c r="F746" s="4"/>
      <c r="I746" s="105"/>
    </row>
    <row r="747" ht="14.25" customHeight="1">
      <c r="B747" s="104"/>
      <c r="C747" s="4"/>
      <c r="F747" s="4"/>
      <c r="I747" s="105"/>
    </row>
    <row r="748" ht="14.25" customHeight="1">
      <c r="B748" s="104"/>
      <c r="C748" s="4"/>
      <c r="F748" s="4"/>
      <c r="I748" s="105"/>
    </row>
    <row r="749" ht="14.25" customHeight="1">
      <c r="B749" s="104"/>
      <c r="C749" s="4"/>
      <c r="F749" s="4"/>
      <c r="I749" s="105"/>
    </row>
    <row r="750" ht="14.25" customHeight="1">
      <c r="B750" s="104"/>
      <c r="C750" s="4"/>
      <c r="F750" s="4"/>
      <c r="I750" s="105"/>
    </row>
    <row r="751" ht="14.25" customHeight="1">
      <c r="B751" s="104"/>
      <c r="C751" s="4"/>
      <c r="F751" s="4"/>
      <c r="I751" s="105"/>
    </row>
    <row r="752" ht="14.25" customHeight="1">
      <c r="B752" s="104"/>
      <c r="C752" s="4"/>
      <c r="F752" s="4"/>
      <c r="I752" s="105"/>
    </row>
    <row r="753" ht="14.25" customHeight="1">
      <c r="B753" s="104"/>
      <c r="C753" s="4"/>
      <c r="F753" s="4"/>
      <c r="I753" s="105"/>
    </row>
    <row r="754" ht="14.25" customHeight="1">
      <c r="B754" s="104"/>
      <c r="C754" s="4"/>
      <c r="F754" s="4"/>
      <c r="I754" s="105"/>
    </row>
    <row r="755" ht="14.25" customHeight="1">
      <c r="B755" s="104"/>
      <c r="C755" s="4"/>
      <c r="F755" s="4"/>
      <c r="I755" s="105"/>
    </row>
    <row r="756" ht="14.25" customHeight="1">
      <c r="B756" s="104"/>
      <c r="C756" s="4"/>
      <c r="F756" s="4"/>
      <c r="I756" s="105"/>
    </row>
    <row r="757" ht="14.25" customHeight="1">
      <c r="B757" s="104"/>
      <c r="C757" s="4"/>
      <c r="F757" s="4"/>
      <c r="I757" s="105"/>
    </row>
    <row r="758" ht="14.25" customHeight="1">
      <c r="B758" s="104"/>
      <c r="C758" s="4"/>
      <c r="F758" s="4"/>
      <c r="I758" s="105"/>
    </row>
    <row r="759" ht="14.25" customHeight="1">
      <c r="B759" s="104"/>
      <c r="C759" s="4"/>
      <c r="F759" s="4"/>
      <c r="I759" s="105"/>
    </row>
    <row r="760" ht="14.25" customHeight="1">
      <c r="B760" s="104"/>
      <c r="C760" s="4"/>
      <c r="F760" s="4"/>
      <c r="I760" s="105"/>
    </row>
    <row r="761" ht="14.25" customHeight="1">
      <c r="B761" s="104"/>
      <c r="C761" s="4"/>
      <c r="F761" s="4"/>
      <c r="I761" s="105"/>
    </row>
    <row r="762" ht="14.25" customHeight="1">
      <c r="B762" s="104"/>
      <c r="C762" s="4"/>
      <c r="F762" s="4"/>
      <c r="I762" s="105"/>
    </row>
    <row r="763" ht="14.25" customHeight="1">
      <c r="B763" s="104"/>
      <c r="C763" s="4"/>
      <c r="F763" s="4"/>
      <c r="I763" s="105"/>
    </row>
    <row r="764" ht="14.25" customHeight="1">
      <c r="B764" s="104"/>
      <c r="C764" s="4"/>
      <c r="F764" s="4"/>
      <c r="I764" s="105"/>
    </row>
    <row r="765" ht="14.25" customHeight="1">
      <c r="B765" s="104"/>
      <c r="C765" s="4"/>
      <c r="F765" s="4"/>
      <c r="I765" s="105"/>
    </row>
    <row r="766" ht="14.25" customHeight="1">
      <c r="B766" s="104"/>
      <c r="C766" s="4"/>
      <c r="F766" s="4"/>
      <c r="I766" s="105"/>
    </row>
    <row r="767" ht="14.25" customHeight="1">
      <c r="B767" s="104"/>
      <c r="C767" s="4"/>
      <c r="F767" s="4"/>
      <c r="I767" s="105"/>
    </row>
    <row r="768" ht="14.25" customHeight="1">
      <c r="B768" s="104"/>
      <c r="C768" s="4"/>
      <c r="F768" s="4"/>
      <c r="I768" s="105"/>
    </row>
    <row r="769" ht="14.25" customHeight="1">
      <c r="B769" s="104"/>
      <c r="C769" s="4"/>
      <c r="F769" s="4"/>
      <c r="I769" s="105"/>
    </row>
    <row r="770" ht="14.25" customHeight="1">
      <c r="B770" s="104"/>
      <c r="C770" s="4"/>
      <c r="F770" s="4"/>
      <c r="I770" s="105"/>
    </row>
    <row r="771" ht="14.25" customHeight="1">
      <c r="B771" s="104"/>
      <c r="C771" s="4"/>
      <c r="F771" s="4"/>
      <c r="I771" s="105"/>
    </row>
    <row r="772" ht="14.25" customHeight="1">
      <c r="B772" s="104"/>
      <c r="C772" s="4"/>
      <c r="F772" s="4"/>
      <c r="I772" s="105"/>
    </row>
    <row r="773" ht="14.25" customHeight="1">
      <c r="B773" s="104"/>
      <c r="C773" s="4"/>
      <c r="F773" s="4"/>
      <c r="I773" s="105"/>
    </row>
    <row r="774" ht="14.25" customHeight="1">
      <c r="B774" s="104"/>
      <c r="C774" s="4"/>
      <c r="F774" s="4"/>
      <c r="I774" s="105"/>
    </row>
    <row r="775" ht="14.25" customHeight="1">
      <c r="B775" s="104"/>
      <c r="C775" s="4"/>
      <c r="F775" s="4"/>
      <c r="I775" s="105"/>
    </row>
    <row r="776" ht="14.25" customHeight="1">
      <c r="B776" s="104"/>
      <c r="C776" s="4"/>
      <c r="F776" s="4"/>
      <c r="I776" s="105"/>
    </row>
    <row r="777" ht="14.25" customHeight="1">
      <c r="B777" s="104"/>
      <c r="C777" s="4"/>
      <c r="F777" s="4"/>
      <c r="I777" s="105"/>
    </row>
    <row r="778" ht="14.25" customHeight="1">
      <c r="B778" s="104"/>
      <c r="C778" s="4"/>
      <c r="F778" s="4"/>
      <c r="I778" s="105"/>
    </row>
    <row r="779" ht="14.25" customHeight="1">
      <c r="B779" s="104"/>
      <c r="C779" s="4"/>
      <c r="F779" s="4"/>
      <c r="I779" s="105"/>
    </row>
    <row r="780" ht="14.25" customHeight="1">
      <c r="B780" s="104"/>
      <c r="C780" s="4"/>
      <c r="F780" s="4"/>
      <c r="I780" s="105"/>
    </row>
    <row r="781" ht="14.25" customHeight="1">
      <c r="B781" s="104"/>
      <c r="C781" s="4"/>
      <c r="F781" s="4"/>
      <c r="I781" s="105"/>
    </row>
    <row r="782" ht="14.25" customHeight="1">
      <c r="B782" s="104"/>
      <c r="C782" s="4"/>
      <c r="F782" s="4"/>
      <c r="I782" s="105"/>
    </row>
    <row r="783" ht="14.25" customHeight="1">
      <c r="B783" s="104"/>
      <c r="C783" s="4"/>
      <c r="F783" s="4"/>
      <c r="I783" s="105"/>
    </row>
    <row r="784" ht="14.25" customHeight="1">
      <c r="B784" s="104"/>
      <c r="C784" s="4"/>
      <c r="F784" s="4"/>
      <c r="I784" s="105"/>
    </row>
    <row r="785" ht="14.25" customHeight="1">
      <c r="B785" s="104"/>
      <c r="C785" s="4"/>
      <c r="F785" s="4"/>
      <c r="I785" s="105"/>
    </row>
    <row r="786" ht="14.25" customHeight="1">
      <c r="B786" s="104"/>
      <c r="C786" s="4"/>
      <c r="F786" s="4"/>
      <c r="I786" s="105"/>
    </row>
    <row r="787" ht="14.25" customHeight="1">
      <c r="B787" s="104"/>
      <c r="C787" s="4"/>
      <c r="F787" s="4"/>
      <c r="I787" s="105"/>
    </row>
    <row r="788" ht="14.25" customHeight="1">
      <c r="B788" s="104"/>
      <c r="C788" s="4"/>
      <c r="F788" s="4"/>
      <c r="I788" s="105"/>
    </row>
    <row r="789" ht="14.25" customHeight="1">
      <c r="B789" s="104"/>
      <c r="C789" s="4"/>
      <c r="F789" s="4"/>
      <c r="I789" s="105"/>
    </row>
    <row r="790" ht="14.25" customHeight="1">
      <c r="B790" s="104"/>
      <c r="C790" s="4"/>
      <c r="F790" s="4"/>
      <c r="I790" s="105"/>
    </row>
    <row r="791" ht="14.25" customHeight="1">
      <c r="B791" s="104"/>
      <c r="C791" s="4"/>
      <c r="F791" s="4"/>
      <c r="I791" s="105"/>
    </row>
    <row r="792" ht="14.25" customHeight="1">
      <c r="B792" s="104"/>
      <c r="C792" s="4"/>
      <c r="F792" s="4"/>
      <c r="I792" s="105"/>
    </row>
    <row r="793" ht="14.25" customHeight="1">
      <c r="B793" s="104"/>
      <c r="C793" s="4"/>
      <c r="F793" s="4"/>
      <c r="I793" s="105"/>
    </row>
    <row r="794" ht="14.25" customHeight="1">
      <c r="B794" s="104"/>
      <c r="C794" s="4"/>
      <c r="F794" s="4"/>
      <c r="I794" s="105"/>
    </row>
    <row r="795" ht="14.25" customHeight="1">
      <c r="B795" s="104"/>
      <c r="C795" s="4"/>
      <c r="F795" s="4"/>
      <c r="I795" s="105"/>
    </row>
    <row r="796" ht="14.25" customHeight="1">
      <c r="B796" s="104"/>
      <c r="C796" s="4"/>
      <c r="F796" s="4"/>
      <c r="I796" s="105"/>
    </row>
    <row r="797" ht="14.25" customHeight="1">
      <c r="B797" s="104"/>
      <c r="C797" s="4"/>
      <c r="F797" s="4"/>
      <c r="I797" s="105"/>
    </row>
    <row r="798" ht="14.25" customHeight="1">
      <c r="B798" s="104"/>
      <c r="C798" s="4"/>
      <c r="F798" s="4"/>
      <c r="I798" s="105"/>
    </row>
    <row r="799" ht="14.25" customHeight="1">
      <c r="B799" s="104"/>
      <c r="C799" s="4"/>
      <c r="F799" s="4"/>
      <c r="I799" s="105"/>
    </row>
    <row r="800" ht="14.25" customHeight="1">
      <c r="B800" s="104"/>
      <c r="C800" s="4"/>
      <c r="F800" s="4"/>
      <c r="I800" s="105"/>
    </row>
    <row r="801" ht="14.25" customHeight="1">
      <c r="B801" s="104"/>
      <c r="C801" s="4"/>
      <c r="F801" s="4"/>
      <c r="I801" s="105"/>
    </row>
    <row r="802" ht="14.25" customHeight="1">
      <c r="B802" s="104"/>
      <c r="C802" s="4"/>
      <c r="F802" s="4"/>
      <c r="I802" s="105"/>
    </row>
    <row r="803" ht="14.25" customHeight="1">
      <c r="B803" s="104"/>
      <c r="C803" s="4"/>
      <c r="F803" s="4"/>
      <c r="I803" s="105"/>
    </row>
    <row r="804" ht="14.25" customHeight="1">
      <c r="B804" s="104"/>
      <c r="C804" s="4"/>
      <c r="F804" s="4"/>
      <c r="I804" s="105"/>
    </row>
    <row r="805" ht="14.25" customHeight="1">
      <c r="B805" s="104"/>
      <c r="C805" s="4"/>
      <c r="F805" s="4"/>
      <c r="I805" s="105"/>
    </row>
    <row r="806" ht="14.25" customHeight="1">
      <c r="B806" s="104"/>
      <c r="C806" s="4"/>
      <c r="F806" s="4"/>
      <c r="I806" s="105"/>
    </row>
    <row r="807" ht="14.25" customHeight="1">
      <c r="B807" s="104"/>
      <c r="C807" s="4"/>
      <c r="F807" s="4"/>
      <c r="I807" s="105"/>
    </row>
    <row r="808" ht="14.25" customHeight="1">
      <c r="B808" s="104"/>
      <c r="C808" s="4"/>
      <c r="F808" s="4"/>
      <c r="I808" s="105"/>
    </row>
    <row r="809" ht="14.25" customHeight="1">
      <c r="B809" s="104"/>
      <c r="C809" s="4"/>
      <c r="F809" s="4"/>
      <c r="I809" s="105"/>
    </row>
    <row r="810" ht="14.25" customHeight="1">
      <c r="B810" s="104"/>
      <c r="C810" s="4"/>
      <c r="F810" s="4"/>
      <c r="I810" s="105"/>
    </row>
    <row r="811" ht="14.25" customHeight="1">
      <c r="B811" s="104"/>
      <c r="C811" s="4"/>
      <c r="F811" s="4"/>
      <c r="I811" s="105"/>
    </row>
    <row r="812" ht="14.25" customHeight="1">
      <c r="B812" s="104"/>
      <c r="C812" s="4"/>
      <c r="F812" s="4"/>
      <c r="I812" s="105"/>
    </row>
    <row r="813" ht="14.25" customHeight="1">
      <c r="B813" s="104"/>
      <c r="C813" s="4"/>
      <c r="F813" s="4"/>
      <c r="I813" s="105"/>
    </row>
    <row r="814" ht="14.25" customHeight="1">
      <c r="B814" s="104"/>
      <c r="C814" s="4"/>
      <c r="F814" s="4"/>
      <c r="I814" s="105"/>
    </row>
    <row r="815" ht="14.25" customHeight="1">
      <c r="B815" s="104"/>
      <c r="C815" s="4"/>
      <c r="F815" s="4"/>
      <c r="I815" s="105"/>
    </row>
    <row r="816" ht="14.25" customHeight="1">
      <c r="B816" s="104"/>
      <c r="C816" s="4"/>
      <c r="F816" s="4"/>
      <c r="I816" s="105"/>
    </row>
    <row r="817" ht="14.25" customHeight="1">
      <c r="B817" s="104"/>
      <c r="C817" s="4"/>
      <c r="F817" s="4"/>
      <c r="I817" s="105"/>
    </row>
    <row r="818" ht="14.25" customHeight="1">
      <c r="B818" s="104"/>
      <c r="C818" s="4"/>
      <c r="F818" s="4"/>
      <c r="I818" s="105"/>
    </row>
    <row r="819" ht="14.25" customHeight="1">
      <c r="B819" s="104"/>
      <c r="C819" s="4"/>
      <c r="F819" s="4"/>
      <c r="I819" s="105"/>
    </row>
    <row r="820" ht="14.25" customHeight="1">
      <c r="B820" s="104"/>
      <c r="C820" s="4"/>
      <c r="F820" s="4"/>
      <c r="I820" s="105"/>
    </row>
    <row r="821" ht="14.25" customHeight="1">
      <c r="B821" s="104"/>
      <c r="C821" s="4"/>
      <c r="F821" s="4"/>
      <c r="I821" s="105"/>
    </row>
    <row r="822" ht="14.25" customHeight="1">
      <c r="B822" s="104"/>
      <c r="C822" s="4"/>
      <c r="F822" s="4"/>
      <c r="I822" s="105"/>
    </row>
    <row r="823" ht="14.25" customHeight="1">
      <c r="B823" s="104"/>
      <c r="C823" s="4"/>
      <c r="F823" s="4"/>
      <c r="I823" s="105"/>
    </row>
    <row r="824" ht="14.25" customHeight="1">
      <c r="B824" s="104"/>
      <c r="C824" s="4"/>
      <c r="F824" s="4"/>
      <c r="I824" s="105"/>
    </row>
    <row r="825" ht="14.25" customHeight="1">
      <c r="B825" s="104"/>
      <c r="C825" s="4"/>
      <c r="F825" s="4"/>
      <c r="I825" s="105"/>
    </row>
    <row r="826" ht="14.25" customHeight="1">
      <c r="B826" s="104"/>
      <c r="C826" s="4"/>
      <c r="F826" s="4"/>
      <c r="I826" s="105"/>
    </row>
    <row r="827" ht="14.25" customHeight="1">
      <c r="B827" s="104"/>
      <c r="C827" s="4"/>
      <c r="F827" s="4"/>
      <c r="I827" s="105"/>
    </row>
    <row r="828" ht="14.25" customHeight="1">
      <c r="B828" s="104"/>
      <c r="C828" s="4"/>
      <c r="F828" s="4"/>
      <c r="I828" s="105"/>
    </row>
    <row r="829" ht="14.25" customHeight="1">
      <c r="B829" s="104"/>
      <c r="C829" s="4"/>
      <c r="F829" s="4"/>
      <c r="I829" s="105"/>
    </row>
    <row r="830" ht="14.25" customHeight="1">
      <c r="B830" s="104"/>
      <c r="C830" s="4"/>
      <c r="F830" s="4"/>
      <c r="I830" s="105"/>
    </row>
    <row r="831" ht="14.25" customHeight="1">
      <c r="B831" s="104"/>
      <c r="C831" s="4"/>
      <c r="F831" s="4"/>
      <c r="I831" s="105"/>
    </row>
    <row r="832" ht="14.25" customHeight="1">
      <c r="B832" s="104"/>
      <c r="C832" s="4"/>
      <c r="F832" s="4"/>
      <c r="I832" s="105"/>
    </row>
    <row r="833" ht="14.25" customHeight="1">
      <c r="B833" s="104"/>
      <c r="C833" s="4"/>
      <c r="F833" s="4"/>
      <c r="I833" s="105"/>
    </row>
    <row r="834" ht="14.25" customHeight="1">
      <c r="B834" s="104"/>
      <c r="C834" s="4"/>
      <c r="F834" s="4"/>
      <c r="I834" s="105"/>
    </row>
    <row r="835" ht="14.25" customHeight="1">
      <c r="B835" s="104"/>
      <c r="C835" s="4"/>
      <c r="F835" s="4"/>
      <c r="I835" s="105"/>
    </row>
    <row r="836" ht="14.25" customHeight="1">
      <c r="B836" s="104"/>
      <c r="C836" s="4"/>
      <c r="F836" s="4"/>
      <c r="I836" s="105"/>
    </row>
    <row r="837" ht="14.25" customHeight="1">
      <c r="B837" s="104"/>
      <c r="C837" s="4"/>
      <c r="F837" s="4"/>
      <c r="I837" s="105"/>
    </row>
    <row r="838" ht="14.25" customHeight="1">
      <c r="B838" s="104"/>
      <c r="C838" s="4"/>
      <c r="F838" s="4"/>
      <c r="I838" s="105"/>
    </row>
    <row r="839" ht="14.25" customHeight="1">
      <c r="B839" s="104"/>
      <c r="C839" s="4"/>
      <c r="F839" s="4"/>
      <c r="I839" s="105"/>
    </row>
    <row r="840" ht="14.25" customHeight="1">
      <c r="B840" s="104"/>
      <c r="C840" s="4"/>
      <c r="F840" s="4"/>
      <c r="I840" s="105"/>
    </row>
    <row r="841" ht="14.25" customHeight="1">
      <c r="B841" s="104"/>
      <c r="C841" s="4"/>
      <c r="F841" s="4"/>
      <c r="I841" s="105"/>
    </row>
    <row r="842" ht="14.25" customHeight="1">
      <c r="B842" s="104"/>
      <c r="C842" s="4"/>
      <c r="F842" s="4"/>
      <c r="I842" s="105"/>
    </row>
    <row r="843" ht="14.25" customHeight="1">
      <c r="B843" s="104"/>
      <c r="C843" s="4"/>
      <c r="F843" s="4"/>
      <c r="I843" s="105"/>
    </row>
    <row r="844" ht="14.25" customHeight="1">
      <c r="B844" s="104"/>
      <c r="C844" s="4"/>
      <c r="F844" s="4"/>
      <c r="I844" s="105"/>
    </row>
    <row r="845" ht="14.25" customHeight="1">
      <c r="B845" s="104"/>
      <c r="C845" s="4"/>
      <c r="F845" s="4"/>
      <c r="I845" s="105"/>
    </row>
    <row r="846" ht="14.25" customHeight="1">
      <c r="B846" s="104"/>
      <c r="C846" s="4"/>
      <c r="F846" s="4"/>
      <c r="I846" s="105"/>
    </row>
    <row r="847" ht="14.25" customHeight="1">
      <c r="B847" s="104"/>
      <c r="C847" s="4"/>
      <c r="F847" s="4"/>
      <c r="I847" s="105"/>
    </row>
    <row r="848" ht="14.25" customHeight="1">
      <c r="B848" s="104"/>
      <c r="C848" s="4"/>
      <c r="F848" s="4"/>
      <c r="I848" s="105"/>
    </row>
    <row r="849" ht="14.25" customHeight="1">
      <c r="B849" s="104"/>
      <c r="C849" s="4"/>
      <c r="F849" s="4"/>
      <c r="I849" s="105"/>
    </row>
    <row r="850" ht="14.25" customHeight="1">
      <c r="B850" s="104"/>
      <c r="C850" s="4"/>
      <c r="F850" s="4"/>
      <c r="I850" s="105"/>
    </row>
    <row r="851" ht="14.25" customHeight="1">
      <c r="B851" s="104"/>
      <c r="C851" s="4"/>
      <c r="F851" s="4"/>
      <c r="I851" s="105"/>
    </row>
    <row r="852" ht="14.25" customHeight="1">
      <c r="B852" s="104"/>
      <c r="C852" s="4"/>
      <c r="F852" s="4"/>
      <c r="I852" s="105"/>
    </row>
    <row r="853" ht="14.25" customHeight="1">
      <c r="B853" s="104"/>
      <c r="C853" s="4"/>
      <c r="F853" s="4"/>
      <c r="I853" s="105"/>
    </row>
    <row r="854" ht="14.25" customHeight="1">
      <c r="B854" s="104"/>
      <c r="C854" s="4"/>
      <c r="F854" s="4"/>
      <c r="I854" s="105"/>
    </row>
    <row r="855" ht="14.25" customHeight="1">
      <c r="B855" s="104"/>
      <c r="C855" s="4"/>
      <c r="F855" s="4"/>
      <c r="I855" s="105"/>
    </row>
    <row r="856" ht="14.25" customHeight="1">
      <c r="B856" s="104"/>
      <c r="C856" s="4"/>
      <c r="F856" s="4"/>
      <c r="I856" s="105"/>
    </row>
    <row r="857" ht="14.25" customHeight="1">
      <c r="B857" s="104"/>
      <c r="C857" s="4"/>
      <c r="F857" s="4"/>
      <c r="I857" s="105"/>
    </row>
    <row r="858" ht="14.25" customHeight="1">
      <c r="B858" s="104"/>
      <c r="C858" s="4"/>
      <c r="F858" s="4"/>
      <c r="I858" s="105"/>
    </row>
    <row r="859" ht="14.25" customHeight="1">
      <c r="B859" s="104"/>
      <c r="C859" s="4"/>
      <c r="F859" s="4"/>
      <c r="I859" s="105"/>
    </row>
    <row r="860" ht="14.25" customHeight="1">
      <c r="B860" s="104"/>
      <c r="C860" s="4"/>
      <c r="F860" s="4"/>
      <c r="I860" s="105"/>
    </row>
    <row r="861" ht="14.25" customHeight="1">
      <c r="B861" s="104"/>
      <c r="C861" s="4"/>
      <c r="F861" s="4"/>
      <c r="I861" s="105"/>
    </row>
    <row r="862" ht="14.25" customHeight="1">
      <c r="B862" s="104"/>
      <c r="C862" s="4"/>
      <c r="F862" s="4"/>
      <c r="I862" s="105"/>
    </row>
    <row r="863" ht="14.25" customHeight="1">
      <c r="B863" s="104"/>
      <c r="C863" s="4"/>
      <c r="F863" s="4"/>
      <c r="I863" s="105"/>
    </row>
    <row r="864" ht="14.25" customHeight="1">
      <c r="B864" s="104"/>
      <c r="C864" s="4"/>
      <c r="F864" s="4"/>
      <c r="I864" s="105"/>
    </row>
    <row r="865" ht="14.25" customHeight="1">
      <c r="B865" s="104"/>
      <c r="C865" s="4"/>
      <c r="F865" s="4"/>
      <c r="I865" s="105"/>
    </row>
    <row r="866" ht="14.25" customHeight="1">
      <c r="B866" s="104"/>
      <c r="C866" s="4"/>
      <c r="F866" s="4"/>
      <c r="I866" s="105"/>
    </row>
    <row r="867" ht="14.25" customHeight="1">
      <c r="B867" s="104"/>
      <c r="C867" s="4"/>
      <c r="F867" s="4"/>
      <c r="I867" s="105"/>
    </row>
    <row r="868" ht="14.25" customHeight="1">
      <c r="B868" s="104"/>
      <c r="C868" s="4"/>
      <c r="F868" s="4"/>
      <c r="I868" s="105"/>
    </row>
    <row r="869" ht="14.25" customHeight="1">
      <c r="B869" s="104"/>
      <c r="C869" s="4"/>
      <c r="F869" s="4"/>
      <c r="I869" s="105"/>
    </row>
    <row r="870" ht="14.25" customHeight="1">
      <c r="B870" s="104"/>
      <c r="C870" s="4"/>
      <c r="F870" s="4"/>
      <c r="I870" s="105"/>
    </row>
    <row r="871" ht="14.25" customHeight="1">
      <c r="B871" s="104"/>
      <c r="C871" s="4"/>
      <c r="F871" s="4"/>
      <c r="I871" s="105"/>
    </row>
    <row r="872" ht="14.25" customHeight="1">
      <c r="B872" s="104"/>
      <c r="C872" s="4"/>
      <c r="F872" s="4"/>
      <c r="I872" s="105"/>
    </row>
    <row r="873" ht="14.25" customHeight="1">
      <c r="B873" s="104"/>
      <c r="C873" s="4"/>
      <c r="F873" s="4"/>
      <c r="I873" s="105"/>
    </row>
    <row r="874" ht="14.25" customHeight="1">
      <c r="B874" s="104"/>
      <c r="C874" s="4"/>
      <c r="F874" s="4"/>
      <c r="I874" s="105"/>
    </row>
    <row r="875" ht="14.25" customHeight="1">
      <c r="B875" s="104"/>
      <c r="C875" s="4"/>
      <c r="F875" s="4"/>
      <c r="I875" s="105"/>
    </row>
    <row r="876" ht="14.25" customHeight="1">
      <c r="B876" s="104"/>
      <c r="C876" s="4"/>
      <c r="F876" s="4"/>
      <c r="I876" s="105"/>
    </row>
    <row r="877" ht="14.25" customHeight="1">
      <c r="B877" s="104"/>
      <c r="C877" s="4"/>
      <c r="F877" s="4"/>
      <c r="I877" s="105"/>
    </row>
    <row r="878" ht="14.25" customHeight="1">
      <c r="B878" s="104"/>
      <c r="C878" s="4"/>
      <c r="F878" s="4"/>
      <c r="I878" s="105"/>
    </row>
    <row r="879" ht="14.25" customHeight="1">
      <c r="B879" s="104"/>
      <c r="C879" s="4"/>
      <c r="F879" s="4"/>
      <c r="I879" s="105"/>
    </row>
    <row r="880" ht="14.25" customHeight="1">
      <c r="B880" s="104"/>
      <c r="C880" s="4"/>
      <c r="F880" s="4"/>
      <c r="I880" s="105"/>
    </row>
    <row r="881" ht="14.25" customHeight="1">
      <c r="B881" s="104"/>
      <c r="C881" s="4"/>
      <c r="F881" s="4"/>
      <c r="I881" s="105"/>
    </row>
    <row r="882" ht="14.25" customHeight="1">
      <c r="B882" s="104"/>
      <c r="C882" s="4"/>
      <c r="F882" s="4"/>
      <c r="I882" s="105"/>
    </row>
    <row r="883" ht="14.25" customHeight="1">
      <c r="B883" s="104"/>
      <c r="C883" s="4"/>
      <c r="F883" s="4"/>
      <c r="I883" s="105"/>
    </row>
    <row r="884" ht="14.25" customHeight="1">
      <c r="B884" s="104"/>
      <c r="C884" s="4"/>
      <c r="F884" s="4"/>
      <c r="I884" s="105"/>
    </row>
    <row r="885" ht="14.25" customHeight="1">
      <c r="B885" s="104"/>
      <c r="C885" s="4"/>
      <c r="F885" s="4"/>
      <c r="I885" s="105"/>
    </row>
    <row r="886" ht="14.25" customHeight="1">
      <c r="B886" s="104"/>
      <c r="C886" s="4"/>
      <c r="F886" s="4"/>
      <c r="I886" s="105"/>
    </row>
    <row r="887" ht="14.25" customHeight="1">
      <c r="B887" s="104"/>
      <c r="C887" s="4"/>
      <c r="F887" s="4"/>
      <c r="I887" s="105"/>
    </row>
    <row r="888" ht="14.25" customHeight="1">
      <c r="B888" s="104"/>
      <c r="C888" s="4"/>
      <c r="F888" s="4"/>
      <c r="I888" s="105"/>
    </row>
    <row r="889" ht="14.25" customHeight="1">
      <c r="B889" s="104"/>
      <c r="C889" s="4"/>
      <c r="F889" s="4"/>
      <c r="I889" s="105"/>
    </row>
    <row r="890" ht="14.25" customHeight="1">
      <c r="B890" s="104"/>
      <c r="C890" s="4"/>
      <c r="F890" s="4"/>
      <c r="I890" s="105"/>
    </row>
    <row r="891" ht="14.25" customHeight="1">
      <c r="B891" s="104"/>
      <c r="C891" s="4"/>
      <c r="F891" s="4"/>
      <c r="I891" s="105"/>
    </row>
    <row r="892" ht="14.25" customHeight="1">
      <c r="B892" s="104"/>
      <c r="C892" s="4"/>
      <c r="F892" s="4"/>
      <c r="I892" s="105"/>
    </row>
    <row r="893" ht="14.25" customHeight="1">
      <c r="B893" s="104"/>
      <c r="C893" s="4"/>
      <c r="F893" s="4"/>
      <c r="I893" s="105"/>
    </row>
    <row r="894" ht="14.25" customHeight="1">
      <c r="B894" s="104"/>
      <c r="C894" s="4"/>
      <c r="F894" s="4"/>
      <c r="I894" s="105"/>
    </row>
    <row r="895" ht="14.25" customHeight="1">
      <c r="B895" s="104"/>
      <c r="C895" s="4"/>
      <c r="F895" s="4"/>
      <c r="I895" s="105"/>
    </row>
    <row r="896" ht="14.25" customHeight="1">
      <c r="B896" s="104"/>
      <c r="C896" s="4"/>
      <c r="F896" s="4"/>
      <c r="I896" s="105"/>
    </row>
    <row r="897" ht="14.25" customHeight="1">
      <c r="B897" s="104"/>
      <c r="C897" s="4"/>
      <c r="F897" s="4"/>
      <c r="I897" s="105"/>
    </row>
    <row r="898" ht="14.25" customHeight="1">
      <c r="B898" s="104"/>
      <c r="C898" s="4"/>
      <c r="F898" s="4"/>
      <c r="I898" s="105"/>
    </row>
    <row r="899" ht="14.25" customHeight="1">
      <c r="B899" s="104"/>
      <c r="C899" s="4"/>
      <c r="F899" s="4"/>
      <c r="I899" s="105"/>
    </row>
    <row r="900" ht="14.25" customHeight="1">
      <c r="B900" s="104"/>
      <c r="C900" s="4"/>
      <c r="F900" s="4"/>
      <c r="I900" s="105"/>
    </row>
    <row r="901" ht="14.25" customHeight="1">
      <c r="B901" s="104"/>
      <c r="C901" s="4"/>
      <c r="F901" s="4"/>
      <c r="I901" s="105"/>
    </row>
    <row r="902" ht="14.25" customHeight="1">
      <c r="B902" s="104"/>
      <c r="C902" s="4"/>
      <c r="F902" s="4"/>
      <c r="I902" s="105"/>
    </row>
    <row r="903" ht="14.25" customHeight="1">
      <c r="B903" s="104"/>
      <c r="C903" s="4"/>
      <c r="F903" s="4"/>
      <c r="I903" s="105"/>
    </row>
    <row r="904" ht="14.25" customHeight="1">
      <c r="B904" s="104"/>
      <c r="C904" s="4"/>
      <c r="F904" s="4"/>
      <c r="I904" s="105"/>
    </row>
    <row r="905" ht="14.25" customHeight="1">
      <c r="B905" s="104"/>
      <c r="C905" s="4"/>
      <c r="F905" s="4"/>
      <c r="I905" s="105"/>
    </row>
    <row r="906" ht="14.25" customHeight="1">
      <c r="B906" s="104"/>
      <c r="C906" s="4"/>
      <c r="F906" s="4"/>
      <c r="I906" s="105"/>
    </row>
    <row r="907" ht="14.25" customHeight="1">
      <c r="B907" s="104"/>
      <c r="C907" s="4"/>
      <c r="F907" s="4"/>
      <c r="I907" s="105"/>
    </row>
    <row r="908" ht="14.25" customHeight="1">
      <c r="B908" s="104"/>
      <c r="C908" s="4"/>
      <c r="F908" s="4"/>
      <c r="I908" s="105"/>
    </row>
    <row r="909" ht="14.25" customHeight="1">
      <c r="B909" s="104"/>
      <c r="C909" s="4"/>
      <c r="F909" s="4"/>
      <c r="I909" s="105"/>
    </row>
    <row r="910" ht="14.25" customHeight="1">
      <c r="B910" s="104"/>
      <c r="C910" s="4"/>
      <c r="F910" s="4"/>
      <c r="I910" s="105"/>
    </row>
    <row r="911" ht="14.25" customHeight="1">
      <c r="B911" s="104"/>
      <c r="C911" s="4"/>
      <c r="F911" s="4"/>
      <c r="I911" s="105"/>
    </row>
    <row r="912" ht="14.25" customHeight="1">
      <c r="B912" s="104"/>
      <c r="C912" s="4"/>
      <c r="F912" s="4"/>
      <c r="I912" s="105"/>
    </row>
    <row r="913" ht="14.25" customHeight="1">
      <c r="B913" s="104"/>
      <c r="C913" s="4"/>
      <c r="F913" s="4"/>
      <c r="I913" s="105"/>
    </row>
    <row r="914" ht="14.25" customHeight="1">
      <c r="B914" s="104"/>
      <c r="C914" s="4"/>
      <c r="F914" s="4"/>
      <c r="I914" s="105"/>
    </row>
    <row r="915" ht="14.25" customHeight="1">
      <c r="B915" s="104"/>
      <c r="C915" s="4"/>
      <c r="F915" s="4"/>
      <c r="I915" s="105"/>
    </row>
    <row r="916" ht="14.25" customHeight="1">
      <c r="B916" s="104"/>
      <c r="C916" s="4"/>
      <c r="F916" s="4"/>
      <c r="I916" s="105"/>
    </row>
    <row r="917" ht="14.25" customHeight="1">
      <c r="B917" s="104"/>
      <c r="C917" s="4"/>
      <c r="F917" s="4"/>
      <c r="I917" s="105"/>
    </row>
    <row r="918" ht="14.25" customHeight="1">
      <c r="B918" s="104"/>
      <c r="C918" s="4"/>
      <c r="F918" s="4"/>
      <c r="I918" s="105"/>
    </row>
    <row r="919" ht="14.25" customHeight="1">
      <c r="B919" s="104"/>
      <c r="C919" s="4"/>
      <c r="F919" s="4"/>
      <c r="I919" s="105"/>
    </row>
    <row r="920" ht="14.25" customHeight="1">
      <c r="B920" s="104"/>
      <c r="C920" s="4"/>
      <c r="F920" s="4"/>
      <c r="I920" s="105"/>
    </row>
    <row r="921" ht="14.25" customHeight="1">
      <c r="B921" s="104"/>
      <c r="C921" s="4"/>
      <c r="F921" s="4"/>
      <c r="I921" s="105"/>
    </row>
    <row r="922" ht="14.25" customHeight="1">
      <c r="B922" s="104"/>
      <c r="C922" s="4"/>
      <c r="F922" s="4"/>
      <c r="I922" s="105"/>
    </row>
    <row r="923" ht="14.25" customHeight="1">
      <c r="B923" s="104"/>
      <c r="C923" s="4"/>
      <c r="F923" s="4"/>
      <c r="I923" s="105"/>
    </row>
    <row r="924" ht="14.25" customHeight="1">
      <c r="B924" s="104"/>
      <c r="C924" s="4"/>
      <c r="F924" s="4"/>
      <c r="I924" s="105"/>
    </row>
    <row r="925" ht="14.25" customHeight="1">
      <c r="B925" s="104"/>
      <c r="C925" s="4"/>
      <c r="F925" s="4"/>
      <c r="I925" s="105"/>
    </row>
    <row r="926" ht="14.25" customHeight="1">
      <c r="B926" s="104"/>
      <c r="C926" s="4"/>
      <c r="F926" s="4"/>
      <c r="I926" s="105"/>
    </row>
    <row r="927" ht="14.25" customHeight="1">
      <c r="B927" s="104"/>
      <c r="C927" s="4"/>
      <c r="F927" s="4"/>
      <c r="I927" s="105"/>
    </row>
    <row r="928" ht="14.25" customHeight="1">
      <c r="B928" s="104"/>
      <c r="C928" s="4"/>
      <c r="F928" s="4"/>
      <c r="I928" s="105"/>
    </row>
    <row r="929" ht="14.25" customHeight="1">
      <c r="B929" s="104"/>
      <c r="C929" s="4"/>
      <c r="F929" s="4"/>
      <c r="I929" s="105"/>
    </row>
    <row r="930" ht="14.25" customHeight="1">
      <c r="B930" s="104"/>
      <c r="C930" s="4"/>
      <c r="F930" s="4"/>
      <c r="I930" s="105"/>
    </row>
    <row r="931" ht="14.25" customHeight="1">
      <c r="B931" s="104"/>
      <c r="C931" s="4"/>
      <c r="F931" s="4"/>
      <c r="I931" s="105"/>
    </row>
    <row r="932" ht="14.25" customHeight="1">
      <c r="B932" s="104"/>
      <c r="C932" s="4"/>
      <c r="F932" s="4"/>
      <c r="I932" s="105"/>
    </row>
    <row r="933" ht="14.25" customHeight="1">
      <c r="B933" s="104"/>
      <c r="C933" s="4"/>
      <c r="F933" s="4"/>
      <c r="I933" s="105"/>
    </row>
    <row r="934" ht="14.25" customHeight="1">
      <c r="B934" s="104"/>
      <c r="C934" s="4"/>
      <c r="F934" s="4"/>
      <c r="I934" s="105"/>
    </row>
    <row r="935" ht="14.25" customHeight="1">
      <c r="B935" s="104"/>
      <c r="C935" s="4"/>
      <c r="F935" s="4"/>
      <c r="I935" s="105"/>
    </row>
    <row r="936" ht="14.25" customHeight="1">
      <c r="B936" s="104"/>
      <c r="C936" s="4"/>
      <c r="F936" s="4"/>
      <c r="I936" s="105"/>
    </row>
    <row r="937" ht="14.25" customHeight="1">
      <c r="B937" s="104"/>
      <c r="C937" s="4"/>
      <c r="F937" s="4"/>
      <c r="I937" s="105"/>
    </row>
    <row r="938" ht="14.25" customHeight="1">
      <c r="B938" s="104"/>
      <c r="C938" s="4"/>
      <c r="F938" s="4"/>
      <c r="I938" s="105"/>
    </row>
    <row r="939" ht="14.25" customHeight="1">
      <c r="B939" s="104"/>
      <c r="C939" s="4"/>
      <c r="F939" s="4"/>
      <c r="I939" s="105"/>
    </row>
    <row r="940" ht="14.25" customHeight="1">
      <c r="B940" s="104"/>
      <c r="C940" s="4"/>
      <c r="F940" s="4"/>
      <c r="I940" s="105"/>
    </row>
    <row r="941" ht="14.25" customHeight="1">
      <c r="B941" s="104"/>
      <c r="C941" s="4"/>
      <c r="F941" s="4"/>
      <c r="I941" s="105"/>
    </row>
    <row r="942" ht="14.25" customHeight="1">
      <c r="B942" s="104"/>
      <c r="C942" s="4"/>
      <c r="F942" s="4"/>
      <c r="I942" s="105"/>
    </row>
    <row r="943" ht="14.25" customHeight="1">
      <c r="B943" s="104"/>
      <c r="C943" s="4"/>
      <c r="F943" s="4"/>
      <c r="I943" s="105"/>
    </row>
    <row r="944" ht="14.25" customHeight="1">
      <c r="B944" s="104"/>
      <c r="C944" s="4"/>
      <c r="F944" s="4"/>
      <c r="I944" s="105"/>
    </row>
    <row r="945" ht="14.25" customHeight="1">
      <c r="B945" s="104"/>
      <c r="C945" s="4"/>
      <c r="F945" s="4"/>
      <c r="I945" s="105"/>
    </row>
    <row r="946" ht="14.25" customHeight="1">
      <c r="B946" s="104"/>
      <c r="C946" s="4"/>
      <c r="F946" s="4"/>
      <c r="I946" s="105"/>
    </row>
    <row r="947" ht="14.25" customHeight="1">
      <c r="B947" s="104"/>
      <c r="C947" s="4"/>
      <c r="F947" s="4"/>
      <c r="I947" s="105"/>
    </row>
    <row r="948" ht="14.25" customHeight="1">
      <c r="B948" s="104"/>
      <c r="C948" s="4"/>
      <c r="F948" s="4"/>
      <c r="I948" s="105"/>
    </row>
    <row r="949" ht="14.25" customHeight="1">
      <c r="B949" s="104"/>
      <c r="C949" s="4"/>
      <c r="F949" s="4"/>
      <c r="I949" s="105"/>
    </row>
    <row r="950" ht="14.25" customHeight="1">
      <c r="B950" s="104"/>
      <c r="C950" s="4"/>
      <c r="F950" s="4"/>
      <c r="I950" s="105"/>
    </row>
    <row r="951" ht="14.25" customHeight="1">
      <c r="B951" s="104"/>
      <c r="C951" s="4"/>
      <c r="F951" s="4"/>
      <c r="I951" s="105"/>
    </row>
    <row r="952" ht="14.25" customHeight="1">
      <c r="B952" s="104"/>
      <c r="C952" s="4"/>
      <c r="F952" s="4"/>
      <c r="I952" s="105"/>
    </row>
    <row r="953" ht="14.25" customHeight="1">
      <c r="B953" s="104"/>
      <c r="C953" s="4"/>
      <c r="F953" s="4"/>
      <c r="I953" s="105"/>
    </row>
    <row r="954" ht="14.25" customHeight="1">
      <c r="B954" s="104"/>
      <c r="C954" s="4"/>
      <c r="F954" s="4"/>
      <c r="I954" s="105"/>
    </row>
    <row r="955" ht="14.25" customHeight="1">
      <c r="B955" s="104"/>
      <c r="C955" s="4"/>
      <c r="F955" s="4"/>
      <c r="I955" s="105"/>
    </row>
    <row r="956" ht="14.25" customHeight="1">
      <c r="B956" s="104"/>
      <c r="C956" s="4"/>
      <c r="F956" s="4"/>
      <c r="I956" s="105"/>
    </row>
    <row r="957" ht="14.25" customHeight="1">
      <c r="B957" s="104"/>
      <c r="C957" s="4"/>
      <c r="F957" s="4"/>
      <c r="I957" s="105"/>
    </row>
    <row r="958" ht="14.25" customHeight="1">
      <c r="B958" s="104"/>
      <c r="C958" s="4"/>
      <c r="F958" s="4"/>
      <c r="I958" s="105"/>
    </row>
    <row r="959" ht="14.25" customHeight="1">
      <c r="B959" s="104"/>
      <c r="C959" s="4"/>
      <c r="F959" s="4"/>
      <c r="I959" s="105"/>
    </row>
    <row r="960" ht="14.25" customHeight="1">
      <c r="B960" s="104"/>
      <c r="C960" s="4"/>
      <c r="F960" s="4"/>
      <c r="I960" s="105"/>
    </row>
    <row r="961" ht="14.25" customHeight="1">
      <c r="B961" s="104"/>
      <c r="C961" s="4"/>
      <c r="F961" s="4"/>
      <c r="I961" s="105"/>
    </row>
    <row r="962" ht="14.25" customHeight="1">
      <c r="B962" s="104"/>
      <c r="C962" s="4"/>
      <c r="F962" s="4"/>
      <c r="I962" s="105"/>
    </row>
    <row r="963" ht="14.25" customHeight="1">
      <c r="B963" s="104"/>
      <c r="C963" s="4"/>
      <c r="F963" s="4"/>
      <c r="I963" s="105"/>
    </row>
    <row r="964" ht="14.25" customHeight="1">
      <c r="B964" s="104"/>
      <c r="C964" s="4"/>
      <c r="F964" s="4"/>
      <c r="I964" s="105"/>
    </row>
    <row r="965" ht="14.25" customHeight="1">
      <c r="B965" s="104"/>
      <c r="C965" s="4"/>
      <c r="F965" s="4"/>
      <c r="I965" s="105"/>
    </row>
    <row r="966" ht="14.25" customHeight="1">
      <c r="B966" s="104"/>
      <c r="C966" s="4"/>
      <c r="F966" s="4"/>
      <c r="I966" s="105"/>
    </row>
    <row r="967" ht="14.25" customHeight="1">
      <c r="B967" s="104"/>
      <c r="C967" s="4"/>
      <c r="F967" s="4"/>
      <c r="I967" s="105"/>
    </row>
    <row r="968" ht="14.25" customHeight="1">
      <c r="B968" s="104"/>
      <c r="C968" s="4"/>
      <c r="F968" s="4"/>
      <c r="I968" s="105"/>
    </row>
    <row r="969" ht="14.25" customHeight="1">
      <c r="B969" s="104"/>
      <c r="C969" s="4"/>
      <c r="F969" s="4"/>
      <c r="I969" s="105"/>
    </row>
    <row r="970" ht="14.25" customHeight="1">
      <c r="B970" s="104"/>
      <c r="C970" s="4"/>
      <c r="F970" s="4"/>
      <c r="I970" s="105"/>
    </row>
    <row r="971" ht="14.25" customHeight="1">
      <c r="B971" s="104"/>
      <c r="C971" s="4"/>
      <c r="F971" s="4"/>
      <c r="I971" s="105"/>
    </row>
    <row r="972" ht="14.25" customHeight="1">
      <c r="B972" s="104"/>
      <c r="C972" s="4"/>
      <c r="F972" s="4"/>
      <c r="I972" s="105"/>
    </row>
    <row r="973" ht="14.25" customHeight="1">
      <c r="B973" s="104"/>
      <c r="C973" s="4"/>
      <c r="F973" s="4"/>
      <c r="I973" s="105"/>
    </row>
    <row r="974" ht="14.25" customHeight="1">
      <c r="B974" s="104"/>
      <c r="C974" s="4"/>
      <c r="F974" s="4"/>
      <c r="I974" s="105"/>
    </row>
    <row r="975" ht="14.25" customHeight="1">
      <c r="B975" s="104"/>
      <c r="C975" s="4"/>
      <c r="F975" s="4"/>
      <c r="I975" s="105"/>
    </row>
    <row r="976" ht="14.25" customHeight="1">
      <c r="B976" s="104"/>
      <c r="C976" s="4"/>
      <c r="F976" s="4"/>
      <c r="I976" s="105"/>
    </row>
    <row r="977" ht="14.25" customHeight="1">
      <c r="B977" s="104"/>
      <c r="C977" s="4"/>
      <c r="F977" s="4"/>
      <c r="I977" s="105"/>
    </row>
    <row r="978" ht="14.25" customHeight="1">
      <c r="B978" s="104"/>
      <c r="C978" s="4"/>
      <c r="F978" s="4"/>
      <c r="I978" s="105"/>
    </row>
    <row r="979" ht="14.25" customHeight="1">
      <c r="B979" s="104"/>
      <c r="C979" s="4"/>
      <c r="F979" s="4"/>
      <c r="I979" s="105"/>
    </row>
    <row r="980" ht="14.25" customHeight="1">
      <c r="B980" s="104"/>
      <c r="C980" s="4"/>
      <c r="F980" s="4"/>
      <c r="I980" s="105"/>
    </row>
    <row r="981" ht="14.25" customHeight="1">
      <c r="B981" s="104"/>
      <c r="C981" s="4"/>
      <c r="F981" s="4"/>
      <c r="I981" s="105"/>
    </row>
    <row r="982" ht="14.25" customHeight="1">
      <c r="B982" s="104"/>
      <c r="C982" s="4"/>
      <c r="F982" s="4"/>
      <c r="I982" s="105"/>
    </row>
    <row r="983" ht="14.25" customHeight="1">
      <c r="B983" s="104"/>
      <c r="C983" s="4"/>
      <c r="F983" s="4"/>
      <c r="I983" s="105"/>
    </row>
    <row r="984" ht="14.25" customHeight="1">
      <c r="B984" s="104"/>
      <c r="C984" s="4"/>
      <c r="F984" s="4"/>
      <c r="I984" s="105"/>
    </row>
    <row r="985" ht="14.25" customHeight="1">
      <c r="B985" s="104"/>
      <c r="C985" s="4"/>
      <c r="F985" s="4"/>
      <c r="I985" s="105"/>
    </row>
    <row r="986" ht="14.25" customHeight="1">
      <c r="B986" s="104"/>
      <c r="C986" s="4"/>
      <c r="F986" s="4"/>
      <c r="I986" s="105"/>
    </row>
    <row r="987" ht="14.25" customHeight="1">
      <c r="B987" s="104"/>
      <c r="C987" s="4"/>
      <c r="F987" s="4"/>
      <c r="I987" s="105"/>
    </row>
    <row r="988" ht="14.25" customHeight="1">
      <c r="B988" s="104"/>
      <c r="C988" s="4"/>
      <c r="F988" s="4"/>
      <c r="I988" s="105"/>
    </row>
    <row r="989" ht="14.25" customHeight="1">
      <c r="B989" s="104"/>
      <c r="C989" s="4"/>
      <c r="F989" s="4"/>
      <c r="I989" s="105"/>
    </row>
    <row r="990" ht="14.25" customHeight="1">
      <c r="B990" s="104"/>
      <c r="C990" s="4"/>
      <c r="F990" s="4"/>
      <c r="I990" s="105"/>
    </row>
    <row r="991" ht="14.25" customHeight="1">
      <c r="B991" s="104"/>
      <c r="C991" s="4"/>
      <c r="F991" s="4"/>
      <c r="I991" s="105"/>
    </row>
    <row r="992" ht="14.25" customHeight="1">
      <c r="B992" s="104"/>
      <c r="C992" s="4"/>
      <c r="F992" s="4"/>
      <c r="I992" s="105"/>
    </row>
    <row r="993" ht="14.25" customHeight="1">
      <c r="B993" s="104"/>
      <c r="C993" s="4"/>
      <c r="F993" s="4"/>
      <c r="I993" s="105"/>
    </row>
    <row r="994" ht="14.25" customHeight="1">
      <c r="B994" s="104"/>
      <c r="C994" s="4"/>
      <c r="F994" s="4"/>
      <c r="I994" s="105"/>
    </row>
    <row r="995" ht="14.25" customHeight="1">
      <c r="B995" s="104"/>
      <c r="C995" s="4"/>
      <c r="F995" s="4"/>
      <c r="I995" s="105"/>
    </row>
    <row r="996" ht="14.25" customHeight="1">
      <c r="B996" s="104"/>
      <c r="C996" s="4"/>
      <c r="F996" s="4"/>
      <c r="I996" s="105"/>
    </row>
    <row r="997" ht="14.25" customHeight="1">
      <c r="B997" s="104"/>
      <c r="C997" s="4"/>
      <c r="F997" s="4"/>
      <c r="I997" s="105"/>
    </row>
    <row r="998" ht="14.25" customHeight="1">
      <c r="B998" s="104"/>
      <c r="C998" s="4"/>
      <c r="F998" s="4"/>
      <c r="I998" s="105"/>
    </row>
    <row r="999" ht="14.25" customHeight="1">
      <c r="B999" s="104"/>
      <c r="C999" s="4"/>
      <c r="F999" s="4"/>
      <c r="I999" s="105"/>
    </row>
    <row r="1000" ht="14.25" customHeight="1">
      <c r="B1000" s="104"/>
      <c r="C1000" s="4"/>
      <c r="F1000" s="4"/>
      <c r="I1000" s="105"/>
    </row>
  </sheetData>
  <printOptions/>
  <pageMargins bottom="0.75" footer="0.0" header="0.0" left="0.7" right="0.7" top="0.75"/>
  <pageSetup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25.0"/>
    <col customWidth="1" min="2" max="2" width="11.0"/>
    <col customWidth="1" min="3" max="3" width="14.14"/>
    <col customWidth="1" min="4" max="4" width="10.71"/>
    <col customWidth="1" min="5" max="5" width="11.86"/>
    <col customWidth="1" min="6" max="26" width="8.71"/>
  </cols>
  <sheetData>
    <row r="1" ht="14.25" customHeight="1"/>
    <row r="2" ht="14.25" customHeight="1">
      <c r="A2" s="123" t="s">
        <v>310</v>
      </c>
      <c r="B2" s="124"/>
      <c r="C2" s="124"/>
      <c r="D2" s="124"/>
      <c r="E2" s="124"/>
    </row>
    <row r="3" ht="14.25" customHeight="1">
      <c r="A3" s="5" t="s">
        <v>311</v>
      </c>
      <c r="B3" s="5" t="s">
        <v>312</v>
      </c>
      <c r="C3" s="5" t="s">
        <v>313</v>
      </c>
      <c r="D3" s="5" t="s">
        <v>314</v>
      </c>
      <c r="E3" s="5" t="s">
        <v>315</v>
      </c>
    </row>
    <row r="4" ht="14.25" customHeight="1">
      <c r="A4" s="2" t="s">
        <v>316</v>
      </c>
      <c r="B4" s="4">
        <v>3500.0</v>
      </c>
      <c r="C4" s="4">
        <v>3500.0</v>
      </c>
      <c r="D4" s="4">
        <v>3500.0</v>
      </c>
      <c r="E4" s="4">
        <v>7000.0</v>
      </c>
    </row>
    <row r="5" ht="14.25" customHeight="1">
      <c r="A5" s="2" t="s">
        <v>317</v>
      </c>
      <c r="B5" s="4"/>
      <c r="C5" s="4">
        <v>2500.0</v>
      </c>
      <c r="D5" s="4">
        <v>2500.0</v>
      </c>
      <c r="E5" s="4">
        <v>2500.0</v>
      </c>
    </row>
    <row r="6" ht="14.25" customHeight="1">
      <c r="A6" s="2" t="s">
        <v>88</v>
      </c>
      <c r="B6" s="86">
        <f t="shared" ref="B6:E6" si="1">SUM(B4:B5)</f>
        <v>3500</v>
      </c>
      <c r="C6" s="86">
        <f t="shared" si="1"/>
        <v>6000</v>
      </c>
      <c r="D6" s="86">
        <f t="shared" si="1"/>
        <v>6000</v>
      </c>
      <c r="E6" s="86">
        <f t="shared" si="1"/>
        <v>9500</v>
      </c>
    </row>
    <row r="7" ht="14.25" customHeight="1">
      <c r="A7" s="5" t="s">
        <v>318</v>
      </c>
      <c r="C7" s="5"/>
      <c r="D7" s="5"/>
      <c r="E7" s="86">
        <f>SUM(B6:E6)</f>
        <v>25000</v>
      </c>
    </row>
    <row r="8" ht="14.25" customHeight="1"/>
    <row r="9" ht="14.25" customHeight="1">
      <c r="A9" s="123" t="s">
        <v>319</v>
      </c>
      <c r="B9" s="124"/>
      <c r="C9" s="124"/>
      <c r="D9" s="124"/>
      <c r="E9" s="124"/>
    </row>
    <row r="10" ht="14.25" customHeight="1">
      <c r="A10" s="5" t="s">
        <v>311</v>
      </c>
      <c r="B10" s="5" t="s">
        <v>312</v>
      </c>
      <c r="C10" s="5" t="s">
        <v>313</v>
      </c>
      <c r="D10" s="5" t="s">
        <v>314</v>
      </c>
      <c r="E10" s="5" t="s">
        <v>315</v>
      </c>
    </row>
    <row r="11" ht="14.25" customHeight="1">
      <c r="A11" s="2" t="s">
        <v>316</v>
      </c>
      <c r="B11" s="4">
        <v>3675.0</v>
      </c>
      <c r="C11" s="4">
        <v>3675.0</v>
      </c>
      <c r="D11" s="125">
        <v>3675.0</v>
      </c>
      <c r="E11" s="125">
        <v>3675.0</v>
      </c>
    </row>
    <row r="12" ht="14.25" customHeight="1">
      <c r="A12" s="2" t="s">
        <v>88</v>
      </c>
      <c r="B12" s="86">
        <f t="shared" ref="B12:E12" si="2">SUM(B11)</f>
        <v>3675</v>
      </c>
      <c r="C12" s="86">
        <f t="shared" si="2"/>
        <v>3675</v>
      </c>
      <c r="D12" s="86">
        <f t="shared" si="2"/>
        <v>3675</v>
      </c>
      <c r="E12" s="86">
        <f t="shared" si="2"/>
        <v>3675</v>
      </c>
    </row>
    <row r="13" ht="14.25" customHeight="1">
      <c r="A13" s="5" t="s">
        <v>318</v>
      </c>
      <c r="C13" s="5"/>
      <c r="D13" s="5"/>
      <c r="E13" s="86">
        <f>SUM(B12:E12)</f>
        <v>14700</v>
      </c>
    </row>
    <row r="14" ht="14.25" customHeight="1"/>
    <row r="15" ht="14.25" customHeight="1">
      <c r="A15" s="123" t="s">
        <v>320</v>
      </c>
      <c r="B15" s="124"/>
      <c r="C15" s="124"/>
      <c r="D15" s="124"/>
      <c r="E15" s="124"/>
    </row>
    <row r="16" ht="14.25" customHeight="1">
      <c r="A16" s="5" t="s">
        <v>311</v>
      </c>
      <c r="B16" s="5" t="s">
        <v>312</v>
      </c>
      <c r="C16" s="5" t="s">
        <v>313</v>
      </c>
      <c r="D16" s="5" t="s">
        <v>314</v>
      </c>
      <c r="E16" s="5" t="s">
        <v>315</v>
      </c>
    </row>
    <row r="17" ht="14.25" customHeight="1">
      <c r="A17" s="2" t="s">
        <v>316</v>
      </c>
      <c r="B17" s="4">
        <v>4050.0</v>
      </c>
      <c r="C17" s="4">
        <v>4050.0</v>
      </c>
      <c r="D17" s="125">
        <v>4050.0</v>
      </c>
      <c r="E17" s="125">
        <v>4050.0</v>
      </c>
    </row>
    <row r="18" ht="14.25" customHeight="1">
      <c r="A18" s="2" t="s">
        <v>88</v>
      </c>
      <c r="B18" s="86">
        <f t="shared" ref="B18:E18" si="3">SUM(B17)</f>
        <v>4050</v>
      </c>
      <c r="C18" s="86">
        <f t="shared" si="3"/>
        <v>4050</v>
      </c>
      <c r="D18" s="86">
        <f t="shared" si="3"/>
        <v>4050</v>
      </c>
      <c r="E18" s="86">
        <f t="shared" si="3"/>
        <v>4050</v>
      </c>
    </row>
    <row r="19" ht="14.25" customHeight="1">
      <c r="A19" s="5" t="s">
        <v>318</v>
      </c>
      <c r="C19" s="5"/>
      <c r="D19" s="5"/>
      <c r="E19" s="86">
        <f>SUM(B18:E18)</f>
        <v>16200</v>
      </c>
    </row>
    <row r="20" ht="14.25" customHeight="1">
      <c r="A20" s="92"/>
      <c r="B20" s="94"/>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2:E2"/>
    <mergeCell ref="A9:E9"/>
    <mergeCell ref="A15:E15"/>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1.86"/>
    <col customWidth="1" min="2" max="2" width="14.14"/>
    <col customWidth="1" min="3" max="4" width="8.71"/>
    <col customWidth="1" min="5" max="5" width="18.71"/>
    <col customWidth="1" min="6" max="26" width="8.71"/>
  </cols>
  <sheetData>
    <row r="1" ht="14.25" customHeight="1">
      <c r="B1" s="126"/>
    </row>
    <row r="2" ht="14.25" customHeight="1">
      <c r="A2" s="123" t="s">
        <v>321</v>
      </c>
      <c r="B2" s="124"/>
      <c r="C2" s="124"/>
      <c r="D2" s="124"/>
      <c r="E2" s="124"/>
    </row>
    <row r="3" ht="14.25" customHeight="1">
      <c r="A3" s="5" t="s">
        <v>3</v>
      </c>
      <c r="B3" s="5" t="s">
        <v>312</v>
      </c>
      <c r="C3" s="5" t="s">
        <v>313</v>
      </c>
      <c r="D3" s="5" t="s">
        <v>314</v>
      </c>
      <c r="E3" s="5" t="s">
        <v>315</v>
      </c>
    </row>
    <row r="4" ht="14.25" customHeight="1">
      <c r="A4" s="2" t="s">
        <v>322</v>
      </c>
    </row>
    <row r="5" ht="14.25" customHeight="1">
      <c r="A5" s="2" t="s">
        <v>323</v>
      </c>
    </row>
    <row r="6" ht="14.25" customHeight="1">
      <c r="A6" s="2" t="s">
        <v>88</v>
      </c>
      <c r="B6" s="5">
        <f t="shared" ref="B6:E6" si="1">SUM(B4)</f>
        <v>0</v>
      </c>
      <c r="C6" s="5">
        <f t="shared" si="1"/>
        <v>0</v>
      </c>
      <c r="D6" s="5">
        <f t="shared" si="1"/>
        <v>0</v>
      </c>
      <c r="E6" s="5">
        <f t="shared" si="1"/>
        <v>0</v>
      </c>
    </row>
    <row r="7" ht="14.25" customHeight="1">
      <c r="A7" s="5" t="s">
        <v>324</v>
      </c>
      <c r="B7" s="5"/>
      <c r="C7" s="5"/>
      <c r="D7" s="5"/>
      <c r="E7" s="86">
        <v>115000.0</v>
      </c>
    </row>
    <row r="8" ht="14.25" customHeight="1">
      <c r="B8" s="126"/>
    </row>
    <row r="9" ht="14.25" customHeight="1">
      <c r="A9" s="123" t="s">
        <v>325</v>
      </c>
      <c r="B9" s="124"/>
      <c r="C9" s="124"/>
      <c r="D9" s="124"/>
      <c r="E9" s="124"/>
    </row>
    <row r="10" ht="14.25" customHeight="1">
      <c r="A10" s="5" t="s">
        <v>3</v>
      </c>
      <c r="B10" s="5" t="s">
        <v>312</v>
      </c>
      <c r="C10" s="5" t="s">
        <v>313</v>
      </c>
      <c r="D10" s="5" t="s">
        <v>314</v>
      </c>
      <c r="E10" s="5" t="s">
        <v>315</v>
      </c>
    </row>
    <row r="11" ht="14.25" customHeight="1">
      <c r="A11" s="2" t="s">
        <v>322</v>
      </c>
    </row>
    <row r="12" ht="14.25" customHeight="1">
      <c r="A12" s="2" t="s">
        <v>323</v>
      </c>
    </row>
    <row r="13" ht="14.25" customHeight="1">
      <c r="A13" s="2" t="s">
        <v>88</v>
      </c>
      <c r="B13" s="5">
        <f t="shared" ref="B13:E13" si="2">SUM(B11)</f>
        <v>0</v>
      </c>
      <c r="C13" s="5">
        <f t="shared" si="2"/>
        <v>0</v>
      </c>
      <c r="D13" s="5">
        <f t="shared" si="2"/>
        <v>0</v>
      </c>
      <c r="E13" s="5">
        <f t="shared" si="2"/>
        <v>0</v>
      </c>
    </row>
    <row r="14" ht="14.25" customHeight="1">
      <c r="A14" s="5" t="s">
        <v>324</v>
      </c>
      <c r="B14" s="5"/>
      <c r="C14" s="5"/>
      <c r="D14" s="5"/>
      <c r="E14" s="86">
        <v>110000.0</v>
      </c>
    </row>
    <row r="15" ht="14.25" customHeight="1">
      <c r="B15" s="126"/>
    </row>
    <row r="16" ht="14.25" customHeight="1">
      <c r="B16" s="126"/>
    </row>
    <row r="17" ht="14.25" customHeight="1">
      <c r="B17" s="126"/>
    </row>
    <row r="18" ht="14.25" customHeight="1">
      <c r="B18" s="126"/>
    </row>
    <row r="19" ht="14.25" customHeight="1">
      <c r="B19" s="126"/>
    </row>
    <row r="20" ht="14.25" customHeight="1">
      <c r="B20" s="126"/>
    </row>
    <row r="21" ht="14.25" customHeight="1">
      <c r="B21" s="126"/>
    </row>
    <row r="22" ht="14.25" customHeight="1">
      <c r="B22" s="126"/>
    </row>
    <row r="23" ht="14.25" customHeight="1">
      <c r="B23" s="126"/>
    </row>
    <row r="24" ht="14.25" customHeight="1">
      <c r="B24" s="126"/>
    </row>
    <row r="25" ht="14.25" customHeight="1">
      <c r="B25" s="126"/>
    </row>
    <row r="26" ht="14.25" customHeight="1">
      <c r="B26" s="126"/>
    </row>
    <row r="27" ht="14.25" customHeight="1">
      <c r="B27" s="126"/>
    </row>
    <row r="28" ht="14.25" customHeight="1">
      <c r="B28" s="126"/>
    </row>
    <row r="29" ht="14.25" customHeight="1">
      <c r="B29" s="126"/>
    </row>
    <row r="30" ht="14.25" customHeight="1">
      <c r="B30" s="126"/>
    </row>
    <row r="31" ht="14.25" customHeight="1">
      <c r="B31" s="126"/>
    </row>
    <row r="32" ht="14.25" customHeight="1">
      <c r="B32" s="126"/>
    </row>
    <row r="33" ht="14.25" customHeight="1">
      <c r="B33" s="126"/>
    </row>
    <row r="34" ht="14.25" customHeight="1">
      <c r="B34" s="126"/>
    </row>
    <row r="35" ht="14.25" customHeight="1">
      <c r="B35" s="126"/>
    </row>
    <row r="36" ht="14.25" customHeight="1">
      <c r="B36" s="126"/>
    </row>
    <row r="37" ht="14.25" customHeight="1">
      <c r="B37" s="126"/>
    </row>
    <row r="38" ht="14.25" customHeight="1">
      <c r="B38" s="126"/>
    </row>
    <row r="39" ht="14.25" customHeight="1">
      <c r="B39" s="126"/>
    </row>
    <row r="40" ht="14.25" customHeight="1">
      <c r="B40" s="126"/>
    </row>
    <row r="41" ht="14.25" customHeight="1">
      <c r="B41" s="126"/>
    </row>
    <row r="42" ht="14.25" customHeight="1">
      <c r="B42" s="126"/>
    </row>
    <row r="43" ht="14.25" customHeight="1">
      <c r="B43" s="126"/>
    </row>
    <row r="44" ht="14.25" customHeight="1">
      <c r="B44" s="126"/>
    </row>
    <row r="45" ht="14.25" customHeight="1">
      <c r="B45" s="126"/>
    </row>
    <row r="46" ht="14.25" customHeight="1">
      <c r="B46" s="126"/>
    </row>
    <row r="47" ht="14.25" customHeight="1">
      <c r="B47" s="126"/>
    </row>
    <row r="48" ht="14.25" customHeight="1">
      <c r="B48" s="126"/>
    </row>
    <row r="49" ht="14.25" customHeight="1">
      <c r="B49" s="126"/>
    </row>
    <row r="50" ht="14.25" customHeight="1">
      <c r="B50" s="126"/>
    </row>
    <row r="51" ht="14.25" customHeight="1">
      <c r="B51" s="126"/>
    </row>
    <row r="52" ht="14.25" customHeight="1">
      <c r="B52" s="126"/>
    </row>
    <row r="53" ht="14.25" customHeight="1">
      <c r="B53" s="126"/>
    </row>
    <row r="54" ht="14.25" customHeight="1">
      <c r="B54" s="126"/>
    </row>
    <row r="55" ht="14.25" customHeight="1">
      <c r="B55" s="126"/>
    </row>
    <row r="56" ht="14.25" customHeight="1">
      <c r="B56" s="126"/>
    </row>
    <row r="57" ht="14.25" customHeight="1">
      <c r="B57" s="126"/>
    </row>
    <row r="58" ht="14.25" customHeight="1">
      <c r="B58" s="126"/>
    </row>
    <row r="59" ht="14.25" customHeight="1">
      <c r="B59" s="126"/>
    </row>
    <row r="60" ht="14.25" customHeight="1">
      <c r="B60" s="126"/>
    </row>
    <row r="61" ht="14.25" customHeight="1">
      <c r="B61" s="126"/>
    </row>
    <row r="62" ht="14.25" customHeight="1">
      <c r="B62" s="126"/>
    </row>
    <row r="63" ht="14.25" customHeight="1">
      <c r="B63" s="126"/>
    </row>
    <row r="64" ht="14.25" customHeight="1">
      <c r="B64" s="126"/>
    </row>
    <row r="65" ht="14.25" customHeight="1">
      <c r="B65" s="126"/>
    </row>
    <row r="66" ht="14.25" customHeight="1">
      <c r="B66" s="126"/>
    </row>
    <row r="67" ht="14.25" customHeight="1">
      <c r="B67" s="126"/>
    </row>
    <row r="68" ht="14.25" customHeight="1">
      <c r="B68" s="126"/>
    </row>
    <row r="69" ht="14.25" customHeight="1">
      <c r="B69" s="126"/>
    </row>
    <row r="70" ht="14.25" customHeight="1">
      <c r="B70" s="126"/>
    </row>
    <row r="71" ht="14.25" customHeight="1">
      <c r="B71" s="126"/>
    </row>
    <row r="72" ht="14.25" customHeight="1">
      <c r="B72" s="126"/>
    </row>
    <row r="73" ht="14.25" customHeight="1">
      <c r="B73" s="126"/>
    </row>
    <row r="74" ht="14.25" customHeight="1">
      <c r="B74" s="126"/>
    </row>
    <row r="75" ht="14.25" customHeight="1">
      <c r="B75" s="126"/>
    </row>
    <row r="76" ht="14.25" customHeight="1">
      <c r="B76" s="126"/>
    </row>
    <row r="77" ht="14.25" customHeight="1">
      <c r="B77" s="126"/>
    </row>
    <row r="78" ht="14.25" customHeight="1">
      <c r="B78" s="126"/>
    </row>
    <row r="79" ht="14.25" customHeight="1">
      <c r="B79" s="126"/>
    </row>
    <row r="80" ht="14.25" customHeight="1">
      <c r="B80" s="126"/>
    </row>
    <row r="81" ht="14.25" customHeight="1">
      <c r="B81" s="126"/>
    </row>
    <row r="82" ht="14.25" customHeight="1">
      <c r="B82" s="126"/>
    </row>
    <row r="83" ht="14.25" customHeight="1">
      <c r="B83" s="126"/>
    </row>
    <row r="84" ht="14.25" customHeight="1">
      <c r="B84" s="126"/>
    </row>
    <row r="85" ht="14.25" customHeight="1">
      <c r="B85" s="126"/>
    </row>
    <row r="86" ht="14.25" customHeight="1">
      <c r="B86" s="126"/>
    </row>
    <row r="87" ht="14.25" customHeight="1">
      <c r="B87" s="126"/>
    </row>
    <row r="88" ht="14.25" customHeight="1">
      <c r="B88" s="126"/>
    </row>
    <row r="89" ht="14.25" customHeight="1">
      <c r="B89" s="126"/>
    </row>
    <row r="90" ht="14.25" customHeight="1">
      <c r="B90" s="126"/>
    </row>
    <row r="91" ht="14.25" customHeight="1">
      <c r="B91" s="126"/>
    </row>
    <row r="92" ht="14.25" customHeight="1">
      <c r="B92" s="126"/>
    </row>
    <row r="93" ht="14.25" customHeight="1">
      <c r="B93" s="126"/>
    </row>
    <row r="94" ht="14.25" customHeight="1">
      <c r="B94" s="126"/>
    </row>
    <row r="95" ht="14.25" customHeight="1">
      <c r="B95" s="126"/>
    </row>
    <row r="96" ht="14.25" customHeight="1">
      <c r="B96" s="126"/>
    </row>
    <row r="97" ht="14.25" customHeight="1">
      <c r="B97" s="126"/>
    </row>
    <row r="98" ht="14.25" customHeight="1">
      <c r="B98" s="126"/>
    </row>
    <row r="99" ht="14.25" customHeight="1">
      <c r="B99" s="126"/>
    </row>
    <row r="100" ht="14.25" customHeight="1">
      <c r="B100" s="126"/>
    </row>
    <row r="101" ht="14.25" customHeight="1">
      <c r="B101" s="126"/>
    </row>
    <row r="102" ht="14.25" customHeight="1">
      <c r="B102" s="126"/>
    </row>
    <row r="103" ht="14.25" customHeight="1">
      <c r="B103" s="126"/>
    </row>
    <row r="104" ht="14.25" customHeight="1">
      <c r="B104" s="126"/>
    </row>
    <row r="105" ht="14.25" customHeight="1">
      <c r="B105" s="126"/>
    </row>
    <row r="106" ht="14.25" customHeight="1">
      <c r="B106" s="126"/>
    </row>
    <row r="107" ht="14.25" customHeight="1">
      <c r="B107" s="126"/>
    </row>
    <row r="108" ht="14.25" customHeight="1">
      <c r="B108" s="126"/>
    </row>
    <row r="109" ht="14.25" customHeight="1">
      <c r="B109" s="126"/>
    </row>
    <row r="110" ht="14.25" customHeight="1">
      <c r="B110" s="126"/>
    </row>
    <row r="111" ht="14.25" customHeight="1">
      <c r="B111" s="126"/>
    </row>
    <row r="112" ht="14.25" customHeight="1">
      <c r="B112" s="126"/>
    </row>
    <row r="113" ht="14.25" customHeight="1">
      <c r="B113" s="126"/>
    </row>
    <row r="114" ht="14.25" customHeight="1">
      <c r="B114" s="126"/>
    </row>
    <row r="115" ht="14.25" customHeight="1">
      <c r="B115" s="126"/>
    </row>
    <row r="116" ht="14.25" customHeight="1">
      <c r="B116" s="126"/>
    </row>
    <row r="117" ht="14.25" customHeight="1">
      <c r="B117" s="126"/>
    </row>
    <row r="118" ht="14.25" customHeight="1">
      <c r="B118" s="126"/>
    </row>
    <row r="119" ht="14.25" customHeight="1">
      <c r="B119" s="126"/>
    </row>
    <row r="120" ht="14.25" customHeight="1">
      <c r="B120" s="126"/>
    </row>
    <row r="121" ht="14.25" customHeight="1">
      <c r="B121" s="126"/>
    </row>
    <row r="122" ht="14.25" customHeight="1">
      <c r="B122" s="126"/>
    </row>
    <row r="123" ht="14.25" customHeight="1">
      <c r="B123" s="126"/>
    </row>
    <row r="124" ht="14.25" customHeight="1">
      <c r="B124" s="126"/>
    </row>
    <row r="125" ht="14.25" customHeight="1">
      <c r="B125" s="126"/>
    </row>
    <row r="126" ht="14.25" customHeight="1">
      <c r="B126" s="126"/>
    </row>
    <row r="127" ht="14.25" customHeight="1">
      <c r="B127" s="126"/>
    </row>
    <row r="128" ht="14.25" customHeight="1">
      <c r="B128" s="126"/>
    </row>
    <row r="129" ht="14.25" customHeight="1">
      <c r="B129" s="126"/>
    </row>
    <row r="130" ht="14.25" customHeight="1">
      <c r="B130" s="126"/>
    </row>
    <row r="131" ht="14.25" customHeight="1">
      <c r="B131" s="126"/>
    </row>
    <row r="132" ht="14.25" customHeight="1">
      <c r="B132" s="126"/>
    </row>
    <row r="133" ht="14.25" customHeight="1">
      <c r="B133" s="126"/>
    </row>
    <row r="134" ht="14.25" customHeight="1">
      <c r="B134" s="126"/>
    </row>
    <row r="135" ht="14.25" customHeight="1">
      <c r="B135" s="126"/>
    </row>
    <row r="136" ht="14.25" customHeight="1">
      <c r="B136" s="126"/>
    </row>
    <row r="137" ht="14.25" customHeight="1">
      <c r="B137" s="126"/>
    </row>
    <row r="138" ht="14.25" customHeight="1">
      <c r="B138" s="126"/>
    </row>
    <row r="139" ht="14.25" customHeight="1">
      <c r="B139" s="126"/>
    </row>
    <row r="140" ht="14.25" customHeight="1">
      <c r="B140" s="126"/>
    </row>
    <row r="141" ht="14.25" customHeight="1">
      <c r="B141" s="126"/>
    </row>
    <row r="142" ht="14.25" customHeight="1">
      <c r="B142" s="126"/>
    </row>
    <row r="143" ht="14.25" customHeight="1">
      <c r="B143" s="126"/>
    </row>
    <row r="144" ht="14.25" customHeight="1">
      <c r="B144" s="126"/>
    </row>
    <row r="145" ht="14.25" customHeight="1">
      <c r="B145" s="126"/>
    </row>
    <row r="146" ht="14.25" customHeight="1">
      <c r="B146" s="126"/>
    </row>
    <row r="147" ht="14.25" customHeight="1">
      <c r="B147" s="126"/>
    </row>
    <row r="148" ht="14.25" customHeight="1">
      <c r="B148" s="126"/>
    </row>
    <row r="149" ht="14.25" customHeight="1">
      <c r="B149" s="126"/>
    </row>
    <row r="150" ht="14.25" customHeight="1">
      <c r="B150" s="126"/>
    </row>
    <row r="151" ht="14.25" customHeight="1">
      <c r="B151" s="126"/>
    </row>
    <row r="152" ht="14.25" customHeight="1">
      <c r="B152" s="126"/>
    </row>
    <row r="153" ht="14.25" customHeight="1">
      <c r="B153" s="126"/>
    </row>
    <row r="154" ht="14.25" customHeight="1">
      <c r="B154" s="126"/>
    </row>
    <row r="155" ht="14.25" customHeight="1">
      <c r="B155" s="126"/>
    </row>
    <row r="156" ht="14.25" customHeight="1">
      <c r="B156" s="126"/>
    </row>
    <row r="157" ht="14.25" customHeight="1">
      <c r="B157" s="126"/>
    </row>
    <row r="158" ht="14.25" customHeight="1">
      <c r="B158" s="126"/>
    </row>
    <row r="159" ht="14.25" customHeight="1">
      <c r="B159" s="126"/>
    </row>
    <row r="160" ht="14.25" customHeight="1">
      <c r="B160" s="126"/>
    </row>
    <row r="161" ht="14.25" customHeight="1">
      <c r="B161" s="126"/>
    </row>
    <row r="162" ht="14.25" customHeight="1">
      <c r="B162" s="126"/>
    </row>
    <row r="163" ht="14.25" customHeight="1">
      <c r="B163" s="126"/>
    </row>
    <row r="164" ht="14.25" customHeight="1">
      <c r="B164" s="126"/>
    </row>
    <row r="165" ht="14.25" customHeight="1">
      <c r="B165" s="126"/>
    </row>
    <row r="166" ht="14.25" customHeight="1">
      <c r="B166" s="126"/>
    </row>
    <row r="167" ht="14.25" customHeight="1">
      <c r="B167" s="126"/>
    </row>
    <row r="168" ht="14.25" customHeight="1">
      <c r="B168" s="126"/>
    </row>
    <row r="169" ht="14.25" customHeight="1">
      <c r="B169" s="126"/>
    </row>
    <row r="170" ht="14.25" customHeight="1">
      <c r="B170" s="126"/>
    </row>
    <row r="171" ht="14.25" customHeight="1">
      <c r="B171" s="126"/>
    </row>
    <row r="172" ht="14.25" customHeight="1">
      <c r="B172" s="126"/>
    </row>
    <row r="173" ht="14.25" customHeight="1">
      <c r="B173" s="126"/>
    </row>
    <row r="174" ht="14.25" customHeight="1">
      <c r="B174" s="126"/>
    </row>
    <row r="175" ht="14.25" customHeight="1">
      <c r="B175" s="126"/>
    </row>
    <row r="176" ht="14.25" customHeight="1">
      <c r="B176" s="126"/>
    </row>
    <row r="177" ht="14.25" customHeight="1">
      <c r="B177" s="126"/>
    </row>
    <row r="178" ht="14.25" customHeight="1">
      <c r="B178" s="126"/>
    </row>
    <row r="179" ht="14.25" customHeight="1">
      <c r="B179" s="126"/>
    </row>
    <row r="180" ht="14.25" customHeight="1">
      <c r="B180" s="126"/>
    </row>
    <row r="181" ht="14.25" customHeight="1">
      <c r="B181" s="126"/>
    </row>
    <row r="182" ht="14.25" customHeight="1">
      <c r="B182" s="126"/>
    </row>
    <row r="183" ht="14.25" customHeight="1">
      <c r="B183" s="126"/>
    </row>
    <row r="184" ht="14.25" customHeight="1">
      <c r="B184" s="126"/>
    </row>
    <row r="185" ht="14.25" customHeight="1">
      <c r="B185" s="126"/>
    </row>
    <row r="186" ht="14.25" customHeight="1">
      <c r="B186" s="126"/>
    </row>
    <row r="187" ht="14.25" customHeight="1">
      <c r="B187" s="126"/>
    </row>
    <row r="188" ht="14.25" customHeight="1">
      <c r="B188" s="126"/>
    </row>
    <row r="189" ht="14.25" customHeight="1">
      <c r="B189" s="126"/>
    </row>
    <row r="190" ht="14.25" customHeight="1">
      <c r="B190" s="126"/>
    </row>
    <row r="191" ht="14.25" customHeight="1">
      <c r="B191" s="126"/>
    </row>
    <row r="192" ht="14.25" customHeight="1">
      <c r="B192" s="126"/>
    </row>
    <row r="193" ht="14.25" customHeight="1">
      <c r="B193" s="126"/>
    </row>
    <row r="194" ht="14.25" customHeight="1">
      <c r="B194" s="126"/>
    </row>
    <row r="195" ht="14.25" customHeight="1">
      <c r="B195" s="126"/>
    </row>
    <row r="196" ht="14.25" customHeight="1">
      <c r="B196" s="126"/>
    </row>
    <row r="197" ht="14.25" customHeight="1">
      <c r="B197" s="126"/>
    </row>
    <row r="198" ht="14.25" customHeight="1">
      <c r="B198" s="126"/>
    </row>
    <row r="199" ht="14.25" customHeight="1">
      <c r="B199" s="126"/>
    </row>
    <row r="200" ht="14.25" customHeight="1">
      <c r="B200" s="126"/>
    </row>
    <row r="201" ht="14.25" customHeight="1">
      <c r="B201" s="126"/>
    </row>
    <row r="202" ht="14.25" customHeight="1">
      <c r="B202" s="126"/>
    </row>
    <row r="203" ht="14.25" customHeight="1">
      <c r="B203" s="126"/>
    </row>
    <row r="204" ht="14.25" customHeight="1">
      <c r="B204" s="126"/>
    </row>
    <row r="205" ht="14.25" customHeight="1">
      <c r="B205" s="126"/>
    </row>
    <row r="206" ht="14.25" customHeight="1">
      <c r="B206" s="126"/>
    </row>
    <row r="207" ht="14.25" customHeight="1">
      <c r="B207" s="126"/>
    </row>
    <row r="208" ht="14.25" customHeight="1">
      <c r="B208" s="126"/>
    </row>
    <row r="209" ht="14.25" customHeight="1">
      <c r="B209" s="126"/>
    </row>
    <row r="210" ht="14.25" customHeight="1">
      <c r="B210" s="126"/>
    </row>
    <row r="211" ht="14.25" customHeight="1">
      <c r="B211" s="126"/>
    </row>
    <row r="212" ht="14.25" customHeight="1">
      <c r="B212" s="126"/>
    </row>
    <row r="213" ht="14.25" customHeight="1">
      <c r="B213" s="126"/>
    </row>
    <row r="214" ht="14.25" customHeight="1">
      <c r="B214" s="126"/>
    </row>
    <row r="215" ht="14.25" customHeight="1">
      <c r="B215" s="126"/>
    </row>
    <row r="216" ht="14.25" customHeight="1">
      <c r="B216" s="126"/>
    </row>
    <row r="217" ht="14.25" customHeight="1">
      <c r="B217" s="126"/>
    </row>
    <row r="218" ht="14.25" customHeight="1">
      <c r="B218" s="126"/>
    </row>
    <row r="219" ht="14.25" customHeight="1">
      <c r="B219" s="126"/>
    </row>
    <row r="220" ht="14.25" customHeight="1">
      <c r="B220" s="126"/>
    </row>
    <row r="221" ht="14.25" customHeight="1">
      <c r="B221" s="126"/>
    </row>
    <row r="222" ht="14.25" customHeight="1">
      <c r="B222" s="126"/>
    </row>
    <row r="223" ht="14.25" customHeight="1">
      <c r="B223" s="126"/>
    </row>
    <row r="224" ht="14.25" customHeight="1">
      <c r="B224" s="126"/>
    </row>
    <row r="225" ht="14.25" customHeight="1">
      <c r="B225" s="126"/>
    </row>
    <row r="226" ht="14.25" customHeight="1">
      <c r="B226" s="126"/>
    </row>
    <row r="227" ht="14.25" customHeight="1">
      <c r="B227" s="126"/>
    </row>
    <row r="228" ht="14.25" customHeight="1">
      <c r="B228" s="126"/>
    </row>
    <row r="229" ht="14.25" customHeight="1">
      <c r="B229" s="126"/>
    </row>
    <row r="230" ht="14.25" customHeight="1">
      <c r="B230" s="126"/>
    </row>
    <row r="231" ht="14.25" customHeight="1">
      <c r="B231" s="126"/>
    </row>
    <row r="232" ht="14.25" customHeight="1">
      <c r="B232" s="126"/>
    </row>
    <row r="233" ht="14.25" customHeight="1">
      <c r="B233" s="126"/>
    </row>
    <row r="234" ht="14.25" customHeight="1">
      <c r="B234" s="126"/>
    </row>
    <row r="235" ht="14.25" customHeight="1">
      <c r="B235" s="126"/>
    </row>
    <row r="236" ht="14.25" customHeight="1">
      <c r="B236" s="126"/>
    </row>
    <row r="237" ht="14.25" customHeight="1">
      <c r="B237" s="126"/>
    </row>
    <row r="238" ht="14.25" customHeight="1">
      <c r="B238" s="126"/>
    </row>
    <row r="239" ht="14.25" customHeight="1">
      <c r="B239" s="126"/>
    </row>
    <row r="240" ht="14.25" customHeight="1">
      <c r="B240" s="126"/>
    </row>
    <row r="241" ht="14.25" customHeight="1">
      <c r="B241" s="126"/>
    </row>
    <row r="242" ht="14.25" customHeight="1">
      <c r="B242" s="126"/>
    </row>
    <row r="243" ht="14.25" customHeight="1">
      <c r="B243" s="126"/>
    </row>
    <row r="244" ht="14.25" customHeight="1">
      <c r="B244" s="126"/>
    </row>
    <row r="245" ht="14.25" customHeight="1">
      <c r="B245" s="126"/>
    </row>
    <row r="246" ht="14.25" customHeight="1">
      <c r="B246" s="126"/>
    </row>
    <row r="247" ht="14.25" customHeight="1">
      <c r="B247" s="126"/>
    </row>
    <row r="248" ht="14.25" customHeight="1">
      <c r="B248" s="126"/>
    </row>
    <row r="249" ht="14.25" customHeight="1">
      <c r="B249" s="126"/>
    </row>
    <row r="250" ht="14.25" customHeight="1">
      <c r="B250" s="126"/>
    </row>
    <row r="251" ht="14.25" customHeight="1">
      <c r="B251" s="126"/>
    </row>
    <row r="252" ht="14.25" customHeight="1">
      <c r="B252" s="126"/>
    </row>
    <row r="253" ht="14.25" customHeight="1">
      <c r="B253" s="126"/>
    </row>
    <row r="254" ht="14.25" customHeight="1">
      <c r="B254" s="126"/>
    </row>
    <row r="255" ht="14.25" customHeight="1">
      <c r="B255" s="126"/>
    </row>
    <row r="256" ht="14.25" customHeight="1">
      <c r="B256" s="126"/>
    </row>
    <row r="257" ht="14.25" customHeight="1">
      <c r="B257" s="126"/>
    </row>
    <row r="258" ht="14.25" customHeight="1">
      <c r="B258" s="126"/>
    </row>
    <row r="259" ht="14.25" customHeight="1">
      <c r="B259" s="126"/>
    </row>
    <row r="260" ht="14.25" customHeight="1">
      <c r="B260" s="126"/>
    </row>
    <row r="261" ht="14.25" customHeight="1">
      <c r="B261" s="126"/>
    </row>
    <row r="262" ht="14.25" customHeight="1">
      <c r="B262" s="126"/>
    </row>
    <row r="263" ht="14.25" customHeight="1">
      <c r="B263" s="126"/>
    </row>
    <row r="264" ht="14.25" customHeight="1">
      <c r="B264" s="126"/>
    </row>
    <row r="265" ht="14.25" customHeight="1">
      <c r="B265" s="126"/>
    </row>
    <row r="266" ht="14.25" customHeight="1">
      <c r="B266" s="126"/>
    </row>
    <row r="267" ht="14.25" customHeight="1">
      <c r="B267" s="126"/>
    </row>
    <row r="268" ht="14.25" customHeight="1">
      <c r="B268" s="126"/>
    </row>
    <row r="269" ht="14.25" customHeight="1">
      <c r="B269" s="126"/>
    </row>
    <row r="270" ht="14.25" customHeight="1">
      <c r="B270" s="126"/>
    </row>
    <row r="271" ht="14.25" customHeight="1">
      <c r="B271" s="126"/>
    </row>
    <row r="272" ht="14.25" customHeight="1">
      <c r="B272" s="126"/>
    </row>
    <row r="273" ht="14.25" customHeight="1">
      <c r="B273" s="126"/>
    </row>
    <row r="274" ht="14.25" customHeight="1">
      <c r="B274" s="126"/>
    </row>
    <row r="275" ht="14.25" customHeight="1">
      <c r="B275" s="126"/>
    </row>
    <row r="276" ht="14.25" customHeight="1">
      <c r="B276" s="126"/>
    </row>
    <row r="277" ht="14.25" customHeight="1">
      <c r="B277" s="126"/>
    </row>
    <row r="278" ht="14.25" customHeight="1">
      <c r="B278" s="126"/>
    </row>
    <row r="279" ht="14.25" customHeight="1">
      <c r="B279" s="126"/>
    </row>
    <row r="280" ht="14.25" customHeight="1">
      <c r="B280" s="126"/>
    </row>
    <row r="281" ht="14.25" customHeight="1">
      <c r="B281" s="126"/>
    </row>
    <row r="282" ht="14.25" customHeight="1">
      <c r="B282" s="126"/>
    </row>
    <row r="283" ht="14.25" customHeight="1">
      <c r="B283" s="126"/>
    </row>
    <row r="284" ht="14.25" customHeight="1">
      <c r="B284" s="126"/>
    </row>
    <row r="285" ht="14.25" customHeight="1">
      <c r="B285" s="126"/>
    </row>
    <row r="286" ht="14.25" customHeight="1">
      <c r="B286" s="126"/>
    </row>
    <row r="287" ht="14.25" customHeight="1">
      <c r="B287" s="126"/>
    </row>
    <row r="288" ht="14.25" customHeight="1">
      <c r="B288" s="126"/>
    </row>
    <row r="289" ht="14.25" customHeight="1">
      <c r="B289" s="126"/>
    </row>
    <row r="290" ht="14.25" customHeight="1">
      <c r="B290" s="126"/>
    </row>
    <row r="291" ht="14.25" customHeight="1">
      <c r="B291" s="126"/>
    </row>
    <row r="292" ht="14.25" customHeight="1">
      <c r="B292" s="126"/>
    </row>
    <row r="293" ht="14.25" customHeight="1">
      <c r="B293" s="126"/>
    </row>
    <row r="294" ht="14.25" customHeight="1">
      <c r="B294" s="126"/>
    </row>
    <row r="295" ht="14.25" customHeight="1">
      <c r="B295" s="126"/>
    </row>
    <row r="296" ht="14.25" customHeight="1">
      <c r="B296" s="126"/>
    </row>
    <row r="297" ht="14.25" customHeight="1">
      <c r="B297" s="126"/>
    </row>
    <row r="298" ht="14.25" customHeight="1">
      <c r="B298" s="126"/>
    </row>
    <row r="299" ht="14.25" customHeight="1">
      <c r="B299" s="126"/>
    </row>
    <row r="300" ht="14.25" customHeight="1">
      <c r="B300" s="126"/>
    </row>
    <row r="301" ht="14.25" customHeight="1">
      <c r="B301" s="126"/>
    </row>
    <row r="302" ht="14.25" customHeight="1">
      <c r="B302" s="126"/>
    </row>
    <row r="303" ht="14.25" customHeight="1">
      <c r="B303" s="126"/>
    </row>
    <row r="304" ht="14.25" customHeight="1">
      <c r="B304" s="126"/>
    </row>
    <row r="305" ht="14.25" customHeight="1">
      <c r="B305" s="126"/>
    </row>
    <row r="306" ht="14.25" customHeight="1">
      <c r="B306" s="126"/>
    </row>
    <row r="307" ht="14.25" customHeight="1">
      <c r="B307" s="126"/>
    </row>
    <row r="308" ht="14.25" customHeight="1">
      <c r="B308" s="126"/>
    </row>
    <row r="309" ht="14.25" customHeight="1">
      <c r="B309" s="126"/>
    </row>
    <row r="310" ht="14.25" customHeight="1">
      <c r="B310" s="126"/>
    </row>
    <row r="311" ht="14.25" customHeight="1">
      <c r="B311" s="126"/>
    </row>
    <row r="312" ht="14.25" customHeight="1">
      <c r="B312" s="126"/>
    </row>
    <row r="313" ht="14.25" customHeight="1">
      <c r="B313" s="126"/>
    </row>
    <row r="314" ht="14.25" customHeight="1">
      <c r="B314" s="126"/>
    </row>
    <row r="315" ht="14.25" customHeight="1">
      <c r="B315" s="126"/>
    </row>
    <row r="316" ht="14.25" customHeight="1">
      <c r="B316" s="126"/>
    </row>
    <row r="317" ht="14.25" customHeight="1">
      <c r="B317" s="126"/>
    </row>
    <row r="318" ht="14.25" customHeight="1">
      <c r="B318" s="126"/>
    </row>
    <row r="319" ht="14.25" customHeight="1">
      <c r="B319" s="126"/>
    </row>
    <row r="320" ht="14.25" customHeight="1">
      <c r="B320" s="126"/>
    </row>
    <row r="321" ht="14.25" customHeight="1">
      <c r="B321" s="126"/>
    </row>
    <row r="322" ht="14.25" customHeight="1">
      <c r="B322" s="126"/>
    </row>
    <row r="323" ht="14.25" customHeight="1">
      <c r="B323" s="126"/>
    </row>
    <row r="324" ht="14.25" customHeight="1">
      <c r="B324" s="126"/>
    </row>
    <row r="325" ht="14.25" customHeight="1">
      <c r="B325" s="126"/>
    </row>
    <row r="326" ht="14.25" customHeight="1">
      <c r="B326" s="126"/>
    </row>
    <row r="327" ht="14.25" customHeight="1">
      <c r="B327" s="126"/>
    </row>
    <row r="328" ht="14.25" customHeight="1">
      <c r="B328" s="126"/>
    </row>
    <row r="329" ht="14.25" customHeight="1">
      <c r="B329" s="126"/>
    </row>
    <row r="330" ht="14.25" customHeight="1">
      <c r="B330" s="126"/>
    </row>
    <row r="331" ht="14.25" customHeight="1">
      <c r="B331" s="126"/>
    </row>
    <row r="332" ht="14.25" customHeight="1">
      <c r="B332" s="126"/>
    </row>
    <row r="333" ht="14.25" customHeight="1">
      <c r="B333" s="126"/>
    </row>
    <row r="334" ht="14.25" customHeight="1">
      <c r="B334" s="126"/>
    </row>
    <row r="335" ht="14.25" customHeight="1">
      <c r="B335" s="126"/>
    </row>
    <row r="336" ht="14.25" customHeight="1">
      <c r="B336" s="126"/>
    </row>
    <row r="337" ht="14.25" customHeight="1">
      <c r="B337" s="126"/>
    </row>
    <row r="338" ht="14.25" customHeight="1">
      <c r="B338" s="126"/>
    </row>
    <row r="339" ht="14.25" customHeight="1">
      <c r="B339" s="126"/>
    </row>
    <row r="340" ht="14.25" customHeight="1">
      <c r="B340" s="126"/>
    </row>
    <row r="341" ht="14.25" customHeight="1">
      <c r="B341" s="126"/>
    </row>
    <row r="342" ht="14.25" customHeight="1">
      <c r="B342" s="126"/>
    </row>
    <row r="343" ht="14.25" customHeight="1">
      <c r="B343" s="126"/>
    </row>
    <row r="344" ht="14.25" customHeight="1">
      <c r="B344" s="126"/>
    </row>
    <row r="345" ht="14.25" customHeight="1">
      <c r="B345" s="126"/>
    </row>
    <row r="346" ht="14.25" customHeight="1">
      <c r="B346" s="126"/>
    </row>
    <row r="347" ht="14.25" customHeight="1">
      <c r="B347" s="126"/>
    </row>
    <row r="348" ht="14.25" customHeight="1">
      <c r="B348" s="126"/>
    </row>
    <row r="349" ht="14.25" customHeight="1">
      <c r="B349" s="126"/>
    </row>
    <row r="350" ht="14.25" customHeight="1">
      <c r="B350" s="126"/>
    </row>
    <row r="351" ht="14.25" customHeight="1">
      <c r="B351" s="126"/>
    </row>
    <row r="352" ht="14.25" customHeight="1">
      <c r="B352" s="126"/>
    </row>
    <row r="353" ht="14.25" customHeight="1">
      <c r="B353" s="126"/>
    </row>
    <row r="354" ht="14.25" customHeight="1">
      <c r="B354" s="126"/>
    </row>
    <row r="355" ht="14.25" customHeight="1">
      <c r="B355" s="126"/>
    </row>
    <row r="356" ht="14.25" customHeight="1">
      <c r="B356" s="126"/>
    </row>
    <row r="357" ht="14.25" customHeight="1">
      <c r="B357" s="126"/>
    </row>
    <row r="358" ht="14.25" customHeight="1">
      <c r="B358" s="126"/>
    </row>
    <row r="359" ht="14.25" customHeight="1">
      <c r="B359" s="126"/>
    </row>
    <row r="360" ht="14.25" customHeight="1">
      <c r="B360" s="126"/>
    </row>
    <row r="361" ht="14.25" customHeight="1">
      <c r="B361" s="126"/>
    </row>
    <row r="362" ht="14.25" customHeight="1">
      <c r="B362" s="126"/>
    </row>
    <row r="363" ht="14.25" customHeight="1">
      <c r="B363" s="126"/>
    </row>
    <row r="364" ht="14.25" customHeight="1">
      <c r="B364" s="126"/>
    </row>
    <row r="365" ht="14.25" customHeight="1">
      <c r="B365" s="126"/>
    </row>
    <row r="366" ht="14.25" customHeight="1">
      <c r="B366" s="126"/>
    </row>
    <row r="367" ht="14.25" customHeight="1">
      <c r="B367" s="126"/>
    </row>
    <row r="368" ht="14.25" customHeight="1">
      <c r="B368" s="126"/>
    </row>
    <row r="369" ht="14.25" customHeight="1">
      <c r="B369" s="126"/>
    </row>
    <row r="370" ht="14.25" customHeight="1">
      <c r="B370" s="126"/>
    </row>
    <row r="371" ht="14.25" customHeight="1">
      <c r="B371" s="126"/>
    </row>
    <row r="372" ht="14.25" customHeight="1">
      <c r="B372" s="126"/>
    </row>
    <row r="373" ht="14.25" customHeight="1">
      <c r="B373" s="126"/>
    </row>
    <row r="374" ht="14.25" customHeight="1">
      <c r="B374" s="126"/>
    </row>
    <row r="375" ht="14.25" customHeight="1">
      <c r="B375" s="126"/>
    </row>
    <row r="376" ht="14.25" customHeight="1">
      <c r="B376" s="126"/>
    </row>
    <row r="377" ht="14.25" customHeight="1">
      <c r="B377" s="126"/>
    </row>
    <row r="378" ht="14.25" customHeight="1">
      <c r="B378" s="126"/>
    </row>
    <row r="379" ht="14.25" customHeight="1">
      <c r="B379" s="126"/>
    </row>
    <row r="380" ht="14.25" customHeight="1">
      <c r="B380" s="126"/>
    </row>
    <row r="381" ht="14.25" customHeight="1">
      <c r="B381" s="126"/>
    </row>
    <row r="382" ht="14.25" customHeight="1">
      <c r="B382" s="126"/>
    </row>
    <row r="383" ht="14.25" customHeight="1">
      <c r="B383" s="126"/>
    </row>
    <row r="384" ht="14.25" customHeight="1">
      <c r="B384" s="126"/>
    </row>
    <row r="385" ht="14.25" customHeight="1">
      <c r="B385" s="126"/>
    </row>
    <row r="386" ht="14.25" customHeight="1">
      <c r="B386" s="126"/>
    </row>
    <row r="387" ht="14.25" customHeight="1">
      <c r="B387" s="126"/>
    </row>
    <row r="388" ht="14.25" customHeight="1">
      <c r="B388" s="126"/>
    </row>
    <row r="389" ht="14.25" customHeight="1">
      <c r="B389" s="126"/>
    </row>
    <row r="390" ht="14.25" customHeight="1">
      <c r="B390" s="126"/>
    </row>
    <row r="391" ht="14.25" customHeight="1">
      <c r="B391" s="126"/>
    </row>
    <row r="392" ht="14.25" customHeight="1">
      <c r="B392" s="126"/>
    </row>
    <row r="393" ht="14.25" customHeight="1">
      <c r="B393" s="126"/>
    </row>
    <row r="394" ht="14.25" customHeight="1">
      <c r="B394" s="126"/>
    </row>
    <row r="395" ht="14.25" customHeight="1">
      <c r="B395" s="126"/>
    </row>
    <row r="396" ht="14.25" customHeight="1">
      <c r="B396" s="126"/>
    </row>
    <row r="397" ht="14.25" customHeight="1">
      <c r="B397" s="126"/>
    </row>
    <row r="398" ht="14.25" customHeight="1">
      <c r="B398" s="126"/>
    </row>
    <row r="399" ht="14.25" customHeight="1">
      <c r="B399" s="126"/>
    </row>
    <row r="400" ht="14.25" customHeight="1">
      <c r="B400" s="126"/>
    </row>
    <row r="401" ht="14.25" customHeight="1">
      <c r="B401" s="126"/>
    </row>
    <row r="402" ht="14.25" customHeight="1">
      <c r="B402" s="126"/>
    </row>
    <row r="403" ht="14.25" customHeight="1">
      <c r="B403" s="126"/>
    </row>
    <row r="404" ht="14.25" customHeight="1">
      <c r="B404" s="126"/>
    </row>
    <row r="405" ht="14.25" customHeight="1">
      <c r="B405" s="126"/>
    </row>
    <row r="406" ht="14.25" customHeight="1">
      <c r="B406" s="126"/>
    </row>
    <row r="407" ht="14.25" customHeight="1">
      <c r="B407" s="126"/>
    </row>
    <row r="408" ht="14.25" customHeight="1">
      <c r="B408" s="126"/>
    </row>
    <row r="409" ht="14.25" customHeight="1">
      <c r="B409" s="126"/>
    </row>
    <row r="410" ht="14.25" customHeight="1">
      <c r="B410" s="126"/>
    </row>
    <row r="411" ht="14.25" customHeight="1">
      <c r="B411" s="126"/>
    </row>
    <row r="412" ht="14.25" customHeight="1">
      <c r="B412" s="126"/>
    </row>
    <row r="413" ht="14.25" customHeight="1">
      <c r="B413" s="126"/>
    </row>
    <row r="414" ht="14.25" customHeight="1">
      <c r="B414" s="126"/>
    </row>
    <row r="415" ht="14.25" customHeight="1">
      <c r="B415" s="126"/>
    </row>
    <row r="416" ht="14.25" customHeight="1">
      <c r="B416" s="126"/>
    </row>
    <row r="417" ht="14.25" customHeight="1">
      <c r="B417" s="126"/>
    </row>
    <row r="418" ht="14.25" customHeight="1">
      <c r="B418" s="126"/>
    </row>
    <row r="419" ht="14.25" customHeight="1">
      <c r="B419" s="126"/>
    </row>
    <row r="420" ht="14.25" customHeight="1">
      <c r="B420" s="126"/>
    </row>
    <row r="421" ht="14.25" customHeight="1">
      <c r="B421" s="126"/>
    </row>
    <row r="422" ht="14.25" customHeight="1">
      <c r="B422" s="126"/>
    </row>
    <row r="423" ht="14.25" customHeight="1">
      <c r="B423" s="126"/>
    </row>
    <row r="424" ht="14.25" customHeight="1">
      <c r="B424" s="126"/>
    </row>
    <row r="425" ht="14.25" customHeight="1">
      <c r="B425" s="126"/>
    </row>
    <row r="426" ht="14.25" customHeight="1">
      <c r="B426" s="126"/>
    </row>
    <row r="427" ht="14.25" customHeight="1">
      <c r="B427" s="126"/>
    </row>
    <row r="428" ht="14.25" customHeight="1">
      <c r="B428" s="126"/>
    </row>
    <row r="429" ht="14.25" customHeight="1">
      <c r="B429" s="126"/>
    </row>
    <row r="430" ht="14.25" customHeight="1">
      <c r="B430" s="126"/>
    </row>
    <row r="431" ht="14.25" customHeight="1">
      <c r="B431" s="126"/>
    </row>
    <row r="432" ht="14.25" customHeight="1">
      <c r="B432" s="126"/>
    </row>
    <row r="433" ht="14.25" customHeight="1">
      <c r="B433" s="126"/>
    </row>
    <row r="434" ht="14.25" customHeight="1">
      <c r="B434" s="126"/>
    </row>
    <row r="435" ht="14.25" customHeight="1">
      <c r="B435" s="126"/>
    </row>
    <row r="436" ht="14.25" customHeight="1">
      <c r="B436" s="126"/>
    </row>
    <row r="437" ht="14.25" customHeight="1">
      <c r="B437" s="126"/>
    </row>
    <row r="438" ht="14.25" customHeight="1">
      <c r="B438" s="126"/>
    </row>
    <row r="439" ht="14.25" customHeight="1">
      <c r="B439" s="126"/>
    </row>
    <row r="440" ht="14.25" customHeight="1">
      <c r="B440" s="126"/>
    </row>
    <row r="441" ht="14.25" customHeight="1">
      <c r="B441" s="126"/>
    </row>
    <row r="442" ht="14.25" customHeight="1">
      <c r="B442" s="126"/>
    </row>
    <row r="443" ht="14.25" customHeight="1">
      <c r="B443" s="126"/>
    </row>
    <row r="444" ht="14.25" customHeight="1">
      <c r="B444" s="126"/>
    </row>
    <row r="445" ht="14.25" customHeight="1">
      <c r="B445" s="126"/>
    </row>
    <row r="446" ht="14.25" customHeight="1">
      <c r="B446" s="126"/>
    </row>
    <row r="447" ht="14.25" customHeight="1">
      <c r="B447" s="126"/>
    </row>
    <row r="448" ht="14.25" customHeight="1">
      <c r="B448" s="126"/>
    </row>
    <row r="449" ht="14.25" customHeight="1">
      <c r="B449" s="126"/>
    </row>
    <row r="450" ht="14.25" customHeight="1">
      <c r="B450" s="126"/>
    </row>
    <row r="451" ht="14.25" customHeight="1">
      <c r="B451" s="126"/>
    </row>
    <row r="452" ht="14.25" customHeight="1">
      <c r="B452" s="126"/>
    </row>
    <row r="453" ht="14.25" customHeight="1">
      <c r="B453" s="126"/>
    </row>
    <row r="454" ht="14.25" customHeight="1">
      <c r="B454" s="126"/>
    </row>
    <row r="455" ht="14.25" customHeight="1">
      <c r="B455" s="126"/>
    </row>
    <row r="456" ht="14.25" customHeight="1">
      <c r="B456" s="126"/>
    </row>
    <row r="457" ht="14.25" customHeight="1">
      <c r="B457" s="126"/>
    </row>
    <row r="458" ht="14.25" customHeight="1">
      <c r="B458" s="126"/>
    </row>
    <row r="459" ht="14.25" customHeight="1">
      <c r="B459" s="126"/>
    </row>
    <row r="460" ht="14.25" customHeight="1">
      <c r="B460" s="126"/>
    </row>
    <row r="461" ht="14.25" customHeight="1">
      <c r="B461" s="126"/>
    </row>
    <row r="462" ht="14.25" customHeight="1">
      <c r="B462" s="126"/>
    </row>
    <row r="463" ht="14.25" customHeight="1">
      <c r="B463" s="126"/>
    </row>
    <row r="464" ht="14.25" customHeight="1">
      <c r="B464" s="126"/>
    </row>
    <row r="465" ht="14.25" customHeight="1">
      <c r="B465" s="126"/>
    </row>
    <row r="466" ht="14.25" customHeight="1">
      <c r="B466" s="126"/>
    </row>
    <row r="467" ht="14.25" customHeight="1">
      <c r="B467" s="126"/>
    </row>
    <row r="468" ht="14.25" customHeight="1">
      <c r="B468" s="126"/>
    </row>
    <row r="469" ht="14.25" customHeight="1">
      <c r="B469" s="126"/>
    </row>
    <row r="470" ht="14.25" customHeight="1">
      <c r="B470" s="126"/>
    </row>
    <row r="471" ht="14.25" customHeight="1">
      <c r="B471" s="126"/>
    </row>
    <row r="472" ht="14.25" customHeight="1">
      <c r="B472" s="126"/>
    </row>
    <row r="473" ht="14.25" customHeight="1">
      <c r="B473" s="126"/>
    </row>
    <row r="474" ht="14.25" customHeight="1">
      <c r="B474" s="126"/>
    </row>
    <row r="475" ht="14.25" customHeight="1">
      <c r="B475" s="126"/>
    </row>
    <row r="476" ht="14.25" customHeight="1">
      <c r="B476" s="126"/>
    </row>
    <row r="477" ht="14.25" customHeight="1">
      <c r="B477" s="126"/>
    </row>
    <row r="478" ht="14.25" customHeight="1">
      <c r="B478" s="126"/>
    </row>
    <row r="479" ht="14.25" customHeight="1">
      <c r="B479" s="126"/>
    </row>
    <row r="480" ht="14.25" customHeight="1">
      <c r="B480" s="126"/>
    </row>
    <row r="481" ht="14.25" customHeight="1">
      <c r="B481" s="126"/>
    </row>
    <row r="482" ht="14.25" customHeight="1">
      <c r="B482" s="126"/>
    </row>
    <row r="483" ht="14.25" customHeight="1">
      <c r="B483" s="126"/>
    </row>
    <row r="484" ht="14.25" customHeight="1">
      <c r="B484" s="126"/>
    </row>
    <row r="485" ht="14.25" customHeight="1">
      <c r="B485" s="126"/>
    </row>
    <row r="486" ht="14.25" customHeight="1">
      <c r="B486" s="126"/>
    </row>
    <row r="487" ht="14.25" customHeight="1">
      <c r="B487" s="126"/>
    </row>
    <row r="488" ht="14.25" customHeight="1">
      <c r="B488" s="126"/>
    </row>
    <row r="489" ht="14.25" customHeight="1">
      <c r="B489" s="126"/>
    </row>
    <row r="490" ht="14.25" customHeight="1">
      <c r="B490" s="126"/>
    </row>
    <row r="491" ht="14.25" customHeight="1">
      <c r="B491" s="126"/>
    </row>
    <row r="492" ht="14.25" customHeight="1">
      <c r="B492" s="126"/>
    </row>
    <row r="493" ht="14.25" customHeight="1">
      <c r="B493" s="126"/>
    </row>
    <row r="494" ht="14.25" customHeight="1">
      <c r="B494" s="126"/>
    </row>
    <row r="495" ht="14.25" customHeight="1">
      <c r="B495" s="126"/>
    </row>
    <row r="496" ht="14.25" customHeight="1">
      <c r="B496" s="126"/>
    </row>
    <row r="497" ht="14.25" customHeight="1">
      <c r="B497" s="126"/>
    </row>
    <row r="498" ht="14.25" customHeight="1">
      <c r="B498" s="126"/>
    </row>
    <row r="499" ht="14.25" customHeight="1">
      <c r="B499" s="126"/>
    </row>
    <row r="500" ht="14.25" customHeight="1">
      <c r="B500" s="126"/>
    </row>
    <row r="501" ht="14.25" customHeight="1">
      <c r="B501" s="126"/>
    </row>
    <row r="502" ht="14.25" customHeight="1">
      <c r="B502" s="126"/>
    </row>
    <row r="503" ht="14.25" customHeight="1">
      <c r="B503" s="126"/>
    </row>
    <row r="504" ht="14.25" customHeight="1">
      <c r="B504" s="126"/>
    </row>
    <row r="505" ht="14.25" customHeight="1">
      <c r="B505" s="126"/>
    </row>
    <row r="506" ht="14.25" customHeight="1">
      <c r="B506" s="126"/>
    </row>
    <row r="507" ht="14.25" customHeight="1">
      <c r="B507" s="126"/>
    </row>
    <row r="508" ht="14.25" customHeight="1">
      <c r="B508" s="126"/>
    </row>
    <row r="509" ht="14.25" customHeight="1">
      <c r="B509" s="126"/>
    </row>
    <row r="510" ht="14.25" customHeight="1">
      <c r="B510" s="126"/>
    </row>
    <row r="511" ht="14.25" customHeight="1">
      <c r="B511" s="126"/>
    </row>
    <row r="512" ht="14.25" customHeight="1">
      <c r="B512" s="126"/>
    </row>
    <row r="513" ht="14.25" customHeight="1">
      <c r="B513" s="126"/>
    </row>
    <row r="514" ht="14.25" customHeight="1">
      <c r="B514" s="126"/>
    </row>
    <row r="515" ht="14.25" customHeight="1">
      <c r="B515" s="126"/>
    </row>
    <row r="516" ht="14.25" customHeight="1">
      <c r="B516" s="126"/>
    </row>
    <row r="517" ht="14.25" customHeight="1">
      <c r="B517" s="126"/>
    </row>
    <row r="518" ht="14.25" customHeight="1">
      <c r="B518" s="126"/>
    </row>
    <row r="519" ht="14.25" customHeight="1">
      <c r="B519" s="126"/>
    </row>
    <row r="520" ht="14.25" customHeight="1">
      <c r="B520" s="126"/>
    </row>
    <row r="521" ht="14.25" customHeight="1">
      <c r="B521" s="126"/>
    </row>
    <row r="522" ht="14.25" customHeight="1">
      <c r="B522" s="126"/>
    </row>
    <row r="523" ht="14.25" customHeight="1">
      <c r="B523" s="126"/>
    </row>
    <row r="524" ht="14.25" customHeight="1">
      <c r="B524" s="126"/>
    </row>
    <row r="525" ht="14.25" customHeight="1">
      <c r="B525" s="126"/>
    </row>
    <row r="526" ht="14.25" customHeight="1">
      <c r="B526" s="126"/>
    </row>
    <row r="527" ht="14.25" customHeight="1">
      <c r="B527" s="126"/>
    </row>
    <row r="528" ht="14.25" customHeight="1">
      <c r="B528" s="126"/>
    </row>
    <row r="529" ht="14.25" customHeight="1">
      <c r="B529" s="126"/>
    </row>
    <row r="530" ht="14.25" customHeight="1">
      <c r="B530" s="126"/>
    </row>
    <row r="531" ht="14.25" customHeight="1">
      <c r="B531" s="126"/>
    </row>
    <row r="532" ht="14.25" customHeight="1">
      <c r="B532" s="126"/>
    </row>
    <row r="533" ht="14.25" customHeight="1">
      <c r="B533" s="126"/>
    </row>
    <row r="534" ht="14.25" customHeight="1">
      <c r="B534" s="126"/>
    </row>
    <row r="535" ht="14.25" customHeight="1">
      <c r="B535" s="126"/>
    </row>
    <row r="536" ht="14.25" customHeight="1">
      <c r="B536" s="126"/>
    </row>
    <row r="537" ht="14.25" customHeight="1">
      <c r="B537" s="126"/>
    </row>
    <row r="538" ht="14.25" customHeight="1">
      <c r="B538" s="126"/>
    </row>
    <row r="539" ht="14.25" customHeight="1">
      <c r="B539" s="126"/>
    </row>
    <row r="540" ht="14.25" customHeight="1">
      <c r="B540" s="126"/>
    </row>
    <row r="541" ht="14.25" customHeight="1">
      <c r="B541" s="126"/>
    </row>
    <row r="542" ht="14.25" customHeight="1">
      <c r="B542" s="126"/>
    </row>
    <row r="543" ht="14.25" customHeight="1">
      <c r="B543" s="126"/>
    </row>
    <row r="544" ht="14.25" customHeight="1">
      <c r="B544" s="126"/>
    </row>
    <row r="545" ht="14.25" customHeight="1">
      <c r="B545" s="126"/>
    </row>
    <row r="546" ht="14.25" customHeight="1">
      <c r="B546" s="126"/>
    </row>
    <row r="547" ht="14.25" customHeight="1">
      <c r="B547" s="126"/>
    </row>
    <row r="548" ht="14.25" customHeight="1">
      <c r="B548" s="126"/>
    </row>
    <row r="549" ht="14.25" customHeight="1">
      <c r="B549" s="126"/>
    </row>
    <row r="550" ht="14.25" customHeight="1">
      <c r="B550" s="126"/>
    </row>
    <row r="551" ht="14.25" customHeight="1">
      <c r="B551" s="126"/>
    </row>
    <row r="552" ht="14.25" customHeight="1">
      <c r="B552" s="126"/>
    </row>
    <row r="553" ht="14.25" customHeight="1">
      <c r="B553" s="126"/>
    </row>
    <row r="554" ht="14.25" customHeight="1">
      <c r="B554" s="126"/>
    </row>
    <row r="555" ht="14.25" customHeight="1">
      <c r="B555" s="126"/>
    </row>
    <row r="556" ht="14.25" customHeight="1">
      <c r="B556" s="126"/>
    </row>
    <row r="557" ht="14.25" customHeight="1">
      <c r="B557" s="126"/>
    </row>
    <row r="558" ht="14.25" customHeight="1">
      <c r="B558" s="126"/>
    </row>
    <row r="559" ht="14.25" customHeight="1">
      <c r="B559" s="126"/>
    </row>
    <row r="560" ht="14.25" customHeight="1">
      <c r="B560" s="126"/>
    </row>
    <row r="561" ht="14.25" customHeight="1">
      <c r="B561" s="126"/>
    </row>
    <row r="562" ht="14.25" customHeight="1">
      <c r="B562" s="126"/>
    </row>
    <row r="563" ht="14.25" customHeight="1">
      <c r="B563" s="126"/>
    </row>
    <row r="564" ht="14.25" customHeight="1">
      <c r="B564" s="126"/>
    </row>
    <row r="565" ht="14.25" customHeight="1">
      <c r="B565" s="126"/>
    </row>
    <row r="566" ht="14.25" customHeight="1">
      <c r="B566" s="126"/>
    </row>
    <row r="567" ht="14.25" customHeight="1">
      <c r="B567" s="126"/>
    </row>
    <row r="568" ht="14.25" customHeight="1">
      <c r="B568" s="126"/>
    </row>
    <row r="569" ht="14.25" customHeight="1">
      <c r="B569" s="126"/>
    </row>
    <row r="570" ht="14.25" customHeight="1">
      <c r="B570" s="126"/>
    </row>
    <row r="571" ht="14.25" customHeight="1">
      <c r="B571" s="126"/>
    </row>
    <row r="572" ht="14.25" customHeight="1">
      <c r="B572" s="126"/>
    </row>
    <row r="573" ht="14.25" customHeight="1">
      <c r="B573" s="126"/>
    </row>
    <row r="574" ht="14.25" customHeight="1">
      <c r="B574" s="126"/>
    </row>
    <row r="575" ht="14.25" customHeight="1">
      <c r="B575" s="126"/>
    </row>
    <row r="576" ht="14.25" customHeight="1">
      <c r="B576" s="126"/>
    </row>
    <row r="577" ht="14.25" customHeight="1">
      <c r="B577" s="126"/>
    </row>
    <row r="578" ht="14.25" customHeight="1">
      <c r="B578" s="126"/>
    </row>
    <row r="579" ht="14.25" customHeight="1">
      <c r="B579" s="126"/>
    </row>
    <row r="580" ht="14.25" customHeight="1">
      <c r="B580" s="126"/>
    </row>
    <row r="581" ht="14.25" customHeight="1">
      <c r="B581" s="126"/>
    </row>
    <row r="582" ht="14.25" customHeight="1">
      <c r="B582" s="126"/>
    </row>
    <row r="583" ht="14.25" customHeight="1">
      <c r="B583" s="126"/>
    </row>
    <row r="584" ht="14.25" customHeight="1">
      <c r="B584" s="126"/>
    </row>
    <row r="585" ht="14.25" customHeight="1">
      <c r="B585" s="126"/>
    </row>
    <row r="586" ht="14.25" customHeight="1">
      <c r="B586" s="126"/>
    </row>
    <row r="587" ht="14.25" customHeight="1">
      <c r="B587" s="126"/>
    </row>
    <row r="588" ht="14.25" customHeight="1">
      <c r="B588" s="126"/>
    </row>
    <row r="589" ht="14.25" customHeight="1">
      <c r="B589" s="126"/>
    </row>
    <row r="590" ht="14.25" customHeight="1">
      <c r="B590" s="126"/>
    </row>
    <row r="591" ht="14.25" customHeight="1">
      <c r="B591" s="126"/>
    </row>
    <row r="592" ht="14.25" customHeight="1">
      <c r="B592" s="126"/>
    </row>
    <row r="593" ht="14.25" customHeight="1">
      <c r="B593" s="126"/>
    </row>
    <row r="594" ht="14.25" customHeight="1">
      <c r="B594" s="126"/>
    </row>
    <row r="595" ht="14.25" customHeight="1">
      <c r="B595" s="126"/>
    </row>
    <row r="596" ht="14.25" customHeight="1">
      <c r="B596" s="126"/>
    </row>
    <row r="597" ht="14.25" customHeight="1">
      <c r="B597" s="126"/>
    </row>
    <row r="598" ht="14.25" customHeight="1">
      <c r="B598" s="126"/>
    </row>
    <row r="599" ht="14.25" customHeight="1">
      <c r="B599" s="126"/>
    </row>
    <row r="600" ht="14.25" customHeight="1">
      <c r="B600" s="126"/>
    </row>
    <row r="601" ht="14.25" customHeight="1">
      <c r="B601" s="126"/>
    </row>
    <row r="602" ht="14.25" customHeight="1">
      <c r="B602" s="126"/>
    </row>
    <row r="603" ht="14.25" customHeight="1">
      <c r="B603" s="126"/>
    </row>
    <row r="604" ht="14.25" customHeight="1">
      <c r="B604" s="126"/>
    </row>
    <row r="605" ht="14.25" customHeight="1">
      <c r="B605" s="126"/>
    </row>
    <row r="606" ht="14.25" customHeight="1">
      <c r="B606" s="126"/>
    </row>
    <row r="607" ht="14.25" customHeight="1">
      <c r="B607" s="126"/>
    </row>
    <row r="608" ht="14.25" customHeight="1">
      <c r="B608" s="126"/>
    </row>
    <row r="609" ht="14.25" customHeight="1">
      <c r="B609" s="126"/>
    </row>
    <row r="610" ht="14.25" customHeight="1">
      <c r="B610" s="126"/>
    </row>
    <row r="611" ht="14.25" customHeight="1">
      <c r="B611" s="126"/>
    </row>
    <row r="612" ht="14.25" customHeight="1">
      <c r="B612" s="126"/>
    </row>
    <row r="613" ht="14.25" customHeight="1">
      <c r="B613" s="126"/>
    </row>
    <row r="614" ht="14.25" customHeight="1">
      <c r="B614" s="126"/>
    </row>
    <row r="615" ht="14.25" customHeight="1">
      <c r="B615" s="126"/>
    </row>
    <row r="616" ht="14.25" customHeight="1">
      <c r="B616" s="126"/>
    </row>
    <row r="617" ht="14.25" customHeight="1">
      <c r="B617" s="126"/>
    </row>
    <row r="618" ht="14.25" customHeight="1">
      <c r="B618" s="126"/>
    </row>
    <row r="619" ht="14.25" customHeight="1">
      <c r="B619" s="126"/>
    </row>
    <row r="620" ht="14.25" customHeight="1">
      <c r="B620" s="126"/>
    </row>
    <row r="621" ht="14.25" customHeight="1">
      <c r="B621" s="126"/>
    </row>
    <row r="622" ht="14.25" customHeight="1">
      <c r="B622" s="126"/>
    </row>
    <row r="623" ht="14.25" customHeight="1">
      <c r="B623" s="126"/>
    </row>
    <row r="624" ht="14.25" customHeight="1">
      <c r="B624" s="126"/>
    </row>
    <row r="625" ht="14.25" customHeight="1">
      <c r="B625" s="126"/>
    </row>
    <row r="626" ht="14.25" customHeight="1">
      <c r="B626" s="126"/>
    </row>
    <row r="627" ht="14.25" customHeight="1">
      <c r="B627" s="126"/>
    </row>
    <row r="628" ht="14.25" customHeight="1">
      <c r="B628" s="126"/>
    </row>
    <row r="629" ht="14.25" customHeight="1">
      <c r="B629" s="126"/>
    </row>
    <row r="630" ht="14.25" customHeight="1">
      <c r="B630" s="126"/>
    </row>
    <row r="631" ht="14.25" customHeight="1">
      <c r="B631" s="126"/>
    </row>
    <row r="632" ht="14.25" customHeight="1">
      <c r="B632" s="126"/>
    </row>
    <row r="633" ht="14.25" customHeight="1">
      <c r="B633" s="126"/>
    </row>
    <row r="634" ht="14.25" customHeight="1">
      <c r="B634" s="126"/>
    </row>
    <row r="635" ht="14.25" customHeight="1">
      <c r="B635" s="126"/>
    </row>
    <row r="636" ht="14.25" customHeight="1">
      <c r="B636" s="126"/>
    </row>
    <row r="637" ht="14.25" customHeight="1">
      <c r="B637" s="126"/>
    </row>
    <row r="638" ht="14.25" customHeight="1">
      <c r="B638" s="126"/>
    </row>
    <row r="639" ht="14.25" customHeight="1">
      <c r="B639" s="126"/>
    </row>
    <row r="640" ht="14.25" customHeight="1">
      <c r="B640" s="126"/>
    </row>
    <row r="641" ht="14.25" customHeight="1">
      <c r="B641" s="126"/>
    </row>
    <row r="642" ht="14.25" customHeight="1">
      <c r="B642" s="126"/>
    </row>
    <row r="643" ht="14.25" customHeight="1">
      <c r="B643" s="126"/>
    </row>
    <row r="644" ht="14.25" customHeight="1">
      <c r="B644" s="126"/>
    </row>
    <row r="645" ht="14.25" customHeight="1">
      <c r="B645" s="126"/>
    </row>
    <row r="646" ht="14.25" customHeight="1">
      <c r="B646" s="126"/>
    </row>
    <row r="647" ht="14.25" customHeight="1">
      <c r="B647" s="126"/>
    </row>
    <row r="648" ht="14.25" customHeight="1">
      <c r="B648" s="126"/>
    </row>
    <row r="649" ht="14.25" customHeight="1">
      <c r="B649" s="126"/>
    </row>
    <row r="650" ht="14.25" customHeight="1">
      <c r="B650" s="126"/>
    </row>
    <row r="651" ht="14.25" customHeight="1">
      <c r="B651" s="126"/>
    </row>
    <row r="652" ht="14.25" customHeight="1">
      <c r="B652" s="126"/>
    </row>
    <row r="653" ht="14.25" customHeight="1">
      <c r="B653" s="126"/>
    </row>
    <row r="654" ht="14.25" customHeight="1">
      <c r="B654" s="126"/>
    </row>
    <row r="655" ht="14.25" customHeight="1">
      <c r="B655" s="126"/>
    </row>
    <row r="656" ht="14.25" customHeight="1">
      <c r="B656" s="126"/>
    </row>
    <row r="657" ht="14.25" customHeight="1">
      <c r="B657" s="126"/>
    </row>
    <row r="658" ht="14.25" customHeight="1">
      <c r="B658" s="126"/>
    </row>
    <row r="659" ht="14.25" customHeight="1">
      <c r="B659" s="126"/>
    </row>
    <row r="660" ht="14.25" customHeight="1">
      <c r="B660" s="126"/>
    </row>
    <row r="661" ht="14.25" customHeight="1">
      <c r="B661" s="126"/>
    </row>
    <row r="662" ht="14.25" customHeight="1">
      <c r="B662" s="126"/>
    </row>
    <row r="663" ht="14.25" customHeight="1">
      <c r="B663" s="126"/>
    </row>
    <row r="664" ht="14.25" customHeight="1">
      <c r="B664" s="126"/>
    </row>
    <row r="665" ht="14.25" customHeight="1">
      <c r="B665" s="126"/>
    </row>
    <row r="666" ht="14.25" customHeight="1">
      <c r="B666" s="126"/>
    </row>
    <row r="667" ht="14.25" customHeight="1">
      <c r="B667" s="126"/>
    </row>
    <row r="668" ht="14.25" customHeight="1">
      <c r="B668" s="126"/>
    </row>
    <row r="669" ht="14.25" customHeight="1">
      <c r="B669" s="126"/>
    </row>
    <row r="670" ht="14.25" customHeight="1">
      <c r="B670" s="126"/>
    </row>
    <row r="671" ht="14.25" customHeight="1">
      <c r="B671" s="126"/>
    </row>
    <row r="672" ht="14.25" customHeight="1">
      <c r="B672" s="126"/>
    </row>
    <row r="673" ht="14.25" customHeight="1">
      <c r="B673" s="126"/>
    </row>
    <row r="674" ht="14.25" customHeight="1">
      <c r="B674" s="126"/>
    </row>
    <row r="675" ht="14.25" customHeight="1">
      <c r="B675" s="126"/>
    </row>
    <row r="676" ht="14.25" customHeight="1">
      <c r="B676" s="126"/>
    </row>
    <row r="677" ht="14.25" customHeight="1">
      <c r="B677" s="126"/>
    </row>
    <row r="678" ht="14.25" customHeight="1">
      <c r="B678" s="126"/>
    </row>
    <row r="679" ht="14.25" customHeight="1">
      <c r="B679" s="126"/>
    </row>
    <row r="680" ht="14.25" customHeight="1">
      <c r="B680" s="126"/>
    </row>
    <row r="681" ht="14.25" customHeight="1">
      <c r="B681" s="126"/>
    </row>
    <row r="682" ht="14.25" customHeight="1">
      <c r="B682" s="126"/>
    </row>
    <row r="683" ht="14.25" customHeight="1">
      <c r="B683" s="126"/>
    </row>
    <row r="684" ht="14.25" customHeight="1">
      <c r="B684" s="126"/>
    </row>
    <row r="685" ht="14.25" customHeight="1">
      <c r="B685" s="126"/>
    </row>
    <row r="686" ht="14.25" customHeight="1">
      <c r="B686" s="126"/>
    </row>
    <row r="687" ht="14.25" customHeight="1">
      <c r="B687" s="126"/>
    </row>
    <row r="688" ht="14.25" customHeight="1">
      <c r="B688" s="126"/>
    </row>
    <row r="689" ht="14.25" customHeight="1">
      <c r="B689" s="126"/>
    </row>
    <row r="690" ht="14.25" customHeight="1">
      <c r="B690" s="126"/>
    </row>
    <row r="691" ht="14.25" customHeight="1">
      <c r="B691" s="126"/>
    </row>
    <row r="692" ht="14.25" customHeight="1">
      <c r="B692" s="126"/>
    </row>
    <row r="693" ht="14.25" customHeight="1">
      <c r="B693" s="126"/>
    </row>
    <row r="694" ht="14.25" customHeight="1">
      <c r="B694" s="126"/>
    </row>
    <row r="695" ht="14.25" customHeight="1">
      <c r="B695" s="126"/>
    </row>
    <row r="696" ht="14.25" customHeight="1">
      <c r="B696" s="126"/>
    </row>
    <row r="697" ht="14.25" customHeight="1">
      <c r="B697" s="126"/>
    </row>
    <row r="698" ht="14.25" customHeight="1">
      <c r="B698" s="126"/>
    </row>
    <row r="699" ht="14.25" customHeight="1">
      <c r="B699" s="126"/>
    </row>
    <row r="700" ht="14.25" customHeight="1">
      <c r="B700" s="126"/>
    </row>
    <row r="701" ht="14.25" customHeight="1">
      <c r="B701" s="126"/>
    </row>
    <row r="702" ht="14.25" customHeight="1">
      <c r="B702" s="126"/>
    </row>
    <row r="703" ht="14.25" customHeight="1">
      <c r="B703" s="126"/>
    </row>
    <row r="704" ht="14.25" customHeight="1">
      <c r="B704" s="126"/>
    </row>
    <row r="705" ht="14.25" customHeight="1">
      <c r="B705" s="126"/>
    </row>
    <row r="706" ht="14.25" customHeight="1">
      <c r="B706" s="126"/>
    </row>
    <row r="707" ht="14.25" customHeight="1">
      <c r="B707" s="126"/>
    </row>
    <row r="708" ht="14.25" customHeight="1">
      <c r="B708" s="126"/>
    </row>
    <row r="709" ht="14.25" customHeight="1">
      <c r="B709" s="126"/>
    </row>
    <row r="710" ht="14.25" customHeight="1">
      <c r="B710" s="126"/>
    </row>
    <row r="711" ht="14.25" customHeight="1">
      <c r="B711" s="126"/>
    </row>
    <row r="712" ht="14.25" customHeight="1">
      <c r="B712" s="126"/>
    </row>
    <row r="713" ht="14.25" customHeight="1">
      <c r="B713" s="126"/>
    </row>
    <row r="714" ht="14.25" customHeight="1">
      <c r="B714" s="126"/>
    </row>
    <row r="715" ht="14.25" customHeight="1">
      <c r="B715" s="126"/>
    </row>
    <row r="716" ht="14.25" customHeight="1">
      <c r="B716" s="126"/>
    </row>
    <row r="717" ht="14.25" customHeight="1">
      <c r="B717" s="126"/>
    </row>
    <row r="718" ht="14.25" customHeight="1">
      <c r="B718" s="126"/>
    </row>
    <row r="719" ht="14.25" customHeight="1">
      <c r="B719" s="126"/>
    </row>
    <row r="720" ht="14.25" customHeight="1">
      <c r="B720" s="126"/>
    </row>
    <row r="721" ht="14.25" customHeight="1">
      <c r="B721" s="126"/>
    </row>
    <row r="722" ht="14.25" customHeight="1">
      <c r="B722" s="126"/>
    </row>
    <row r="723" ht="14.25" customHeight="1">
      <c r="B723" s="126"/>
    </row>
    <row r="724" ht="14.25" customHeight="1">
      <c r="B724" s="126"/>
    </row>
    <row r="725" ht="14.25" customHeight="1">
      <c r="B725" s="126"/>
    </row>
    <row r="726" ht="14.25" customHeight="1">
      <c r="B726" s="126"/>
    </row>
    <row r="727" ht="14.25" customHeight="1">
      <c r="B727" s="126"/>
    </row>
    <row r="728" ht="14.25" customHeight="1">
      <c r="B728" s="126"/>
    </row>
    <row r="729" ht="14.25" customHeight="1">
      <c r="B729" s="126"/>
    </row>
    <row r="730" ht="14.25" customHeight="1">
      <c r="B730" s="126"/>
    </row>
    <row r="731" ht="14.25" customHeight="1">
      <c r="B731" s="126"/>
    </row>
    <row r="732" ht="14.25" customHeight="1">
      <c r="B732" s="126"/>
    </row>
    <row r="733" ht="14.25" customHeight="1">
      <c r="B733" s="126"/>
    </row>
    <row r="734" ht="14.25" customHeight="1">
      <c r="B734" s="126"/>
    </row>
    <row r="735" ht="14.25" customHeight="1">
      <c r="B735" s="126"/>
    </row>
    <row r="736" ht="14.25" customHeight="1">
      <c r="B736" s="126"/>
    </row>
    <row r="737" ht="14.25" customHeight="1">
      <c r="B737" s="126"/>
    </row>
    <row r="738" ht="14.25" customHeight="1">
      <c r="B738" s="126"/>
    </row>
    <row r="739" ht="14.25" customHeight="1">
      <c r="B739" s="126"/>
    </row>
    <row r="740" ht="14.25" customHeight="1">
      <c r="B740" s="126"/>
    </row>
    <row r="741" ht="14.25" customHeight="1">
      <c r="B741" s="126"/>
    </row>
    <row r="742" ht="14.25" customHeight="1">
      <c r="B742" s="126"/>
    </row>
    <row r="743" ht="14.25" customHeight="1">
      <c r="B743" s="126"/>
    </row>
    <row r="744" ht="14.25" customHeight="1">
      <c r="B744" s="126"/>
    </row>
    <row r="745" ht="14.25" customHeight="1">
      <c r="B745" s="126"/>
    </row>
    <row r="746" ht="14.25" customHeight="1">
      <c r="B746" s="126"/>
    </row>
    <row r="747" ht="14.25" customHeight="1">
      <c r="B747" s="126"/>
    </row>
    <row r="748" ht="14.25" customHeight="1">
      <c r="B748" s="126"/>
    </row>
    <row r="749" ht="14.25" customHeight="1">
      <c r="B749" s="126"/>
    </row>
    <row r="750" ht="14.25" customHeight="1">
      <c r="B750" s="126"/>
    </row>
    <row r="751" ht="14.25" customHeight="1">
      <c r="B751" s="126"/>
    </row>
    <row r="752" ht="14.25" customHeight="1">
      <c r="B752" s="126"/>
    </row>
    <row r="753" ht="14.25" customHeight="1">
      <c r="B753" s="126"/>
    </row>
    <row r="754" ht="14.25" customHeight="1">
      <c r="B754" s="126"/>
    </row>
    <row r="755" ht="14.25" customHeight="1">
      <c r="B755" s="126"/>
    </row>
    <row r="756" ht="14.25" customHeight="1">
      <c r="B756" s="126"/>
    </row>
    <row r="757" ht="14.25" customHeight="1">
      <c r="B757" s="126"/>
    </row>
    <row r="758" ht="14.25" customHeight="1">
      <c r="B758" s="126"/>
    </row>
    <row r="759" ht="14.25" customHeight="1">
      <c r="B759" s="126"/>
    </row>
    <row r="760" ht="14.25" customHeight="1">
      <c r="B760" s="126"/>
    </row>
    <row r="761" ht="14.25" customHeight="1">
      <c r="B761" s="126"/>
    </row>
    <row r="762" ht="14.25" customHeight="1">
      <c r="B762" s="126"/>
    </row>
    <row r="763" ht="14.25" customHeight="1">
      <c r="B763" s="126"/>
    </row>
    <row r="764" ht="14.25" customHeight="1">
      <c r="B764" s="126"/>
    </row>
    <row r="765" ht="14.25" customHeight="1">
      <c r="B765" s="126"/>
    </row>
    <row r="766" ht="14.25" customHeight="1">
      <c r="B766" s="126"/>
    </row>
    <row r="767" ht="14.25" customHeight="1">
      <c r="B767" s="126"/>
    </row>
    <row r="768" ht="14.25" customHeight="1">
      <c r="B768" s="126"/>
    </row>
    <row r="769" ht="14.25" customHeight="1">
      <c r="B769" s="126"/>
    </row>
    <row r="770" ht="14.25" customHeight="1">
      <c r="B770" s="126"/>
    </row>
    <row r="771" ht="14.25" customHeight="1">
      <c r="B771" s="126"/>
    </row>
    <row r="772" ht="14.25" customHeight="1">
      <c r="B772" s="126"/>
    </row>
    <row r="773" ht="14.25" customHeight="1">
      <c r="B773" s="126"/>
    </row>
    <row r="774" ht="14.25" customHeight="1">
      <c r="B774" s="126"/>
    </row>
    <row r="775" ht="14.25" customHeight="1">
      <c r="B775" s="126"/>
    </row>
    <row r="776" ht="14.25" customHeight="1">
      <c r="B776" s="126"/>
    </row>
    <row r="777" ht="14.25" customHeight="1">
      <c r="B777" s="126"/>
    </row>
    <row r="778" ht="14.25" customHeight="1">
      <c r="B778" s="126"/>
    </row>
    <row r="779" ht="14.25" customHeight="1">
      <c r="B779" s="126"/>
    </row>
    <row r="780" ht="14.25" customHeight="1">
      <c r="B780" s="126"/>
    </row>
    <row r="781" ht="14.25" customHeight="1">
      <c r="B781" s="126"/>
    </row>
    <row r="782" ht="14.25" customHeight="1">
      <c r="B782" s="126"/>
    </row>
    <row r="783" ht="14.25" customHeight="1">
      <c r="B783" s="126"/>
    </row>
    <row r="784" ht="14.25" customHeight="1">
      <c r="B784" s="126"/>
    </row>
    <row r="785" ht="14.25" customHeight="1">
      <c r="B785" s="126"/>
    </row>
    <row r="786" ht="14.25" customHeight="1">
      <c r="B786" s="126"/>
    </row>
    <row r="787" ht="14.25" customHeight="1">
      <c r="B787" s="126"/>
    </row>
    <row r="788" ht="14.25" customHeight="1">
      <c r="B788" s="126"/>
    </row>
    <row r="789" ht="14.25" customHeight="1">
      <c r="B789" s="126"/>
    </row>
    <row r="790" ht="14.25" customHeight="1">
      <c r="B790" s="126"/>
    </row>
    <row r="791" ht="14.25" customHeight="1">
      <c r="B791" s="126"/>
    </row>
    <row r="792" ht="14.25" customHeight="1">
      <c r="B792" s="126"/>
    </row>
    <row r="793" ht="14.25" customHeight="1">
      <c r="B793" s="126"/>
    </row>
    <row r="794" ht="14.25" customHeight="1">
      <c r="B794" s="126"/>
    </row>
    <row r="795" ht="14.25" customHeight="1">
      <c r="B795" s="126"/>
    </row>
    <row r="796" ht="14.25" customHeight="1">
      <c r="B796" s="126"/>
    </row>
    <row r="797" ht="14.25" customHeight="1">
      <c r="B797" s="126"/>
    </row>
    <row r="798" ht="14.25" customHeight="1">
      <c r="B798" s="126"/>
    </row>
    <row r="799" ht="14.25" customHeight="1">
      <c r="B799" s="126"/>
    </row>
    <row r="800" ht="14.25" customHeight="1">
      <c r="B800" s="126"/>
    </row>
    <row r="801" ht="14.25" customHeight="1">
      <c r="B801" s="126"/>
    </row>
    <row r="802" ht="14.25" customHeight="1">
      <c r="B802" s="126"/>
    </row>
    <row r="803" ht="14.25" customHeight="1">
      <c r="B803" s="126"/>
    </row>
    <row r="804" ht="14.25" customHeight="1">
      <c r="B804" s="126"/>
    </row>
    <row r="805" ht="14.25" customHeight="1">
      <c r="B805" s="126"/>
    </row>
    <row r="806" ht="14.25" customHeight="1">
      <c r="B806" s="126"/>
    </row>
    <row r="807" ht="14.25" customHeight="1">
      <c r="B807" s="126"/>
    </row>
    <row r="808" ht="14.25" customHeight="1">
      <c r="B808" s="126"/>
    </row>
    <row r="809" ht="14.25" customHeight="1">
      <c r="B809" s="126"/>
    </row>
    <row r="810" ht="14.25" customHeight="1">
      <c r="B810" s="126"/>
    </row>
    <row r="811" ht="14.25" customHeight="1">
      <c r="B811" s="126"/>
    </row>
    <row r="812" ht="14.25" customHeight="1">
      <c r="B812" s="126"/>
    </row>
    <row r="813" ht="14.25" customHeight="1">
      <c r="B813" s="126"/>
    </row>
    <row r="814" ht="14.25" customHeight="1">
      <c r="B814" s="126"/>
    </row>
    <row r="815" ht="14.25" customHeight="1">
      <c r="B815" s="126"/>
    </row>
    <row r="816" ht="14.25" customHeight="1">
      <c r="B816" s="126"/>
    </row>
    <row r="817" ht="14.25" customHeight="1">
      <c r="B817" s="126"/>
    </row>
    <row r="818" ht="14.25" customHeight="1">
      <c r="B818" s="126"/>
    </row>
    <row r="819" ht="14.25" customHeight="1">
      <c r="B819" s="126"/>
    </row>
    <row r="820" ht="14.25" customHeight="1">
      <c r="B820" s="126"/>
    </row>
    <row r="821" ht="14.25" customHeight="1">
      <c r="B821" s="126"/>
    </row>
    <row r="822" ht="14.25" customHeight="1">
      <c r="B822" s="126"/>
    </row>
    <row r="823" ht="14.25" customHeight="1">
      <c r="B823" s="126"/>
    </row>
    <row r="824" ht="14.25" customHeight="1">
      <c r="B824" s="126"/>
    </row>
    <row r="825" ht="14.25" customHeight="1">
      <c r="B825" s="126"/>
    </row>
    <row r="826" ht="14.25" customHeight="1">
      <c r="B826" s="126"/>
    </row>
    <row r="827" ht="14.25" customHeight="1">
      <c r="B827" s="126"/>
    </row>
    <row r="828" ht="14.25" customHeight="1">
      <c r="B828" s="126"/>
    </row>
    <row r="829" ht="14.25" customHeight="1">
      <c r="B829" s="126"/>
    </row>
    <row r="830" ht="14.25" customHeight="1">
      <c r="B830" s="126"/>
    </row>
    <row r="831" ht="14.25" customHeight="1">
      <c r="B831" s="126"/>
    </row>
    <row r="832" ht="14.25" customHeight="1">
      <c r="B832" s="126"/>
    </row>
    <row r="833" ht="14.25" customHeight="1">
      <c r="B833" s="126"/>
    </row>
    <row r="834" ht="14.25" customHeight="1">
      <c r="B834" s="126"/>
    </row>
    <row r="835" ht="14.25" customHeight="1">
      <c r="B835" s="126"/>
    </row>
    <row r="836" ht="14.25" customHeight="1">
      <c r="B836" s="126"/>
    </row>
    <row r="837" ht="14.25" customHeight="1">
      <c r="B837" s="126"/>
    </row>
    <row r="838" ht="14.25" customHeight="1">
      <c r="B838" s="126"/>
    </row>
    <row r="839" ht="14.25" customHeight="1">
      <c r="B839" s="126"/>
    </row>
    <row r="840" ht="14.25" customHeight="1">
      <c r="B840" s="126"/>
    </row>
    <row r="841" ht="14.25" customHeight="1">
      <c r="B841" s="126"/>
    </row>
    <row r="842" ht="14.25" customHeight="1">
      <c r="B842" s="126"/>
    </row>
    <row r="843" ht="14.25" customHeight="1">
      <c r="B843" s="126"/>
    </row>
    <row r="844" ht="14.25" customHeight="1">
      <c r="B844" s="126"/>
    </row>
    <row r="845" ht="14.25" customHeight="1">
      <c r="B845" s="126"/>
    </row>
    <row r="846" ht="14.25" customHeight="1">
      <c r="B846" s="126"/>
    </row>
    <row r="847" ht="14.25" customHeight="1">
      <c r="B847" s="126"/>
    </row>
    <row r="848" ht="14.25" customHeight="1">
      <c r="B848" s="126"/>
    </row>
    <row r="849" ht="14.25" customHeight="1">
      <c r="B849" s="126"/>
    </row>
    <row r="850" ht="14.25" customHeight="1">
      <c r="B850" s="126"/>
    </row>
    <row r="851" ht="14.25" customHeight="1">
      <c r="B851" s="126"/>
    </row>
    <row r="852" ht="14.25" customHeight="1">
      <c r="B852" s="126"/>
    </row>
    <row r="853" ht="14.25" customHeight="1">
      <c r="B853" s="126"/>
    </row>
    <row r="854" ht="14.25" customHeight="1">
      <c r="B854" s="126"/>
    </row>
    <row r="855" ht="14.25" customHeight="1">
      <c r="B855" s="126"/>
    </row>
    <row r="856" ht="14.25" customHeight="1">
      <c r="B856" s="126"/>
    </row>
    <row r="857" ht="14.25" customHeight="1">
      <c r="B857" s="126"/>
    </row>
    <row r="858" ht="14.25" customHeight="1">
      <c r="B858" s="126"/>
    </row>
    <row r="859" ht="14.25" customHeight="1">
      <c r="B859" s="126"/>
    </row>
    <row r="860" ht="14.25" customHeight="1">
      <c r="B860" s="126"/>
    </row>
    <row r="861" ht="14.25" customHeight="1">
      <c r="B861" s="126"/>
    </row>
    <row r="862" ht="14.25" customHeight="1">
      <c r="B862" s="126"/>
    </row>
    <row r="863" ht="14.25" customHeight="1">
      <c r="B863" s="126"/>
    </row>
    <row r="864" ht="14.25" customHeight="1">
      <c r="B864" s="126"/>
    </row>
    <row r="865" ht="14.25" customHeight="1">
      <c r="B865" s="126"/>
    </row>
    <row r="866" ht="14.25" customHeight="1">
      <c r="B866" s="126"/>
    </row>
    <row r="867" ht="14.25" customHeight="1">
      <c r="B867" s="126"/>
    </row>
    <row r="868" ht="14.25" customHeight="1">
      <c r="B868" s="126"/>
    </row>
    <row r="869" ht="14.25" customHeight="1">
      <c r="B869" s="126"/>
    </row>
    <row r="870" ht="14.25" customHeight="1">
      <c r="B870" s="126"/>
    </row>
    <row r="871" ht="14.25" customHeight="1">
      <c r="B871" s="126"/>
    </row>
    <row r="872" ht="14.25" customHeight="1">
      <c r="B872" s="126"/>
    </row>
    <row r="873" ht="14.25" customHeight="1">
      <c r="B873" s="126"/>
    </row>
    <row r="874" ht="14.25" customHeight="1">
      <c r="B874" s="126"/>
    </row>
    <row r="875" ht="14.25" customHeight="1">
      <c r="B875" s="126"/>
    </row>
    <row r="876" ht="14.25" customHeight="1">
      <c r="B876" s="126"/>
    </row>
    <row r="877" ht="14.25" customHeight="1">
      <c r="B877" s="126"/>
    </row>
    <row r="878" ht="14.25" customHeight="1">
      <c r="B878" s="126"/>
    </row>
    <row r="879" ht="14.25" customHeight="1">
      <c r="B879" s="126"/>
    </row>
    <row r="880" ht="14.25" customHeight="1">
      <c r="B880" s="126"/>
    </row>
    <row r="881" ht="14.25" customHeight="1">
      <c r="B881" s="126"/>
    </row>
    <row r="882" ht="14.25" customHeight="1">
      <c r="B882" s="126"/>
    </row>
    <row r="883" ht="14.25" customHeight="1">
      <c r="B883" s="126"/>
    </row>
    <row r="884" ht="14.25" customHeight="1">
      <c r="B884" s="126"/>
    </row>
    <row r="885" ht="14.25" customHeight="1">
      <c r="B885" s="126"/>
    </row>
    <row r="886" ht="14.25" customHeight="1">
      <c r="B886" s="126"/>
    </row>
    <row r="887" ht="14.25" customHeight="1">
      <c r="B887" s="126"/>
    </row>
    <row r="888" ht="14.25" customHeight="1">
      <c r="B888" s="126"/>
    </row>
    <row r="889" ht="14.25" customHeight="1">
      <c r="B889" s="126"/>
    </row>
    <row r="890" ht="14.25" customHeight="1">
      <c r="B890" s="126"/>
    </row>
    <row r="891" ht="14.25" customHeight="1">
      <c r="B891" s="126"/>
    </row>
    <row r="892" ht="14.25" customHeight="1">
      <c r="B892" s="126"/>
    </row>
    <row r="893" ht="14.25" customHeight="1">
      <c r="B893" s="126"/>
    </row>
    <row r="894" ht="14.25" customHeight="1">
      <c r="B894" s="126"/>
    </row>
    <row r="895" ht="14.25" customHeight="1">
      <c r="B895" s="126"/>
    </row>
    <row r="896" ht="14.25" customHeight="1">
      <c r="B896" s="126"/>
    </row>
    <row r="897" ht="14.25" customHeight="1">
      <c r="B897" s="126"/>
    </row>
    <row r="898" ht="14.25" customHeight="1">
      <c r="B898" s="126"/>
    </row>
    <row r="899" ht="14.25" customHeight="1">
      <c r="B899" s="126"/>
    </row>
    <row r="900" ht="14.25" customHeight="1">
      <c r="B900" s="126"/>
    </row>
    <row r="901" ht="14.25" customHeight="1">
      <c r="B901" s="126"/>
    </row>
    <row r="902" ht="14.25" customHeight="1">
      <c r="B902" s="126"/>
    </row>
    <row r="903" ht="14.25" customHeight="1">
      <c r="B903" s="126"/>
    </row>
    <row r="904" ht="14.25" customHeight="1">
      <c r="B904" s="126"/>
    </row>
    <row r="905" ht="14.25" customHeight="1">
      <c r="B905" s="126"/>
    </row>
    <row r="906" ht="14.25" customHeight="1">
      <c r="B906" s="126"/>
    </row>
    <row r="907" ht="14.25" customHeight="1">
      <c r="B907" s="126"/>
    </row>
    <row r="908" ht="14.25" customHeight="1">
      <c r="B908" s="126"/>
    </row>
    <row r="909" ht="14.25" customHeight="1">
      <c r="B909" s="126"/>
    </row>
    <row r="910" ht="14.25" customHeight="1">
      <c r="B910" s="126"/>
    </row>
    <row r="911" ht="14.25" customHeight="1">
      <c r="B911" s="126"/>
    </row>
    <row r="912" ht="14.25" customHeight="1">
      <c r="B912" s="126"/>
    </row>
    <row r="913" ht="14.25" customHeight="1">
      <c r="B913" s="126"/>
    </row>
    <row r="914" ht="14.25" customHeight="1">
      <c r="B914" s="126"/>
    </row>
    <row r="915" ht="14.25" customHeight="1">
      <c r="B915" s="126"/>
    </row>
    <row r="916" ht="14.25" customHeight="1">
      <c r="B916" s="126"/>
    </row>
    <row r="917" ht="14.25" customHeight="1">
      <c r="B917" s="126"/>
    </row>
    <row r="918" ht="14.25" customHeight="1">
      <c r="B918" s="126"/>
    </row>
    <row r="919" ht="14.25" customHeight="1">
      <c r="B919" s="126"/>
    </row>
    <row r="920" ht="14.25" customHeight="1">
      <c r="B920" s="126"/>
    </row>
    <row r="921" ht="14.25" customHeight="1">
      <c r="B921" s="126"/>
    </row>
    <row r="922" ht="14.25" customHeight="1">
      <c r="B922" s="126"/>
    </row>
    <row r="923" ht="14.25" customHeight="1">
      <c r="B923" s="126"/>
    </row>
    <row r="924" ht="14.25" customHeight="1">
      <c r="B924" s="126"/>
    </row>
    <row r="925" ht="14.25" customHeight="1">
      <c r="B925" s="126"/>
    </row>
    <row r="926" ht="14.25" customHeight="1">
      <c r="B926" s="126"/>
    </row>
    <row r="927" ht="14.25" customHeight="1">
      <c r="B927" s="126"/>
    </row>
    <row r="928" ht="14.25" customHeight="1">
      <c r="B928" s="126"/>
    </row>
    <row r="929" ht="14.25" customHeight="1">
      <c r="B929" s="126"/>
    </row>
    <row r="930" ht="14.25" customHeight="1">
      <c r="B930" s="126"/>
    </row>
    <row r="931" ht="14.25" customHeight="1">
      <c r="B931" s="126"/>
    </row>
    <row r="932" ht="14.25" customHeight="1">
      <c r="B932" s="126"/>
    </row>
    <row r="933" ht="14.25" customHeight="1">
      <c r="B933" s="126"/>
    </row>
    <row r="934" ht="14.25" customHeight="1">
      <c r="B934" s="126"/>
    </row>
    <row r="935" ht="14.25" customHeight="1">
      <c r="B935" s="126"/>
    </row>
    <row r="936" ht="14.25" customHeight="1">
      <c r="B936" s="126"/>
    </row>
    <row r="937" ht="14.25" customHeight="1">
      <c r="B937" s="126"/>
    </row>
    <row r="938" ht="14.25" customHeight="1">
      <c r="B938" s="126"/>
    </row>
    <row r="939" ht="14.25" customHeight="1">
      <c r="B939" s="126"/>
    </row>
    <row r="940" ht="14.25" customHeight="1">
      <c r="B940" s="126"/>
    </row>
    <row r="941" ht="14.25" customHeight="1">
      <c r="B941" s="126"/>
    </row>
    <row r="942" ht="14.25" customHeight="1">
      <c r="B942" s="126"/>
    </row>
    <row r="943" ht="14.25" customHeight="1">
      <c r="B943" s="126"/>
    </row>
    <row r="944" ht="14.25" customHeight="1">
      <c r="B944" s="126"/>
    </row>
    <row r="945" ht="14.25" customHeight="1">
      <c r="B945" s="126"/>
    </row>
    <row r="946" ht="14.25" customHeight="1">
      <c r="B946" s="126"/>
    </row>
    <row r="947" ht="14.25" customHeight="1">
      <c r="B947" s="126"/>
    </row>
    <row r="948" ht="14.25" customHeight="1">
      <c r="B948" s="126"/>
    </row>
    <row r="949" ht="14.25" customHeight="1">
      <c r="B949" s="126"/>
    </row>
    <row r="950" ht="14.25" customHeight="1">
      <c r="B950" s="126"/>
    </row>
    <row r="951" ht="14.25" customHeight="1">
      <c r="B951" s="126"/>
    </row>
    <row r="952" ht="14.25" customHeight="1">
      <c r="B952" s="126"/>
    </row>
    <row r="953" ht="14.25" customHeight="1">
      <c r="B953" s="126"/>
    </row>
    <row r="954" ht="14.25" customHeight="1">
      <c r="B954" s="126"/>
    </row>
    <row r="955" ht="14.25" customHeight="1">
      <c r="B955" s="126"/>
    </row>
    <row r="956" ht="14.25" customHeight="1">
      <c r="B956" s="126"/>
    </row>
    <row r="957" ht="14.25" customHeight="1">
      <c r="B957" s="126"/>
    </row>
    <row r="958" ht="14.25" customHeight="1">
      <c r="B958" s="126"/>
    </row>
    <row r="959" ht="14.25" customHeight="1">
      <c r="B959" s="126"/>
    </row>
    <row r="960" ht="14.25" customHeight="1">
      <c r="B960" s="126"/>
    </row>
    <row r="961" ht="14.25" customHeight="1">
      <c r="B961" s="126"/>
    </row>
    <row r="962" ht="14.25" customHeight="1">
      <c r="B962" s="126"/>
    </row>
    <row r="963" ht="14.25" customHeight="1">
      <c r="B963" s="126"/>
    </row>
    <row r="964" ht="14.25" customHeight="1">
      <c r="B964" s="126"/>
    </row>
    <row r="965" ht="14.25" customHeight="1">
      <c r="B965" s="126"/>
    </row>
    <row r="966" ht="14.25" customHeight="1">
      <c r="B966" s="126"/>
    </row>
    <row r="967" ht="14.25" customHeight="1">
      <c r="B967" s="126"/>
    </row>
    <row r="968" ht="14.25" customHeight="1">
      <c r="B968" s="126"/>
    </row>
    <row r="969" ht="14.25" customHeight="1">
      <c r="B969" s="126"/>
    </row>
    <row r="970" ht="14.25" customHeight="1">
      <c r="B970" s="126"/>
    </row>
    <row r="971" ht="14.25" customHeight="1">
      <c r="B971" s="126"/>
    </row>
    <row r="972" ht="14.25" customHeight="1">
      <c r="B972" s="126"/>
    </row>
    <row r="973" ht="14.25" customHeight="1">
      <c r="B973" s="126"/>
    </row>
    <row r="974" ht="14.25" customHeight="1">
      <c r="B974" s="126"/>
    </row>
    <row r="975" ht="14.25" customHeight="1">
      <c r="B975" s="126"/>
    </row>
    <row r="976" ht="14.25" customHeight="1">
      <c r="B976" s="126"/>
    </row>
    <row r="977" ht="14.25" customHeight="1">
      <c r="B977" s="126"/>
    </row>
    <row r="978" ht="14.25" customHeight="1">
      <c r="B978" s="126"/>
    </row>
    <row r="979" ht="14.25" customHeight="1">
      <c r="B979" s="126"/>
    </row>
    <row r="980" ht="14.25" customHeight="1">
      <c r="B980" s="126"/>
    </row>
    <row r="981" ht="14.25" customHeight="1">
      <c r="B981" s="126"/>
    </row>
    <row r="982" ht="14.25" customHeight="1">
      <c r="B982" s="126"/>
    </row>
    <row r="983" ht="14.25" customHeight="1">
      <c r="B983" s="126"/>
    </row>
    <row r="984" ht="14.25" customHeight="1">
      <c r="B984" s="126"/>
    </row>
    <row r="985" ht="14.25" customHeight="1">
      <c r="B985" s="126"/>
    </row>
    <row r="986" ht="14.25" customHeight="1">
      <c r="B986" s="126"/>
    </row>
    <row r="987" ht="14.25" customHeight="1">
      <c r="B987" s="126"/>
    </row>
    <row r="988" ht="14.25" customHeight="1">
      <c r="B988" s="126"/>
    </row>
    <row r="989" ht="14.25" customHeight="1">
      <c r="B989" s="126"/>
    </row>
    <row r="990" ht="14.25" customHeight="1">
      <c r="B990" s="126"/>
    </row>
    <row r="991" ht="14.25" customHeight="1">
      <c r="B991" s="126"/>
    </row>
    <row r="992" ht="14.25" customHeight="1">
      <c r="B992" s="126"/>
    </row>
    <row r="993" ht="14.25" customHeight="1">
      <c r="B993" s="126"/>
    </row>
    <row r="994" ht="14.25" customHeight="1">
      <c r="B994" s="126"/>
    </row>
    <row r="995" ht="14.25" customHeight="1">
      <c r="B995" s="126"/>
    </row>
    <row r="996" ht="14.25" customHeight="1">
      <c r="B996" s="126"/>
    </row>
    <row r="997" ht="14.25" customHeight="1">
      <c r="B997" s="126"/>
    </row>
    <row r="998" ht="14.25" customHeight="1">
      <c r="B998" s="126"/>
    </row>
    <row r="999" ht="14.25" customHeight="1">
      <c r="B999" s="126"/>
    </row>
    <row r="1000" ht="14.25" customHeight="1">
      <c r="B1000" s="126"/>
    </row>
  </sheetData>
  <mergeCells count="2">
    <mergeCell ref="A2:E2"/>
    <mergeCell ref="A9:E9"/>
  </mergeCells>
  <printOptions/>
  <pageMargins bottom="0.75" footer="0.0" header="0.0" left="0.7" right="0.7" top="0.75"/>
  <pageSetup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1.86"/>
    <col customWidth="1" min="2" max="2" width="14.14"/>
    <col customWidth="1" min="3" max="4" width="8.71"/>
    <col customWidth="1" min="5" max="5" width="18.71"/>
    <col customWidth="1" min="6" max="26" width="8.71"/>
  </cols>
  <sheetData>
    <row r="1" ht="14.25" customHeight="1">
      <c r="B1" s="126"/>
    </row>
    <row r="2" ht="14.25" customHeight="1">
      <c r="B2" s="126"/>
    </row>
    <row r="3" ht="14.25" customHeight="1">
      <c r="A3" s="123" t="s">
        <v>326</v>
      </c>
      <c r="B3" s="124"/>
      <c r="C3" s="124"/>
      <c r="D3" s="124"/>
      <c r="E3" s="124"/>
    </row>
    <row r="4" ht="14.25" customHeight="1">
      <c r="A4" s="5" t="s">
        <v>3</v>
      </c>
      <c r="B4" s="5" t="s">
        <v>312</v>
      </c>
      <c r="C4" s="5" t="s">
        <v>313</v>
      </c>
      <c r="D4" s="5" t="s">
        <v>314</v>
      </c>
      <c r="E4" s="5" t="s">
        <v>315</v>
      </c>
    </row>
    <row r="5" ht="14.25" customHeight="1">
      <c r="A5" s="2" t="s">
        <v>322</v>
      </c>
      <c r="B5" s="2">
        <v>23000.0</v>
      </c>
      <c r="C5" s="2">
        <v>23000.0</v>
      </c>
      <c r="D5" s="2">
        <v>23000.0</v>
      </c>
      <c r="E5" s="2">
        <v>23000.0</v>
      </c>
    </row>
    <row r="6" ht="14.25" customHeight="1">
      <c r="A6" s="2" t="s">
        <v>88</v>
      </c>
      <c r="B6" s="5">
        <f t="shared" ref="B6:E6" si="1">SUM(B5)</f>
        <v>23000</v>
      </c>
      <c r="C6" s="5">
        <f t="shared" si="1"/>
        <v>23000</v>
      </c>
      <c r="D6" s="5">
        <f t="shared" si="1"/>
        <v>23000</v>
      </c>
      <c r="E6" s="5">
        <f t="shared" si="1"/>
        <v>23000</v>
      </c>
    </row>
    <row r="7" ht="14.25" customHeight="1">
      <c r="A7" s="5" t="s">
        <v>324</v>
      </c>
      <c r="B7" s="5"/>
      <c r="C7" s="5"/>
      <c r="D7" s="5"/>
      <c r="E7" s="127">
        <f>SUM(B6:E6)</f>
        <v>92000</v>
      </c>
    </row>
    <row r="8" ht="14.25" customHeight="1">
      <c r="B8" s="126"/>
    </row>
    <row r="9" ht="14.25" customHeight="1">
      <c r="A9" s="123" t="s">
        <v>321</v>
      </c>
      <c r="B9" s="124"/>
      <c r="C9" s="124"/>
      <c r="D9" s="124"/>
      <c r="E9" s="124"/>
    </row>
    <row r="10" ht="14.25" customHeight="1">
      <c r="A10" s="5" t="s">
        <v>3</v>
      </c>
      <c r="B10" s="5" t="s">
        <v>312</v>
      </c>
      <c r="C10" s="5" t="s">
        <v>313</v>
      </c>
      <c r="D10" s="5" t="s">
        <v>314</v>
      </c>
      <c r="E10" s="5" t="s">
        <v>315</v>
      </c>
    </row>
    <row r="11" ht="14.25" customHeight="1">
      <c r="A11" s="2" t="s">
        <v>322</v>
      </c>
    </row>
    <row r="12" ht="14.25" customHeight="1">
      <c r="A12" s="2" t="s">
        <v>88</v>
      </c>
      <c r="B12" s="5">
        <f t="shared" ref="B12:E12" si="2">SUM(B11)</f>
        <v>0</v>
      </c>
      <c r="C12" s="5">
        <f t="shared" si="2"/>
        <v>0</v>
      </c>
      <c r="D12" s="5">
        <f t="shared" si="2"/>
        <v>0</v>
      </c>
      <c r="E12" s="5">
        <f t="shared" si="2"/>
        <v>0</v>
      </c>
    </row>
    <row r="13" ht="14.25" customHeight="1">
      <c r="A13" s="5" t="s">
        <v>324</v>
      </c>
      <c r="B13" s="5"/>
      <c r="C13" s="5"/>
      <c r="D13" s="5"/>
      <c r="E13" s="127">
        <v>100274.0</v>
      </c>
    </row>
    <row r="14" ht="14.25" customHeight="1">
      <c r="B14" s="126"/>
    </row>
    <row r="15" ht="14.25" customHeight="1">
      <c r="A15" s="123" t="s">
        <v>325</v>
      </c>
      <c r="B15" s="124"/>
      <c r="C15" s="124"/>
      <c r="D15" s="124"/>
      <c r="E15" s="124"/>
    </row>
    <row r="16" ht="14.25" customHeight="1">
      <c r="A16" s="5" t="s">
        <v>3</v>
      </c>
      <c r="B16" s="5" t="s">
        <v>312</v>
      </c>
      <c r="C16" s="5" t="s">
        <v>313</v>
      </c>
      <c r="D16" s="5" t="s">
        <v>314</v>
      </c>
      <c r="E16" s="5" t="s">
        <v>315</v>
      </c>
    </row>
    <row r="17" ht="14.25" customHeight="1">
      <c r="A17" s="2" t="s">
        <v>322</v>
      </c>
    </row>
    <row r="18" ht="14.25" customHeight="1">
      <c r="A18" s="2" t="s">
        <v>88</v>
      </c>
      <c r="B18" s="5">
        <f t="shared" ref="B18:E18" si="3">SUM(B17)</f>
        <v>0</v>
      </c>
      <c r="C18" s="5">
        <f t="shared" si="3"/>
        <v>0</v>
      </c>
      <c r="D18" s="5">
        <f t="shared" si="3"/>
        <v>0</v>
      </c>
      <c r="E18" s="5">
        <f t="shared" si="3"/>
        <v>0</v>
      </c>
    </row>
    <row r="19" ht="14.25" customHeight="1">
      <c r="A19" s="5" t="s">
        <v>324</v>
      </c>
      <c r="B19" s="5"/>
      <c r="C19" s="5"/>
      <c r="D19" s="5"/>
      <c r="E19" s="127"/>
    </row>
    <row r="20" ht="14.25" customHeight="1">
      <c r="B20" s="126"/>
    </row>
    <row r="21" ht="14.25" customHeight="1">
      <c r="B21" s="126"/>
    </row>
    <row r="22" ht="14.25" customHeight="1">
      <c r="B22" s="126"/>
    </row>
    <row r="23" ht="14.25" customHeight="1">
      <c r="B23" s="126"/>
    </row>
    <row r="24" ht="14.25" customHeight="1">
      <c r="B24" s="126"/>
    </row>
    <row r="25" ht="14.25" customHeight="1">
      <c r="B25" s="126"/>
    </row>
    <row r="26" ht="14.25" customHeight="1">
      <c r="B26" s="126"/>
    </row>
    <row r="27" ht="14.25" customHeight="1">
      <c r="B27" s="126"/>
    </row>
    <row r="28" ht="14.25" customHeight="1">
      <c r="B28" s="126"/>
    </row>
    <row r="29" ht="14.25" customHeight="1">
      <c r="B29" s="126"/>
    </row>
    <row r="30" ht="14.25" customHeight="1">
      <c r="B30" s="126"/>
    </row>
    <row r="31" ht="14.25" customHeight="1">
      <c r="B31" s="126"/>
    </row>
    <row r="32" ht="14.25" customHeight="1">
      <c r="B32" s="126"/>
    </row>
    <row r="33" ht="14.25" customHeight="1">
      <c r="B33" s="126"/>
    </row>
    <row r="34" ht="14.25" customHeight="1">
      <c r="B34" s="126"/>
    </row>
    <row r="35" ht="14.25" customHeight="1">
      <c r="B35" s="126"/>
    </row>
    <row r="36" ht="14.25" customHeight="1">
      <c r="B36" s="126"/>
    </row>
    <row r="37" ht="14.25" customHeight="1">
      <c r="B37" s="126"/>
    </row>
    <row r="38" ht="14.25" customHeight="1">
      <c r="B38" s="126"/>
    </row>
    <row r="39" ht="14.25" customHeight="1">
      <c r="B39" s="126"/>
    </row>
    <row r="40" ht="14.25" customHeight="1">
      <c r="B40" s="126"/>
    </row>
    <row r="41" ht="14.25" customHeight="1">
      <c r="B41" s="126"/>
    </row>
    <row r="42" ht="14.25" customHeight="1">
      <c r="B42" s="126"/>
    </row>
    <row r="43" ht="14.25" customHeight="1">
      <c r="B43" s="126"/>
    </row>
    <row r="44" ht="14.25" customHeight="1">
      <c r="B44" s="126"/>
    </row>
    <row r="45" ht="14.25" customHeight="1">
      <c r="B45" s="126"/>
    </row>
    <row r="46" ht="14.25" customHeight="1">
      <c r="B46" s="126"/>
    </row>
    <row r="47" ht="14.25" customHeight="1">
      <c r="B47" s="126"/>
    </row>
    <row r="48" ht="14.25" customHeight="1">
      <c r="B48" s="126"/>
    </row>
    <row r="49" ht="14.25" customHeight="1">
      <c r="B49" s="126"/>
    </row>
    <row r="50" ht="14.25" customHeight="1">
      <c r="B50" s="126"/>
    </row>
    <row r="51" ht="14.25" customHeight="1">
      <c r="B51" s="126"/>
    </row>
    <row r="52" ht="14.25" customHeight="1">
      <c r="B52" s="126"/>
    </row>
    <row r="53" ht="14.25" customHeight="1">
      <c r="B53" s="126"/>
    </row>
    <row r="54" ht="14.25" customHeight="1">
      <c r="B54" s="126"/>
    </row>
    <row r="55" ht="14.25" customHeight="1">
      <c r="B55" s="126"/>
    </row>
    <row r="56" ht="14.25" customHeight="1">
      <c r="B56" s="126"/>
    </row>
    <row r="57" ht="14.25" customHeight="1">
      <c r="B57" s="126"/>
    </row>
    <row r="58" ht="14.25" customHeight="1">
      <c r="B58" s="126"/>
    </row>
    <row r="59" ht="14.25" customHeight="1">
      <c r="B59" s="126"/>
    </row>
    <row r="60" ht="14.25" customHeight="1">
      <c r="B60" s="126"/>
    </row>
    <row r="61" ht="14.25" customHeight="1">
      <c r="B61" s="126"/>
    </row>
    <row r="62" ht="14.25" customHeight="1">
      <c r="B62" s="126"/>
    </row>
    <row r="63" ht="14.25" customHeight="1">
      <c r="B63" s="126"/>
    </row>
    <row r="64" ht="14.25" customHeight="1">
      <c r="B64" s="126"/>
    </row>
    <row r="65" ht="14.25" customHeight="1">
      <c r="B65" s="126"/>
    </row>
    <row r="66" ht="14.25" customHeight="1">
      <c r="B66" s="126"/>
    </row>
    <row r="67" ht="14.25" customHeight="1">
      <c r="B67" s="126"/>
    </row>
    <row r="68" ht="14.25" customHeight="1">
      <c r="B68" s="126"/>
    </row>
    <row r="69" ht="14.25" customHeight="1">
      <c r="B69" s="126"/>
    </row>
    <row r="70" ht="14.25" customHeight="1">
      <c r="B70" s="126"/>
    </row>
    <row r="71" ht="14.25" customHeight="1">
      <c r="B71" s="126"/>
    </row>
    <row r="72" ht="14.25" customHeight="1">
      <c r="B72" s="126"/>
    </row>
    <row r="73" ht="14.25" customHeight="1">
      <c r="B73" s="126"/>
    </row>
    <row r="74" ht="14.25" customHeight="1">
      <c r="B74" s="126"/>
    </row>
    <row r="75" ht="14.25" customHeight="1">
      <c r="B75" s="126"/>
    </row>
    <row r="76" ht="14.25" customHeight="1">
      <c r="B76" s="126"/>
    </row>
    <row r="77" ht="14.25" customHeight="1">
      <c r="B77" s="126"/>
    </row>
    <row r="78" ht="14.25" customHeight="1">
      <c r="B78" s="126"/>
    </row>
    <row r="79" ht="14.25" customHeight="1">
      <c r="B79" s="126"/>
    </row>
    <row r="80" ht="14.25" customHeight="1">
      <c r="B80" s="126"/>
    </row>
    <row r="81" ht="14.25" customHeight="1">
      <c r="B81" s="126"/>
    </row>
    <row r="82" ht="14.25" customHeight="1">
      <c r="B82" s="126"/>
    </row>
    <row r="83" ht="14.25" customHeight="1">
      <c r="B83" s="126"/>
    </row>
    <row r="84" ht="14.25" customHeight="1">
      <c r="B84" s="126"/>
    </row>
    <row r="85" ht="14.25" customHeight="1">
      <c r="B85" s="126"/>
    </row>
    <row r="86" ht="14.25" customHeight="1">
      <c r="B86" s="126"/>
    </row>
    <row r="87" ht="14.25" customHeight="1">
      <c r="B87" s="126"/>
    </row>
    <row r="88" ht="14.25" customHeight="1">
      <c r="B88" s="126"/>
    </row>
    <row r="89" ht="14.25" customHeight="1">
      <c r="B89" s="126"/>
    </row>
    <row r="90" ht="14.25" customHeight="1">
      <c r="B90" s="126"/>
    </row>
    <row r="91" ht="14.25" customHeight="1">
      <c r="B91" s="126"/>
    </row>
    <row r="92" ht="14.25" customHeight="1">
      <c r="B92" s="126"/>
    </row>
    <row r="93" ht="14.25" customHeight="1">
      <c r="B93" s="126"/>
    </row>
    <row r="94" ht="14.25" customHeight="1">
      <c r="B94" s="126"/>
    </row>
    <row r="95" ht="14.25" customHeight="1">
      <c r="B95" s="126"/>
    </row>
    <row r="96" ht="14.25" customHeight="1">
      <c r="B96" s="126"/>
    </row>
    <row r="97" ht="14.25" customHeight="1">
      <c r="B97" s="126"/>
    </row>
    <row r="98" ht="14.25" customHeight="1">
      <c r="B98" s="126"/>
    </row>
    <row r="99" ht="14.25" customHeight="1">
      <c r="B99" s="126"/>
    </row>
    <row r="100" ht="14.25" customHeight="1">
      <c r="B100" s="126"/>
    </row>
    <row r="101" ht="14.25" customHeight="1">
      <c r="B101" s="126"/>
    </row>
    <row r="102" ht="14.25" customHeight="1">
      <c r="B102" s="126"/>
    </row>
    <row r="103" ht="14.25" customHeight="1">
      <c r="B103" s="126"/>
    </row>
    <row r="104" ht="14.25" customHeight="1">
      <c r="B104" s="126"/>
    </row>
    <row r="105" ht="14.25" customHeight="1">
      <c r="B105" s="126"/>
    </row>
    <row r="106" ht="14.25" customHeight="1">
      <c r="B106" s="126"/>
    </row>
    <row r="107" ht="14.25" customHeight="1">
      <c r="B107" s="126"/>
    </row>
    <row r="108" ht="14.25" customHeight="1">
      <c r="B108" s="126"/>
    </row>
    <row r="109" ht="14.25" customHeight="1">
      <c r="B109" s="126"/>
    </row>
    <row r="110" ht="14.25" customHeight="1">
      <c r="B110" s="126"/>
    </row>
    <row r="111" ht="14.25" customHeight="1">
      <c r="B111" s="126"/>
    </row>
    <row r="112" ht="14.25" customHeight="1">
      <c r="B112" s="126"/>
    </row>
    <row r="113" ht="14.25" customHeight="1">
      <c r="B113" s="126"/>
    </row>
    <row r="114" ht="14.25" customHeight="1">
      <c r="B114" s="126"/>
    </row>
    <row r="115" ht="14.25" customHeight="1">
      <c r="B115" s="126"/>
    </row>
    <row r="116" ht="14.25" customHeight="1">
      <c r="B116" s="126"/>
    </row>
    <row r="117" ht="14.25" customHeight="1">
      <c r="B117" s="126"/>
    </row>
    <row r="118" ht="14.25" customHeight="1">
      <c r="B118" s="126"/>
    </row>
    <row r="119" ht="14.25" customHeight="1">
      <c r="B119" s="126"/>
    </row>
    <row r="120" ht="14.25" customHeight="1">
      <c r="B120" s="126"/>
    </row>
    <row r="121" ht="14.25" customHeight="1">
      <c r="B121" s="126"/>
    </row>
    <row r="122" ht="14.25" customHeight="1">
      <c r="B122" s="126"/>
    </row>
    <row r="123" ht="14.25" customHeight="1">
      <c r="B123" s="126"/>
    </row>
    <row r="124" ht="14.25" customHeight="1">
      <c r="B124" s="126"/>
    </row>
    <row r="125" ht="14.25" customHeight="1">
      <c r="B125" s="126"/>
    </row>
    <row r="126" ht="14.25" customHeight="1">
      <c r="B126" s="126"/>
    </row>
    <row r="127" ht="14.25" customHeight="1">
      <c r="B127" s="126"/>
    </row>
    <row r="128" ht="14.25" customHeight="1">
      <c r="B128" s="126"/>
    </row>
    <row r="129" ht="14.25" customHeight="1">
      <c r="B129" s="126"/>
    </row>
    <row r="130" ht="14.25" customHeight="1">
      <c r="B130" s="126"/>
    </row>
    <row r="131" ht="14.25" customHeight="1">
      <c r="B131" s="126"/>
    </row>
    <row r="132" ht="14.25" customHeight="1">
      <c r="B132" s="126"/>
    </row>
    <row r="133" ht="14.25" customHeight="1">
      <c r="B133" s="126"/>
    </row>
    <row r="134" ht="14.25" customHeight="1">
      <c r="B134" s="126"/>
    </row>
    <row r="135" ht="14.25" customHeight="1">
      <c r="B135" s="126"/>
    </row>
    <row r="136" ht="14.25" customHeight="1">
      <c r="B136" s="126"/>
    </row>
    <row r="137" ht="14.25" customHeight="1">
      <c r="B137" s="126"/>
    </row>
    <row r="138" ht="14.25" customHeight="1">
      <c r="B138" s="126"/>
    </row>
    <row r="139" ht="14.25" customHeight="1">
      <c r="B139" s="126"/>
    </row>
    <row r="140" ht="14.25" customHeight="1">
      <c r="B140" s="126"/>
    </row>
    <row r="141" ht="14.25" customHeight="1">
      <c r="B141" s="126"/>
    </row>
    <row r="142" ht="14.25" customHeight="1">
      <c r="B142" s="126"/>
    </row>
    <row r="143" ht="14.25" customHeight="1">
      <c r="B143" s="126"/>
    </row>
    <row r="144" ht="14.25" customHeight="1">
      <c r="B144" s="126"/>
    </row>
    <row r="145" ht="14.25" customHeight="1">
      <c r="B145" s="126"/>
    </row>
    <row r="146" ht="14.25" customHeight="1">
      <c r="B146" s="126"/>
    </row>
    <row r="147" ht="14.25" customHeight="1">
      <c r="B147" s="126"/>
    </row>
    <row r="148" ht="14.25" customHeight="1">
      <c r="B148" s="126"/>
    </row>
    <row r="149" ht="14.25" customHeight="1">
      <c r="B149" s="126"/>
    </row>
    <row r="150" ht="14.25" customHeight="1">
      <c r="B150" s="126"/>
    </row>
    <row r="151" ht="14.25" customHeight="1">
      <c r="B151" s="126"/>
    </row>
    <row r="152" ht="14.25" customHeight="1">
      <c r="B152" s="126"/>
    </row>
    <row r="153" ht="14.25" customHeight="1">
      <c r="B153" s="126"/>
    </row>
    <row r="154" ht="14.25" customHeight="1">
      <c r="B154" s="126"/>
    </row>
    <row r="155" ht="14.25" customHeight="1">
      <c r="B155" s="126"/>
    </row>
    <row r="156" ht="14.25" customHeight="1">
      <c r="B156" s="126"/>
    </row>
    <row r="157" ht="14.25" customHeight="1">
      <c r="B157" s="126"/>
    </row>
    <row r="158" ht="14.25" customHeight="1">
      <c r="B158" s="126"/>
    </row>
    <row r="159" ht="14.25" customHeight="1">
      <c r="B159" s="126"/>
    </row>
    <row r="160" ht="14.25" customHeight="1">
      <c r="B160" s="126"/>
    </row>
    <row r="161" ht="14.25" customHeight="1">
      <c r="B161" s="126"/>
    </row>
    <row r="162" ht="14.25" customHeight="1">
      <c r="B162" s="126"/>
    </row>
    <row r="163" ht="14.25" customHeight="1">
      <c r="B163" s="126"/>
    </row>
    <row r="164" ht="14.25" customHeight="1">
      <c r="B164" s="126"/>
    </row>
    <row r="165" ht="14.25" customHeight="1">
      <c r="B165" s="126"/>
    </row>
    <row r="166" ht="14.25" customHeight="1">
      <c r="B166" s="126"/>
    </row>
    <row r="167" ht="14.25" customHeight="1">
      <c r="B167" s="126"/>
    </row>
    <row r="168" ht="14.25" customHeight="1">
      <c r="B168" s="126"/>
    </row>
    <row r="169" ht="14.25" customHeight="1">
      <c r="B169" s="126"/>
    </row>
    <row r="170" ht="14.25" customHeight="1">
      <c r="B170" s="126"/>
    </row>
    <row r="171" ht="14.25" customHeight="1">
      <c r="B171" s="126"/>
    </row>
    <row r="172" ht="14.25" customHeight="1">
      <c r="B172" s="126"/>
    </row>
    <row r="173" ht="14.25" customHeight="1">
      <c r="B173" s="126"/>
    </row>
    <row r="174" ht="14.25" customHeight="1">
      <c r="B174" s="126"/>
    </row>
    <row r="175" ht="14.25" customHeight="1">
      <c r="B175" s="126"/>
    </row>
    <row r="176" ht="14.25" customHeight="1">
      <c r="B176" s="126"/>
    </row>
    <row r="177" ht="14.25" customHeight="1">
      <c r="B177" s="126"/>
    </row>
    <row r="178" ht="14.25" customHeight="1">
      <c r="B178" s="126"/>
    </row>
    <row r="179" ht="14.25" customHeight="1">
      <c r="B179" s="126"/>
    </row>
    <row r="180" ht="14.25" customHeight="1">
      <c r="B180" s="126"/>
    </row>
    <row r="181" ht="14.25" customHeight="1">
      <c r="B181" s="126"/>
    </row>
    <row r="182" ht="14.25" customHeight="1">
      <c r="B182" s="126"/>
    </row>
    <row r="183" ht="14.25" customHeight="1">
      <c r="B183" s="126"/>
    </row>
    <row r="184" ht="14.25" customHeight="1">
      <c r="B184" s="126"/>
    </row>
    <row r="185" ht="14.25" customHeight="1">
      <c r="B185" s="126"/>
    </row>
    <row r="186" ht="14.25" customHeight="1">
      <c r="B186" s="126"/>
    </row>
    <row r="187" ht="14.25" customHeight="1">
      <c r="B187" s="126"/>
    </row>
    <row r="188" ht="14.25" customHeight="1">
      <c r="B188" s="126"/>
    </row>
    <row r="189" ht="14.25" customHeight="1">
      <c r="B189" s="126"/>
    </row>
    <row r="190" ht="14.25" customHeight="1">
      <c r="B190" s="126"/>
    </row>
    <row r="191" ht="14.25" customHeight="1">
      <c r="B191" s="126"/>
    </row>
    <row r="192" ht="14.25" customHeight="1">
      <c r="B192" s="126"/>
    </row>
    <row r="193" ht="14.25" customHeight="1">
      <c r="B193" s="126"/>
    </row>
    <row r="194" ht="14.25" customHeight="1">
      <c r="B194" s="126"/>
    </row>
    <row r="195" ht="14.25" customHeight="1">
      <c r="B195" s="126"/>
    </row>
    <row r="196" ht="14.25" customHeight="1">
      <c r="B196" s="126"/>
    </row>
    <row r="197" ht="14.25" customHeight="1">
      <c r="B197" s="126"/>
    </row>
    <row r="198" ht="14.25" customHeight="1">
      <c r="B198" s="126"/>
    </row>
    <row r="199" ht="14.25" customHeight="1">
      <c r="B199" s="126"/>
    </row>
    <row r="200" ht="14.25" customHeight="1">
      <c r="B200" s="126"/>
    </row>
    <row r="201" ht="14.25" customHeight="1">
      <c r="B201" s="126"/>
    </row>
    <row r="202" ht="14.25" customHeight="1">
      <c r="B202" s="126"/>
    </row>
    <row r="203" ht="14.25" customHeight="1">
      <c r="B203" s="126"/>
    </row>
    <row r="204" ht="14.25" customHeight="1">
      <c r="B204" s="126"/>
    </row>
    <row r="205" ht="14.25" customHeight="1">
      <c r="B205" s="126"/>
    </row>
    <row r="206" ht="14.25" customHeight="1">
      <c r="B206" s="126"/>
    </row>
    <row r="207" ht="14.25" customHeight="1">
      <c r="B207" s="126"/>
    </row>
    <row r="208" ht="14.25" customHeight="1">
      <c r="B208" s="126"/>
    </row>
    <row r="209" ht="14.25" customHeight="1">
      <c r="B209" s="126"/>
    </row>
    <row r="210" ht="14.25" customHeight="1">
      <c r="B210" s="126"/>
    </row>
    <row r="211" ht="14.25" customHeight="1">
      <c r="B211" s="126"/>
    </row>
    <row r="212" ht="14.25" customHeight="1">
      <c r="B212" s="126"/>
    </row>
    <row r="213" ht="14.25" customHeight="1">
      <c r="B213" s="126"/>
    </row>
    <row r="214" ht="14.25" customHeight="1">
      <c r="B214" s="126"/>
    </row>
    <row r="215" ht="14.25" customHeight="1">
      <c r="B215" s="126"/>
    </row>
    <row r="216" ht="14.25" customHeight="1">
      <c r="B216" s="126"/>
    </row>
    <row r="217" ht="14.25" customHeight="1">
      <c r="B217" s="126"/>
    </row>
    <row r="218" ht="14.25" customHeight="1">
      <c r="B218" s="126"/>
    </row>
    <row r="219" ht="14.25" customHeight="1">
      <c r="B219" s="126"/>
    </row>
    <row r="220" ht="14.25" customHeight="1">
      <c r="B220" s="126"/>
    </row>
    <row r="221" ht="14.25" customHeight="1">
      <c r="B221" s="126"/>
    </row>
    <row r="222" ht="14.25" customHeight="1">
      <c r="B222" s="126"/>
    </row>
    <row r="223" ht="14.25" customHeight="1">
      <c r="B223" s="126"/>
    </row>
    <row r="224" ht="14.25" customHeight="1">
      <c r="B224" s="126"/>
    </row>
    <row r="225" ht="14.25" customHeight="1">
      <c r="B225" s="126"/>
    </row>
    <row r="226" ht="14.25" customHeight="1">
      <c r="B226" s="126"/>
    </row>
    <row r="227" ht="14.25" customHeight="1">
      <c r="B227" s="126"/>
    </row>
    <row r="228" ht="14.25" customHeight="1">
      <c r="B228" s="126"/>
    </row>
    <row r="229" ht="14.25" customHeight="1">
      <c r="B229" s="126"/>
    </row>
    <row r="230" ht="14.25" customHeight="1">
      <c r="B230" s="126"/>
    </row>
    <row r="231" ht="14.25" customHeight="1">
      <c r="B231" s="126"/>
    </row>
    <row r="232" ht="14.25" customHeight="1">
      <c r="B232" s="126"/>
    </row>
    <row r="233" ht="14.25" customHeight="1">
      <c r="B233" s="126"/>
    </row>
    <row r="234" ht="14.25" customHeight="1">
      <c r="B234" s="126"/>
    </row>
    <row r="235" ht="14.25" customHeight="1">
      <c r="B235" s="126"/>
    </row>
    <row r="236" ht="14.25" customHeight="1">
      <c r="B236" s="126"/>
    </row>
    <row r="237" ht="14.25" customHeight="1">
      <c r="B237" s="126"/>
    </row>
    <row r="238" ht="14.25" customHeight="1">
      <c r="B238" s="126"/>
    </row>
    <row r="239" ht="14.25" customHeight="1">
      <c r="B239" s="126"/>
    </row>
    <row r="240" ht="14.25" customHeight="1">
      <c r="B240" s="126"/>
    </row>
    <row r="241" ht="14.25" customHeight="1">
      <c r="B241" s="126"/>
    </row>
    <row r="242" ht="14.25" customHeight="1">
      <c r="B242" s="126"/>
    </row>
    <row r="243" ht="14.25" customHeight="1">
      <c r="B243" s="126"/>
    </row>
    <row r="244" ht="14.25" customHeight="1">
      <c r="B244" s="126"/>
    </row>
    <row r="245" ht="14.25" customHeight="1">
      <c r="B245" s="126"/>
    </row>
    <row r="246" ht="14.25" customHeight="1">
      <c r="B246" s="126"/>
    </row>
    <row r="247" ht="14.25" customHeight="1">
      <c r="B247" s="126"/>
    </row>
    <row r="248" ht="14.25" customHeight="1">
      <c r="B248" s="126"/>
    </row>
    <row r="249" ht="14.25" customHeight="1">
      <c r="B249" s="126"/>
    </row>
    <row r="250" ht="14.25" customHeight="1">
      <c r="B250" s="126"/>
    </row>
    <row r="251" ht="14.25" customHeight="1">
      <c r="B251" s="126"/>
    </row>
    <row r="252" ht="14.25" customHeight="1">
      <c r="B252" s="126"/>
    </row>
    <row r="253" ht="14.25" customHeight="1">
      <c r="B253" s="126"/>
    </row>
    <row r="254" ht="14.25" customHeight="1">
      <c r="B254" s="126"/>
    </row>
    <row r="255" ht="14.25" customHeight="1">
      <c r="B255" s="126"/>
    </row>
    <row r="256" ht="14.25" customHeight="1">
      <c r="B256" s="126"/>
    </row>
    <row r="257" ht="14.25" customHeight="1">
      <c r="B257" s="126"/>
    </row>
    <row r="258" ht="14.25" customHeight="1">
      <c r="B258" s="126"/>
    </row>
    <row r="259" ht="14.25" customHeight="1">
      <c r="B259" s="126"/>
    </row>
    <row r="260" ht="14.25" customHeight="1">
      <c r="B260" s="126"/>
    </row>
    <row r="261" ht="14.25" customHeight="1">
      <c r="B261" s="126"/>
    </row>
    <row r="262" ht="14.25" customHeight="1">
      <c r="B262" s="126"/>
    </row>
    <row r="263" ht="14.25" customHeight="1">
      <c r="B263" s="126"/>
    </row>
    <row r="264" ht="14.25" customHeight="1">
      <c r="B264" s="126"/>
    </row>
    <row r="265" ht="14.25" customHeight="1">
      <c r="B265" s="126"/>
    </row>
    <row r="266" ht="14.25" customHeight="1">
      <c r="B266" s="126"/>
    </row>
    <row r="267" ht="14.25" customHeight="1">
      <c r="B267" s="126"/>
    </row>
    <row r="268" ht="14.25" customHeight="1">
      <c r="B268" s="126"/>
    </row>
    <row r="269" ht="14.25" customHeight="1">
      <c r="B269" s="126"/>
    </row>
    <row r="270" ht="14.25" customHeight="1">
      <c r="B270" s="126"/>
    </row>
    <row r="271" ht="14.25" customHeight="1">
      <c r="B271" s="126"/>
    </row>
    <row r="272" ht="14.25" customHeight="1">
      <c r="B272" s="126"/>
    </row>
    <row r="273" ht="14.25" customHeight="1">
      <c r="B273" s="126"/>
    </row>
    <row r="274" ht="14.25" customHeight="1">
      <c r="B274" s="126"/>
    </row>
    <row r="275" ht="14.25" customHeight="1">
      <c r="B275" s="126"/>
    </row>
    <row r="276" ht="14.25" customHeight="1">
      <c r="B276" s="126"/>
    </row>
    <row r="277" ht="14.25" customHeight="1">
      <c r="B277" s="126"/>
    </row>
    <row r="278" ht="14.25" customHeight="1">
      <c r="B278" s="126"/>
    </row>
    <row r="279" ht="14.25" customHeight="1">
      <c r="B279" s="126"/>
    </row>
    <row r="280" ht="14.25" customHeight="1">
      <c r="B280" s="126"/>
    </row>
    <row r="281" ht="14.25" customHeight="1">
      <c r="B281" s="126"/>
    </row>
    <row r="282" ht="14.25" customHeight="1">
      <c r="B282" s="126"/>
    </row>
    <row r="283" ht="14.25" customHeight="1">
      <c r="B283" s="126"/>
    </row>
    <row r="284" ht="14.25" customHeight="1">
      <c r="B284" s="126"/>
    </row>
    <row r="285" ht="14.25" customHeight="1">
      <c r="B285" s="126"/>
    </row>
    <row r="286" ht="14.25" customHeight="1">
      <c r="B286" s="126"/>
    </row>
    <row r="287" ht="14.25" customHeight="1">
      <c r="B287" s="126"/>
    </row>
    <row r="288" ht="14.25" customHeight="1">
      <c r="B288" s="126"/>
    </row>
    <row r="289" ht="14.25" customHeight="1">
      <c r="B289" s="126"/>
    </row>
    <row r="290" ht="14.25" customHeight="1">
      <c r="B290" s="126"/>
    </row>
    <row r="291" ht="14.25" customHeight="1">
      <c r="B291" s="126"/>
    </row>
    <row r="292" ht="14.25" customHeight="1">
      <c r="B292" s="126"/>
    </row>
    <row r="293" ht="14.25" customHeight="1">
      <c r="B293" s="126"/>
    </row>
    <row r="294" ht="14.25" customHeight="1">
      <c r="B294" s="126"/>
    </row>
    <row r="295" ht="14.25" customHeight="1">
      <c r="B295" s="126"/>
    </row>
    <row r="296" ht="14.25" customHeight="1">
      <c r="B296" s="126"/>
    </row>
    <row r="297" ht="14.25" customHeight="1">
      <c r="B297" s="126"/>
    </row>
    <row r="298" ht="14.25" customHeight="1">
      <c r="B298" s="126"/>
    </row>
    <row r="299" ht="14.25" customHeight="1">
      <c r="B299" s="126"/>
    </row>
    <row r="300" ht="14.25" customHeight="1">
      <c r="B300" s="126"/>
    </row>
    <row r="301" ht="14.25" customHeight="1">
      <c r="B301" s="126"/>
    </row>
    <row r="302" ht="14.25" customHeight="1">
      <c r="B302" s="126"/>
    </row>
    <row r="303" ht="14.25" customHeight="1">
      <c r="B303" s="126"/>
    </row>
    <row r="304" ht="14.25" customHeight="1">
      <c r="B304" s="126"/>
    </row>
    <row r="305" ht="14.25" customHeight="1">
      <c r="B305" s="126"/>
    </row>
    <row r="306" ht="14.25" customHeight="1">
      <c r="B306" s="126"/>
    </row>
    <row r="307" ht="14.25" customHeight="1">
      <c r="B307" s="126"/>
    </row>
    <row r="308" ht="14.25" customHeight="1">
      <c r="B308" s="126"/>
    </row>
    <row r="309" ht="14.25" customHeight="1">
      <c r="B309" s="126"/>
    </row>
    <row r="310" ht="14.25" customHeight="1">
      <c r="B310" s="126"/>
    </row>
    <row r="311" ht="14.25" customHeight="1">
      <c r="B311" s="126"/>
    </row>
    <row r="312" ht="14.25" customHeight="1">
      <c r="B312" s="126"/>
    </row>
    <row r="313" ht="14.25" customHeight="1">
      <c r="B313" s="126"/>
    </row>
    <row r="314" ht="14.25" customHeight="1">
      <c r="B314" s="126"/>
    </row>
    <row r="315" ht="14.25" customHeight="1">
      <c r="B315" s="126"/>
    </row>
    <row r="316" ht="14.25" customHeight="1">
      <c r="B316" s="126"/>
    </row>
    <row r="317" ht="14.25" customHeight="1">
      <c r="B317" s="126"/>
    </row>
    <row r="318" ht="14.25" customHeight="1">
      <c r="B318" s="126"/>
    </row>
    <row r="319" ht="14.25" customHeight="1">
      <c r="B319" s="126"/>
    </row>
    <row r="320" ht="14.25" customHeight="1">
      <c r="B320" s="126"/>
    </row>
    <row r="321" ht="14.25" customHeight="1">
      <c r="B321" s="126"/>
    </row>
    <row r="322" ht="14.25" customHeight="1">
      <c r="B322" s="126"/>
    </row>
    <row r="323" ht="14.25" customHeight="1">
      <c r="B323" s="126"/>
    </row>
    <row r="324" ht="14.25" customHeight="1">
      <c r="B324" s="126"/>
    </row>
    <row r="325" ht="14.25" customHeight="1">
      <c r="B325" s="126"/>
    </row>
    <row r="326" ht="14.25" customHeight="1">
      <c r="B326" s="126"/>
    </row>
    <row r="327" ht="14.25" customHeight="1">
      <c r="B327" s="126"/>
    </row>
    <row r="328" ht="14.25" customHeight="1">
      <c r="B328" s="126"/>
    </row>
    <row r="329" ht="14.25" customHeight="1">
      <c r="B329" s="126"/>
    </row>
    <row r="330" ht="14.25" customHeight="1">
      <c r="B330" s="126"/>
    </row>
    <row r="331" ht="14.25" customHeight="1">
      <c r="B331" s="126"/>
    </row>
    <row r="332" ht="14.25" customHeight="1">
      <c r="B332" s="126"/>
    </row>
    <row r="333" ht="14.25" customHeight="1">
      <c r="B333" s="126"/>
    </row>
    <row r="334" ht="14.25" customHeight="1">
      <c r="B334" s="126"/>
    </row>
    <row r="335" ht="14.25" customHeight="1">
      <c r="B335" s="126"/>
    </row>
    <row r="336" ht="14.25" customHeight="1">
      <c r="B336" s="126"/>
    </row>
    <row r="337" ht="14.25" customHeight="1">
      <c r="B337" s="126"/>
    </row>
    <row r="338" ht="14.25" customHeight="1">
      <c r="B338" s="126"/>
    </row>
    <row r="339" ht="14.25" customHeight="1">
      <c r="B339" s="126"/>
    </row>
    <row r="340" ht="14.25" customHeight="1">
      <c r="B340" s="126"/>
    </row>
    <row r="341" ht="14.25" customHeight="1">
      <c r="B341" s="126"/>
    </row>
    <row r="342" ht="14.25" customHeight="1">
      <c r="B342" s="126"/>
    </row>
    <row r="343" ht="14.25" customHeight="1">
      <c r="B343" s="126"/>
    </row>
    <row r="344" ht="14.25" customHeight="1">
      <c r="B344" s="126"/>
    </row>
    <row r="345" ht="14.25" customHeight="1">
      <c r="B345" s="126"/>
    </row>
    <row r="346" ht="14.25" customHeight="1">
      <c r="B346" s="126"/>
    </row>
    <row r="347" ht="14.25" customHeight="1">
      <c r="B347" s="126"/>
    </row>
    <row r="348" ht="14.25" customHeight="1">
      <c r="B348" s="126"/>
    </row>
    <row r="349" ht="14.25" customHeight="1">
      <c r="B349" s="126"/>
    </row>
    <row r="350" ht="14.25" customHeight="1">
      <c r="B350" s="126"/>
    </row>
    <row r="351" ht="14.25" customHeight="1">
      <c r="B351" s="126"/>
    </row>
    <row r="352" ht="14.25" customHeight="1">
      <c r="B352" s="126"/>
    </row>
    <row r="353" ht="14.25" customHeight="1">
      <c r="B353" s="126"/>
    </row>
    <row r="354" ht="14.25" customHeight="1">
      <c r="B354" s="126"/>
    </row>
    <row r="355" ht="14.25" customHeight="1">
      <c r="B355" s="126"/>
    </row>
    <row r="356" ht="14.25" customHeight="1">
      <c r="B356" s="126"/>
    </row>
    <row r="357" ht="14.25" customHeight="1">
      <c r="B357" s="126"/>
    </row>
    <row r="358" ht="14.25" customHeight="1">
      <c r="B358" s="126"/>
    </row>
    <row r="359" ht="14.25" customHeight="1">
      <c r="B359" s="126"/>
    </row>
    <row r="360" ht="14.25" customHeight="1">
      <c r="B360" s="126"/>
    </row>
    <row r="361" ht="14.25" customHeight="1">
      <c r="B361" s="126"/>
    </row>
    <row r="362" ht="14.25" customHeight="1">
      <c r="B362" s="126"/>
    </row>
    <row r="363" ht="14.25" customHeight="1">
      <c r="B363" s="126"/>
    </row>
    <row r="364" ht="14.25" customHeight="1">
      <c r="B364" s="126"/>
    </row>
    <row r="365" ht="14.25" customHeight="1">
      <c r="B365" s="126"/>
    </row>
    <row r="366" ht="14.25" customHeight="1">
      <c r="B366" s="126"/>
    </row>
    <row r="367" ht="14.25" customHeight="1">
      <c r="B367" s="126"/>
    </row>
    <row r="368" ht="14.25" customHeight="1">
      <c r="B368" s="126"/>
    </row>
    <row r="369" ht="14.25" customHeight="1">
      <c r="B369" s="126"/>
    </row>
    <row r="370" ht="14.25" customHeight="1">
      <c r="B370" s="126"/>
    </row>
    <row r="371" ht="14.25" customHeight="1">
      <c r="B371" s="126"/>
    </row>
    <row r="372" ht="14.25" customHeight="1">
      <c r="B372" s="126"/>
    </row>
    <row r="373" ht="14.25" customHeight="1">
      <c r="B373" s="126"/>
    </row>
    <row r="374" ht="14.25" customHeight="1">
      <c r="B374" s="126"/>
    </row>
    <row r="375" ht="14.25" customHeight="1">
      <c r="B375" s="126"/>
    </row>
    <row r="376" ht="14.25" customHeight="1">
      <c r="B376" s="126"/>
    </row>
    <row r="377" ht="14.25" customHeight="1">
      <c r="B377" s="126"/>
    </row>
    <row r="378" ht="14.25" customHeight="1">
      <c r="B378" s="126"/>
    </row>
    <row r="379" ht="14.25" customHeight="1">
      <c r="B379" s="126"/>
    </row>
    <row r="380" ht="14.25" customHeight="1">
      <c r="B380" s="126"/>
    </row>
    <row r="381" ht="14.25" customHeight="1">
      <c r="B381" s="126"/>
    </row>
    <row r="382" ht="14.25" customHeight="1">
      <c r="B382" s="126"/>
    </row>
    <row r="383" ht="14.25" customHeight="1">
      <c r="B383" s="126"/>
    </row>
    <row r="384" ht="14.25" customHeight="1">
      <c r="B384" s="126"/>
    </row>
    <row r="385" ht="14.25" customHeight="1">
      <c r="B385" s="126"/>
    </row>
    <row r="386" ht="14.25" customHeight="1">
      <c r="B386" s="126"/>
    </row>
    <row r="387" ht="14.25" customHeight="1">
      <c r="B387" s="126"/>
    </row>
    <row r="388" ht="14.25" customHeight="1">
      <c r="B388" s="126"/>
    </row>
    <row r="389" ht="14.25" customHeight="1">
      <c r="B389" s="126"/>
    </row>
    <row r="390" ht="14.25" customHeight="1">
      <c r="B390" s="126"/>
    </row>
    <row r="391" ht="14.25" customHeight="1">
      <c r="B391" s="126"/>
    </row>
    <row r="392" ht="14.25" customHeight="1">
      <c r="B392" s="126"/>
    </row>
    <row r="393" ht="14.25" customHeight="1">
      <c r="B393" s="126"/>
    </row>
    <row r="394" ht="14.25" customHeight="1">
      <c r="B394" s="126"/>
    </row>
    <row r="395" ht="14.25" customHeight="1">
      <c r="B395" s="126"/>
    </row>
    <row r="396" ht="14.25" customHeight="1">
      <c r="B396" s="126"/>
    </row>
    <row r="397" ht="14.25" customHeight="1">
      <c r="B397" s="126"/>
    </row>
    <row r="398" ht="14.25" customHeight="1">
      <c r="B398" s="126"/>
    </row>
    <row r="399" ht="14.25" customHeight="1">
      <c r="B399" s="126"/>
    </row>
    <row r="400" ht="14.25" customHeight="1">
      <c r="B400" s="126"/>
    </row>
    <row r="401" ht="14.25" customHeight="1">
      <c r="B401" s="126"/>
    </row>
    <row r="402" ht="14.25" customHeight="1">
      <c r="B402" s="126"/>
    </row>
    <row r="403" ht="14.25" customHeight="1">
      <c r="B403" s="126"/>
    </row>
    <row r="404" ht="14.25" customHeight="1">
      <c r="B404" s="126"/>
    </row>
    <row r="405" ht="14.25" customHeight="1">
      <c r="B405" s="126"/>
    </row>
    <row r="406" ht="14.25" customHeight="1">
      <c r="B406" s="126"/>
    </row>
    <row r="407" ht="14.25" customHeight="1">
      <c r="B407" s="126"/>
    </row>
    <row r="408" ht="14.25" customHeight="1">
      <c r="B408" s="126"/>
    </row>
    <row r="409" ht="14.25" customHeight="1">
      <c r="B409" s="126"/>
    </row>
    <row r="410" ht="14.25" customHeight="1">
      <c r="B410" s="126"/>
    </row>
    <row r="411" ht="14.25" customHeight="1">
      <c r="B411" s="126"/>
    </row>
    <row r="412" ht="14.25" customHeight="1">
      <c r="B412" s="126"/>
    </row>
    <row r="413" ht="14.25" customHeight="1">
      <c r="B413" s="126"/>
    </row>
    <row r="414" ht="14.25" customHeight="1">
      <c r="B414" s="126"/>
    </row>
    <row r="415" ht="14.25" customHeight="1">
      <c r="B415" s="126"/>
    </row>
    <row r="416" ht="14.25" customHeight="1">
      <c r="B416" s="126"/>
    </row>
    <row r="417" ht="14.25" customHeight="1">
      <c r="B417" s="126"/>
    </row>
    <row r="418" ht="14.25" customHeight="1">
      <c r="B418" s="126"/>
    </row>
    <row r="419" ht="14.25" customHeight="1">
      <c r="B419" s="126"/>
    </row>
    <row r="420" ht="14.25" customHeight="1">
      <c r="B420" s="126"/>
    </row>
    <row r="421" ht="14.25" customHeight="1">
      <c r="B421" s="126"/>
    </row>
    <row r="422" ht="14.25" customHeight="1">
      <c r="B422" s="126"/>
    </row>
    <row r="423" ht="14.25" customHeight="1">
      <c r="B423" s="126"/>
    </row>
    <row r="424" ht="14.25" customHeight="1">
      <c r="B424" s="126"/>
    </row>
    <row r="425" ht="14.25" customHeight="1">
      <c r="B425" s="126"/>
    </row>
    <row r="426" ht="14.25" customHeight="1">
      <c r="B426" s="126"/>
    </row>
    <row r="427" ht="14.25" customHeight="1">
      <c r="B427" s="126"/>
    </row>
    <row r="428" ht="14.25" customHeight="1">
      <c r="B428" s="126"/>
    </row>
    <row r="429" ht="14.25" customHeight="1">
      <c r="B429" s="126"/>
    </row>
    <row r="430" ht="14.25" customHeight="1">
      <c r="B430" s="126"/>
    </row>
    <row r="431" ht="14.25" customHeight="1">
      <c r="B431" s="126"/>
    </row>
    <row r="432" ht="14.25" customHeight="1">
      <c r="B432" s="126"/>
    </row>
    <row r="433" ht="14.25" customHeight="1">
      <c r="B433" s="126"/>
    </row>
    <row r="434" ht="14.25" customHeight="1">
      <c r="B434" s="126"/>
    </row>
    <row r="435" ht="14.25" customHeight="1">
      <c r="B435" s="126"/>
    </row>
    <row r="436" ht="14.25" customHeight="1">
      <c r="B436" s="126"/>
    </row>
    <row r="437" ht="14.25" customHeight="1">
      <c r="B437" s="126"/>
    </row>
    <row r="438" ht="14.25" customHeight="1">
      <c r="B438" s="126"/>
    </row>
    <row r="439" ht="14.25" customHeight="1">
      <c r="B439" s="126"/>
    </row>
    <row r="440" ht="14.25" customHeight="1">
      <c r="B440" s="126"/>
    </row>
    <row r="441" ht="14.25" customHeight="1">
      <c r="B441" s="126"/>
    </row>
    <row r="442" ht="14.25" customHeight="1">
      <c r="B442" s="126"/>
    </row>
    <row r="443" ht="14.25" customHeight="1">
      <c r="B443" s="126"/>
    </row>
    <row r="444" ht="14.25" customHeight="1">
      <c r="B444" s="126"/>
    </row>
    <row r="445" ht="14.25" customHeight="1">
      <c r="B445" s="126"/>
    </row>
    <row r="446" ht="14.25" customHeight="1">
      <c r="B446" s="126"/>
    </row>
    <row r="447" ht="14.25" customHeight="1">
      <c r="B447" s="126"/>
    </row>
    <row r="448" ht="14.25" customHeight="1">
      <c r="B448" s="126"/>
    </row>
    <row r="449" ht="14.25" customHeight="1">
      <c r="B449" s="126"/>
    </row>
    <row r="450" ht="14.25" customHeight="1">
      <c r="B450" s="126"/>
    </row>
    <row r="451" ht="14.25" customHeight="1">
      <c r="B451" s="126"/>
    </row>
    <row r="452" ht="14.25" customHeight="1">
      <c r="B452" s="126"/>
    </row>
    <row r="453" ht="14.25" customHeight="1">
      <c r="B453" s="126"/>
    </row>
    <row r="454" ht="14.25" customHeight="1">
      <c r="B454" s="126"/>
    </row>
    <row r="455" ht="14.25" customHeight="1">
      <c r="B455" s="126"/>
    </row>
    <row r="456" ht="14.25" customHeight="1">
      <c r="B456" s="126"/>
    </row>
    <row r="457" ht="14.25" customHeight="1">
      <c r="B457" s="126"/>
    </row>
    <row r="458" ht="14.25" customHeight="1">
      <c r="B458" s="126"/>
    </row>
    <row r="459" ht="14.25" customHeight="1">
      <c r="B459" s="126"/>
    </row>
    <row r="460" ht="14.25" customHeight="1">
      <c r="B460" s="126"/>
    </row>
    <row r="461" ht="14.25" customHeight="1">
      <c r="B461" s="126"/>
    </row>
    <row r="462" ht="14.25" customHeight="1">
      <c r="B462" s="126"/>
    </row>
    <row r="463" ht="14.25" customHeight="1">
      <c r="B463" s="126"/>
    </row>
    <row r="464" ht="14.25" customHeight="1">
      <c r="B464" s="126"/>
    </row>
    <row r="465" ht="14.25" customHeight="1">
      <c r="B465" s="126"/>
    </row>
    <row r="466" ht="14.25" customHeight="1">
      <c r="B466" s="126"/>
    </row>
    <row r="467" ht="14.25" customHeight="1">
      <c r="B467" s="126"/>
    </row>
    <row r="468" ht="14.25" customHeight="1">
      <c r="B468" s="126"/>
    </row>
    <row r="469" ht="14.25" customHeight="1">
      <c r="B469" s="126"/>
    </row>
    <row r="470" ht="14.25" customHeight="1">
      <c r="B470" s="126"/>
    </row>
    <row r="471" ht="14.25" customHeight="1">
      <c r="B471" s="126"/>
    </row>
    <row r="472" ht="14.25" customHeight="1">
      <c r="B472" s="126"/>
    </row>
    <row r="473" ht="14.25" customHeight="1">
      <c r="B473" s="126"/>
    </row>
    <row r="474" ht="14.25" customHeight="1">
      <c r="B474" s="126"/>
    </row>
    <row r="475" ht="14.25" customHeight="1">
      <c r="B475" s="126"/>
    </row>
    <row r="476" ht="14.25" customHeight="1">
      <c r="B476" s="126"/>
    </row>
    <row r="477" ht="14.25" customHeight="1">
      <c r="B477" s="126"/>
    </row>
    <row r="478" ht="14.25" customHeight="1">
      <c r="B478" s="126"/>
    </row>
    <row r="479" ht="14.25" customHeight="1">
      <c r="B479" s="126"/>
    </row>
    <row r="480" ht="14.25" customHeight="1">
      <c r="B480" s="126"/>
    </row>
    <row r="481" ht="14.25" customHeight="1">
      <c r="B481" s="126"/>
    </row>
    <row r="482" ht="14.25" customHeight="1">
      <c r="B482" s="126"/>
    </row>
    <row r="483" ht="14.25" customHeight="1">
      <c r="B483" s="126"/>
    </row>
    <row r="484" ht="14.25" customHeight="1">
      <c r="B484" s="126"/>
    </row>
    <row r="485" ht="14.25" customHeight="1">
      <c r="B485" s="126"/>
    </row>
    <row r="486" ht="14.25" customHeight="1">
      <c r="B486" s="126"/>
    </row>
    <row r="487" ht="14.25" customHeight="1">
      <c r="B487" s="126"/>
    </row>
    <row r="488" ht="14.25" customHeight="1">
      <c r="B488" s="126"/>
    </row>
    <row r="489" ht="14.25" customHeight="1">
      <c r="B489" s="126"/>
    </row>
    <row r="490" ht="14.25" customHeight="1">
      <c r="B490" s="126"/>
    </row>
    <row r="491" ht="14.25" customHeight="1">
      <c r="B491" s="126"/>
    </row>
    <row r="492" ht="14.25" customHeight="1">
      <c r="B492" s="126"/>
    </row>
    <row r="493" ht="14.25" customHeight="1">
      <c r="B493" s="126"/>
    </row>
    <row r="494" ht="14.25" customHeight="1">
      <c r="B494" s="126"/>
    </row>
    <row r="495" ht="14.25" customHeight="1">
      <c r="B495" s="126"/>
    </row>
    <row r="496" ht="14.25" customHeight="1">
      <c r="B496" s="126"/>
    </row>
    <row r="497" ht="14.25" customHeight="1">
      <c r="B497" s="126"/>
    </row>
    <row r="498" ht="14.25" customHeight="1">
      <c r="B498" s="126"/>
    </row>
    <row r="499" ht="14.25" customHeight="1">
      <c r="B499" s="126"/>
    </row>
    <row r="500" ht="14.25" customHeight="1">
      <c r="B500" s="126"/>
    </row>
    <row r="501" ht="14.25" customHeight="1">
      <c r="B501" s="126"/>
    </row>
    <row r="502" ht="14.25" customHeight="1">
      <c r="B502" s="126"/>
    </row>
    <row r="503" ht="14.25" customHeight="1">
      <c r="B503" s="126"/>
    </row>
    <row r="504" ht="14.25" customHeight="1">
      <c r="B504" s="126"/>
    </row>
    <row r="505" ht="14.25" customHeight="1">
      <c r="B505" s="126"/>
    </row>
    <row r="506" ht="14.25" customHeight="1">
      <c r="B506" s="126"/>
    </row>
    <row r="507" ht="14.25" customHeight="1">
      <c r="B507" s="126"/>
    </row>
    <row r="508" ht="14.25" customHeight="1">
      <c r="B508" s="126"/>
    </row>
    <row r="509" ht="14.25" customHeight="1">
      <c r="B509" s="126"/>
    </row>
    <row r="510" ht="14.25" customHeight="1">
      <c r="B510" s="126"/>
    </row>
    <row r="511" ht="14.25" customHeight="1">
      <c r="B511" s="126"/>
    </row>
    <row r="512" ht="14.25" customHeight="1">
      <c r="B512" s="126"/>
    </row>
    <row r="513" ht="14.25" customHeight="1">
      <c r="B513" s="126"/>
    </row>
    <row r="514" ht="14.25" customHeight="1">
      <c r="B514" s="126"/>
    </row>
    <row r="515" ht="14.25" customHeight="1">
      <c r="B515" s="126"/>
    </row>
    <row r="516" ht="14.25" customHeight="1">
      <c r="B516" s="126"/>
    </row>
    <row r="517" ht="14.25" customHeight="1">
      <c r="B517" s="126"/>
    </row>
    <row r="518" ht="14.25" customHeight="1">
      <c r="B518" s="126"/>
    </row>
    <row r="519" ht="14.25" customHeight="1">
      <c r="B519" s="126"/>
    </row>
    <row r="520" ht="14.25" customHeight="1">
      <c r="B520" s="126"/>
    </row>
    <row r="521" ht="14.25" customHeight="1">
      <c r="B521" s="126"/>
    </row>
    <row r="522" ht="14.25" customHeight="1">
      <c r="B522" s="126"/>
    </row>
    <row r="523" ht="14.25" customHeight="1">
      <c r="B523" s="126"/>
    </row>
    <row r="524" ht="14.25" customHeight="1">
      <c r="B524" s="126"/>
    </row>
    <row r="525" ht="14.25" customHeight="1">
      <c r="B525" s="126"/>
    </row>
    <row r="526" ht="14.25" customHeight="1">
      <c r="B526" s="126"/>
    </row>
    <row r="527" ht="14.25" customHeight="1">
      <c r="B527" s="126"/>
    </row>
    <row r="528" ht="14.25" customHeight="1">
      <c r="B528" s="126"/>
    </row>
    <row r="529" ht="14.25" customHeight="1">
      <c r="B529" s="126"/>
    </row>
    <row r="530" ht="14.25" customHeight="1">
      <c r="B530" s="126"/>
    </row>
    <row r="531" ht="14.25" customHeight="1">
      <c r="B531" s="126"/>
    </row>
    <row r="532" ht="14.25" customHeight="1">
      <c r="B532" s="126"/>
    </row>
    <row r="533" ht="14.25" customHeight="1">
      <c r="B533" s="126"/>
    </row>
    <row r="534" ht="14.25" customHeight="1">
      <c r="B534" s="126"/>
    </row>
    <row r="535" ht="14.25" customHeight="1">
      <c r="B535" s="126"/>
    </row>
    <row r="536" ht="14.25" customHeight="1">
      <c r="B536" s="126"/>
    </row>
    <row r="537" ht="14.25" customHeight="1">
      <c r="B537" s="126"/>
    </row>
    <row r="538" ht="14.25" customHeight="1">
      <c r="B538" s="126"/>
    </row>
    <row r="539" ht="14.25" customHeight="1">
      <c r="B539" s="126"/>
    </row>
    <row r="540" ht="14.25" customHeight="1">
      <c r="B540" s="126"/>
    </row>
    <row r="541" ht="14.25" customHeight="1">
      <c r="B541" s="126"/>
    </row>
    <row r="542" ht="14.25" customHeight="1">
      <c r="B542" s="126"/>
    </row>
    <row r="543" ht="14.25" customHeight="1">
      <c r="B543" s="126"/>
    </row>
    <row r="544" ht="14.25" customHeight="1">
      <c r="B544" s="126"/>
    </row>
    <row r="545" ht="14.25" customHeight="1">
      <c r="B545" s="126"/>
    </row>
    <row r="546" ht="14.25" customHeight="1">
      <c r="B546" s="126"/>
    </row>
    <row r="547" ht="14.25" customHeight="1">
      <c r="B547" s="126"/>
    </row>
    <row r="548" ht="14.25" customHeight="1">
      <c r="B548" s="126"/>
    </row>
    <row r="549" ht="14.25" customHeight="1">
      <c r="B549" s="126"/>
    </row>
    <row r="550" ht="14.25" customHeight="1">
      <c r="B550" s="126"/>
    </row>
    <row r="551" ht="14.25" customHeight="1">
      <c r="B551" s="126"/>
    </row>
    <row r="552" ht="14.25" customHeight="1">
      <c r="B552" s="126"/>
    </row>
    <row r="553" ht="14.25" customHeight="1">
      <c r="B553" s="126"/>
    </row>
    <row r="554" ht="14.25" customHeight="1">
      <c r="B554" s="126"/>
    </row>
    <row r="555" ht="14.25" customHeight="1">
      <c r="B555" s="126"/>
    </row>
    <row r="556" ht="14.25" customHeight="1">
      <c r="B556" s="126"/>
    </row>
    <row r="557" ht="14.25" customHeight="1">
      <c r="B557" s="126"/>
    </row>
    <row r="558" ht="14.25" customHeight="1">
      <c r="B558" s="126"/>
    </row>
    <row r="559" ht="14.25" customHeight="1">
      <c r="B559" s="126"/>
    </row>
    <row r="560" ht="14.25" customHeight="1">
      <c r="B560" s="126"/>
    </row>
    <row r="561" ht="14.25" customHeight="1">
      <c r="B561" s="126"/>
    </row>
    <row r="562" ht="14.25" customHeight="1">
      <c r="B562" s="126"/>
    </row>
    <row r="563" ht="14.25" customHeight="1">
      <c r="B563" s="126"/>
    </row>
    <row r="564" ht="14.25" customHeight="1">
      <c r="B564" s="126"/>
    </row>
    <row r="565" ht="14.25" customHeight="1">
      <c r="B565" s="126"/>
    </row>
    <row r="566" ht="14.25" customHeight="1">
      <c r="B566" s="126"/>
    </row>
    <row r="567" ht="14.25" customHeight="1">
      <c r="B567" s="126"/>
    </row>
    <row r="568" ht="14.25" customHeight="1">
      <c r="B568" s="126"/>
    </row>
    <row r="569" ht="14.25" customHeight="1">
      <c r="B569" s="126"/>
    </row>
    <row r="570" ht="14.25" customHeight="1">
      <c r="B570" s="126"/>
    </row>
    <row r="571" ht="14.25" customHeight="1">
      <c r="B571" s="126"/>
    </row>
    <row r="572" ht="14.25" customHeight="1">
      <c r="B572" s="126"/>
    </row>
    <row r="573" ht="14.25" customHeight="1">
      <c r="B573" s="126"/>
    </row>
    <row r="574" ht="14.25" customHeight="1">
      <c r="B574" s="126"/>
    </row>
    <row r="575" ht="14.25" customHeight="1">
      <c r="B575" s="126"/>
    </row>
    <row r="576" ht="14.25" customHeight="1">
      <c r="B576" s="126"/>
    </row>
    <row r="577" ht="14.25" customHeight="1">
      <c r="B577" s="126"/>
    </row>
    <row r="578" ht="14.25" customHeight="1">
      <c r="B578" s="126"/>
    </row>
    <row r="579" ht="14.25" customHeight="1">
      <c r="B579" s="126"/>
    </row>
    <row r="580" ht="14.25" customHeight="1">
      <c r="B580" s="126"/>
    </row>
    <row r="581" ht="14.25" customHeight="1">
      <c r="B581" s="126"/>
    </row>
    <row r="582" ht="14.25" customHeight="1">
      <c r="B582" s="126"/>
    </row>
    <row r="583" ht="14.25" customHeight="1">
      <c r="B583" s="126"/>
    </row>
    <row r="584" ht="14.25" customHeight="1">
      <c r="B584" s="126"/>
    </row>
    <row r="585" ht="14.25" customHeight="1">
      <c r="B585" s="126"/>
    </row>
    <row r="586" ht="14.25" customHeight="1">
      <c r="B586" s="126"/>
    </row>
    <row r="587" ht="14.25" customHeight="1">
      <c r="B587" s="126"/>
    </row>
    <row r="588" ht="14.25" customHeight="1">
      <c r="B588" s="126"/>
    </row>
    <row r="589" ht="14.25" customHeight="1">
      <c r="B589" s="126"/>
    </row>
    <row r="590" ht="14.25" customHeight="1">
      <c r="B590" s="126"/>
    </row>
    <row r="591" ht="14.25" customHeight="1">
      <c r="B591" s="126"/>
    </row>
    <row r="592" ht="14.25" customHeight="1">
      <c r="B592" s="126"/>
    </row>
    <row r="593" ht="14.25" customHeight="1">
      <c r="B593" s="126"/>
    </row>
    <row r="594" ht="14.25" customHeight="1">
      <c r="B594" s="126"/>
    </row>
    <row r="595" ht="14.25" customHeight="1">
      <c r="B595" s="126"/>
    </row>
    <row r="596" ht="14.25" customHeight="1">
      <c r="B596" s="126"/>
    </row>
    <row r="597" ht="14.25" customHeight="1">
      <c r="B597" s="126"/>
    </row>
    <row r="598" ht="14.25" customHeight="1">
      <c r="B598" s="126"/>
    </row>
    <row r="599" ht="14.25" customHeight="1">
      <c r="B599" s="126"/>
    </row>
    <row r="600" ht="14.25" customHeight="1">
      <c r="B600" s="126"/>
    </row>
    <row r="601" ht="14.25" customHeight="1">
      <c r="B601" s="126"/>
    </row>
    <row r="602" ht="14.25" customHeight="1">
      <c r="B602" s="126"/>
    </row>
    <row r="603" ht="14.25" customHeight="1">
      <c r="B603" s="126"/>
    </row>
    <row r="604" ht="14.25" customHeight="1">
      <c r="B604" s="126"/>
    </row>
    <row r="605" ht="14.25" customHeight="1">
      <c r="B605" s="126"/>
    </row>
    <row r="606" ht="14.25" customHeight="1">
      <c r="B606" s="126"/>
    </row>
    <row r="607" ht="14.25" customHeight="1">
      <c r="B607" s="126"/>
    </row>
    <row r="608" ht="14.25" customHeight="1">
      <c r="B608" s="126"/>
    </row>
    <row r="609" ht="14.25" customHeight="1">
      <c r="B609" s="126"/>
    </row>
    <row r="610" ht="14.25" customHeight="1">
      <c r="B610" s="126"/>
    </row>
    <row r="611" ht="14.25" customHeight="1">
      <c r="B611" s="126"/>
    </row>
    <row r="612" ht="14.25" customHeight="1">
      <c r="B612" s="126"/>
    </row>
    <row r="613" ht="14.25" customHeight="1">
      <c r="B613" s="126"/>
    </row>
    <row r="614" ht="14.25" customHeight="1">
      <c r="B614" s="126"/>
    </row>
    <row r="615" ht="14.25" customHeight="1">
      <c r="B615" s="126"/>
    </row>
    <row r="616" ht="14.25" customHeight="1">
      <c r="B616" s="126"/>
    </row>
    <row r="617" ht="14.25" customHeight="1">
      <c r="B617" s="126"/>
    </row>
    <row r="618" ht="14.25" customHeight="1">
      <c r="B618" s="126"/>
    </row>
    <row r="619" ht="14.25" customHeight="1">
      <c r="B619" s="126"/>
    </row>
    <row r="620" ht="14.25" customHeight="1">
      <c r="B620" s="126"/>
    </row>
    <row r="621" ht="14.25" customHeight="1">
      <c r="B621" s="126"/>
    </row>
    <row r="622" ht="14.25" customHeight="1">
      <c r="B622" s="126"/>
    </row>
    <row r="623" ht="14.25" customHeight="1">
      <c r="B623" s="126"/>
    </row>
    <row r="624" ht="14.25" customHeight="1">
      <c r="B624" s="126"/>
    </row>
    <row r="625" ht="14.25" customHeight="1">
      <c r="B625" s="126"/>
    </row>
    <row r="626" ht="14.25" customHeight="1">
      <c r="B626" s="126"/>
    </row>
    <row r="627" ht="14.25" customHeight="1">
      <c r="B627" s="126"/>
    </row>
    <row r="628" ht="14.25" customHeight="1">
      <c r="B628" s="126"/>
    </row>
    <row r="629" ht="14.25" customHeight="1">
      <c r="B629" s="126"/>
    </row>
    <row r="630" ht="14.25" customHeight="1">
      <c r="B630" s="126"/>
    </row>
    <row r="631" ht="14.25" customHeight="1">
      <c r="B631" s="126"/>
    </row>
    <row r="632" ht="14.25" customHeight="1">
      <c r="B632" s="126"/>
    </row>
    <row r="633" ht="14.25" customHeight="1">
      <c r="B633" s="126"/>
    </row>
    <row r="634" ht="14.25" customHeight="1">
      <c r="B634" s="126"/>
    </row>
    <row r="635" ht="14.25" customHeight="1">
      <c r="B635" s="126"/>
    </row>
    <row r="636" ht="14.25" customHeight="1">
      <c r="B636" s="126"/>
    </row>
    <row r="637" ht="14.25" customHeight="1">
      <c r="B637" s="126"/>
    </row>
    <row r="638" ht="14.25" customHeight="1">
      <c r="B638" s="126"/>
    </row>
    <row r="639" ht="14.25" customHeight="1">
      <c r="B639" s="126"/>
    </row>
    <row r="640" ht="14.25" customHeight="1">
      <c r="B640" s="126"/>
    </row>
    <row r="641" ht="14.25" customHeight="1">
      <c r="B641" s="126"/>
    </row>
    <row r="642" ht="14.25" customHeight="1">
      <c r="B642" s="126"/>
    </row>
    <row r="643" ht="14.25" customHeight="1">
      <c r="B643" s="126"/>
    </row>
    <row r="644" ht="14.25" customHeight="1">
      <c r="B644" s="126"/>
    </row>
    <row r="645" ht="14.25" customHeight="1">
      <c r="B645" s="126"/>
    </row>
    <row r="646" ht="14.25" customHeight="1">
      <c r="B646" s="126"/>
    </row>
    <row r="647" ht="14.25" customHeight="1">
      <c r="B647" s="126"/>
    </row>
    <row r="648" ht="14.25" customHeight="1">
      <c r="B648" s="126"/>
    </row>
    <row r="649" ht="14.25" customHeight="1">
      <c r="B649" s="126"/>
    </row>
    <row r="650" ht="14.25" customHeight="1">
      <c r="B650" s="126"/>
    </row>
    <row r="651" ht="14.25" customHeight="1">
      <c r="B651" s="126"/>
    </row>
    <row r="652" ht="14.25" customHeight="1">
      <c r="B652" s="126"/>
    </row>
    <row r="653" ht="14.25" customHeight="1">
      <c r="B653" s="126"/>
    </row>
    <row r="654" ht="14.25" customHeight="1">
      <c r="B654" s="126"/>
    </row>
    <row r="655" ht="14.25" customHeight="1">
      <c r="B655" s="126"/>
    </row>
    <row r="656" ht="14.25" customHeight="1">
      <c r="B656" s="126"/>
    </row>
    <row r="657" ht="14.25" customHeight="1">
      <c r="B657" s="126"/>
    </row>
    <row r="658" ht="14.25" customHeight="1">
      <c r="B658" s="126"/>
    </row>
    <row r="659" ht="14.25" customHeight="1">
      <c r="B659" s="126"/>
    </row>
    <row r="660" ht="14.25" customHeight="1">
      <c r="B660" s="126"/>
    </row>
    <row r="661" ht="14.25" customHeight="1">
      <c r="B661" s="126"/>
    </row>
    <row r="662" ht="14.25" customHeight="1">
      <c r="B662" s="126"/>
    </row>
    <row r="663" ht="14.25" customHeight="1">
      <c r="B663" s="126"/>
    </row>
    <row r="664" ht="14.25" customHeight="1">
      <c r="B664" s="126"/>
    </row>
    <row r="665" ht="14.25" customHeight="1">
      <c r="B665" s="126"/>
    </row>
    <row r="666" ht="14.25" customHeight="1">
      <c r="B666" s="126"/>
    </row>
    <row r="667" ht="14.25" customHeight="1">
      <c r="B667" s="126"/>
    </row>
    <row r="668" ht="14.25" customHeight="1">
      <c r="B668" s="126"/>
    </row>
    <row r="669" ht="14.25" customHeight="1">
      <c r="B669" s="126"/>
    </row>
    <row r="670" ht="14.25" customHeight="1">
      <c r="B670" s="126"/>
    </row>
    <row r="671" ht="14.25" customHeight="1">
      <c r="B671" s="126"/>
    </row>
    <row r="672" ht="14.25" customHeight="1">
      <c r="B672" s="126"/>
    </row>
    <row r="673" ht="14.25" customHeight="1">
      <c r="B673" s="126"/>
    </row>
    <row r="674" ht="14.25" customHeight="1">
      <c r="B674" s="126"/>
    </row>
    <row r="675" ht="14.25" customHeight="1">
      <c r="B675" s="126"/>
    </row>
    <row r="676" ht="14.25" customHeight="1">
      <c r="B676" s="126"/>
    </row>
    <row r="677" ht="14.25" customHeight="1">
      <c r="B677" s="126"/>
    </row>
    <row r="678" ht="14.25" customHeight="1">
      <c r="B678" s="126"/>
    </row>
    <row r="679" ht="14.25" customHeight="1">
      <c r="B679" s="126"/>
    </row>
    <row r="680" ht="14.25" customHeight="1">
      <c r="B680" s="126"/>
    </row>
    <row r="681" ht="14.25" customHeight="1">
      <c r="B681" s="126"/>
    </row>
    <row r="682" ht="14.25" customHeight="1">
      <c r="B682" s="126"/>
    </row>
    <row r="683" ht="14.25" customHeight="1">
      <c r="B683" s="126"/>
    </row>
    <row r="684" ht="14.25" customHeight="1">
      <c r="B684" s="126"/>
    </row>
    <row r="685" ht="14.25" customHeight="1">
      <c r="B685" s="126"/>
    </row>
    <row r="686" ht="14.25" customHeight="1">
      <c r="B686" s="126"/>
    </row>
    <row r="687" ht="14.25" customHeight="1">
      <c r="B687" s="126"/>
    </row>
    <row r="688" ht="14.25" customHeight="1">
      <c r="B688" s="126"/>
    </row>
    <row r="689" ht="14.25" customHeight="1">
      <c r="B689" s="126"/>
    </row>
    <row r="690" ht="14.25" customHeight="1">
      <c r="B690" s="126"/>
    </row>
    <row r="691" ht="14.25" customHeight="1">
      <c r="B691" s="126"/>
    </row>
    <row r="692" ht="14.25" customHeight="1">
      <c r="B692" s="126"/>
    </row>
    <row r="693" ht="14.25" customHeight="1">
      <c r="B693" s="126"/>
    </row>
    <row r="694" ht="14.25" customHeight="1">
      <c r="B694" s="126"/>
    </row>
    <row r="695" ht="14.25" customHeight="1">
      <c r="B695" s="126"/>
    </row>
    <row r="696" ht="14.25" customHeight="1">
      <c r="B696" s="126"/>
    </row>
    <row r="697" ht="14.25" customHeight="1">
      <c r="B697" s="126"/>
    </row>
    <row r="698" ht="14.25" customHeight="1">
      <c r="B698" s="126"/>
    </row>
    <row r="699" ht="14.25" customHeight="1">
      <c r="B699" s="126"/>
    </row>
    <row r="700" ht="14.25" customHeight="1">
      <c r="B700" s="126"/>
    </row>
    <row r="701" ht="14.25" customHeight="1">
      <c r="B701" s="126"/>
    </row>
    <row r="702" ht="14.25" customHeight="1">
      <c r="B702" s="126"/>
    </row>
    <row r="703" ht="14.25" customHeight="1">
      <c r="B703" s="126"/>
    </row>
    <row r="704" ht="14.25" customHeight="1">
      <c r="B704" s="126"/>
    </row>
    <row r="705" ht="14.25" customHeight="1">
      <c r="B705" s="126"/>
    </row>
    <row r="706" ht="14.25" customHeight="1">
      <c r="B706" s="126"/>
    </row>
    <row r="707" ht="14.25" customHeight="1">
      <c r="B707" s="126"/>
    </row>
    <row r="708" ht="14.25" customHeight="1">
      <c r="B708" s="126"/>
    </row>
    <row r="709" ht="14.25" customHeight="1">
      <c r="B709" s="126"/>
    </row>
    <row r="710" ht="14.25" customHeight="1">
      <c r="B710" s="126"/>
    </row>
    <row r="711" ht="14.25" customHeight="1">
      <c r="B711" s="126"/>
    </row>
    <row r="712" ht="14.25" customHeight="1">
      <c r="B712" s="126"/>
    </row>
    <row r="713" ht="14.25" customHeight="1">
      <c r="B713" s="126"/>
    </row>
    <row r="714" ht="14.25" customHeight="1">
      <c r="B714" s="126"/>
    </row>
    <row r="715" ht="14.25" customHeight="1">
      <c r="B715" s="126"/>
    </row>
    <row r="716" ht="14.25" customHeight="1">
      <c r="B716" s="126"/>
    </row>
    <row r="717" ht="14.25" customHeight="1">
      <c r="B717" s="126"/>
    </row>
    <row r="718" ht="14.25" customHeight="1">
      <c r="B718" s="126"/>
    </row>
    <row r="719" ht="14.25" customHeight="1">
      <c r="B719" s="126"/>
    </row>
    <row r="720" ht="14.25" customHeight="1">
      <c r="B720" s="126"/>
    </row>
    <row r="721" ht="14.25" customHeight="1">
      <c r="B721" s="126"/>
    </row>
    <row r="722" ht="14.25" customHeight="1">
      <c r="B722" s="126"/>
    </row>
    <row r="723" ht="14.25" customHeight="1">
      <c r="B723" s="126"/>
    </row>
    <row r="724" ht="14.25" customHeight="1">
      <c r="B724" s="126"/>
    </row>
    <row r="725" ht="14.25" customHeight="1">
      <c r="B725" s="126"/>
    </row>
    <row r="726" ht="14.25" customHeight="1">
      <c r="B726" s="126"/>
    </row>
    <row r="727" ht="14.25" customHeight="1">
      <c r="B727" s="126"/>
    </row>
    <row r="728" ht="14.25" customHeight="1">
      <c r="B728" s="126"/>
    </row>
    <row r="729" ht="14.25" customHeight="1">
      <c r="B729" s="126"/>
    </row>
    <row r="730" ht="14.25" customHeight="1">
      <c r="B730" s="126"/>
    </row>
    <row r="731" ht="14.25" customHeight="1">
      <c r="B731" s="126"/>
    </row>
    <row r="732" ht="14.25" customHeight="1">
      <c r="B732" s="126"/>
    </row>
    <row r="733" ht="14.25" customHeight="1">
      <c r="B733" s="126"/>
    </row>
    <row r="734" ht="14.25" customHeight="1">
      <c r="B734" s="126"/>
    </row>
    <row r="735" ht="14.25" customHeight="1">
      <c r="B735" s="126"/>
    </row>
    <row r="736" ht="14.25" customHeight="1">
      <c r="B736" s="126"/>
    </row>
    <row r="737" ht="14.25" customHeight="1">
      <c r="B737" s="126"/>
    </row>
    <row r="738" ht="14.25" customHeight="1">
      <c r="B738" s="126"/>
    </row>
    <row r="739" ht="14.25" customHeight="1">
      <c r="B739" s="126"/>
    </row>
    <row r="740" ht="14.25" customHeight="1">
      <c r="B740" s="126"/>
    </row>
    <row r="741" ht="14.25" customHeight="1">
      <c r="B741" s="126"/>
    </row>
    <row r="742" ht="14.25" customHeight="1">
      <c r="B742" s="126"/>
    </row>
    <row r="743" ht="14.25" customHeight="1">
      <c r="B743" s="126"/>
    </row>
    <row r="744" ht="14.25" customHeight="1">
      <c r="B744" s="126"/>
    </row>
    <row r="745" ht="14.25" customHeight="1">
      <c r="B745" s="126"/>
    </row>
    <row r="746" ht="14.25" customHeight="1">
      <c r="B746" s="126"/>
    </row>
    <row r="747" ht="14.25" customHeight="1">
      <c r="B747" s="126"/>
    </row>
    <row r="748" ht="14.25" customHeight="1">
      <c r="B748" s="126"/>
    </row>
    <row r="749" ht="14.25" customHeight="1">
      <c r="B749" s="126"/>
    </row>
    <row r="750" ht="14.25" customHeight="1">
      <c r="B750" s="126"/>
    </row>
    <row r="751" ht="14.25" customHeight="1">
      <c r="B751" s="126"/>
    </row>
    <row r="752" ht="14.25" customHeight="1">
      <c r="B752" s="126"/>
    </row>
    <row r="753" ht="14.25" customHeight="1">
      <c r="B753" s="126"/>
    </row>
    <row r="754" ht="14.25" customHeight="1">
      <c r="B754" s="126"/>
    </row>
    <row r="755" ht="14.25" customHeight="1">
      <c r="B755" s="126"/>
    </row>
    <row r="756" ht="14.25" customHeight="1">
      <c r="B756" s="126"/>
    </row>
    <row r="757" ht="14.25" customHeight="1">
      <c r="B757" s="126"/>
    </row>
    <row r="758" ht="14.25" customHeight="1">
      <c r="B758" s="126"/>
    </row>
    <row r="759" ht="14.25" customHeight="1">
      <c r="B759" s="126"/>
    </row>
    <row r="760" ht="14.25" customHeight="1">
      <c r="B760" s="126"/>
    </row>
    <row r="761" ht="14.25" customHeight="1">
      <c r="B761" s="126"/>
    </row>
    <row r="762" ht="14.25" customHeight="1">
      <c r="B762" s="126"/>
    </row>
    <row r="763" ht="14.25" customHeight="1">
      <c r="B763" s="126"/>
    </row>
    <row r="764" ht="14.25" customHeight="1">
      <c r="B764" s="126"/>
    </row>
    <row r="765" ht="14.25" customHeight="1">
      <c r="B765" s="126"/>
    </row>
    <row r="766" ht="14.25" customHeight="1">
      <c r="B766" s="126"/>
    </row>
    <row r="767" ht="14.25" customHeight="1">
      <c r="B767" s="126"/>
    </row>
    <row r="768" ht="14.25" customHeight="1">
      <c r="B768" s="126"/>
    </row>
    <row r="769" ht="14.25" customHeight="1">
      <c r="B769" s="126"/>
    </row>
    <row r="770" ht="14.25" customHeight="1">
      <c r="B770" s="126"/>
    </row>
    <row r="771" ht="14.25" customHeight="1">
      <c r="B771" s="126"/>
    </row>
    <row r="772" ht="14.25" customHeight="1">
      <c r="B772" s="126"/>
    </row>
    <row r="773" ht="14.25" customHeight="1">
      <c r="B773" s="126"/>
    </row>
    <row r="774" ht="14.25" customHeight="1">
      <c r="B774" s="126"/>
    </row>
    <row r="775" ht="14.25" customHeight="1">
      <c r="B775" s="126"/>
    </row>
    <row r="776" ht="14.25" customHeight="1">
      <c r="B776" s="126"/>
    </row>
    <row r="777" ht="14.25" customHeight="1">
      <c r="B777" s="126"/>
    </row>
    <row r="778" ht="14.25" customHeight="1">
      <c r="B778" s="126"/>
    </row>
    <row r="779" ht="14.25" customHeight="1">
      <c r="B779" s="126"/>
    </row>
    <row r="780" ht="14.25" customHeight="1">
      <c r="B780" s="126"/>
    </row>
    <row r="781" ht="14.25" customHeight="1">
      <c r="B781" s="126"/>
    </row>
    <row r="782" ht="14.25" customHeight="1">
      <c r="B782" s="126"/>
    </row>
    <row r="783" ht="14.25" customHeight="1">
      <c r="B783" s="126"/>
    </row>
    <row r="784" ht="14.25" customHeight="1">
      <c r="B784" s="126"/>
    </row>
    <row r="785" ht="14.25" customHeight="1">
      <c r="B785" s="126"/>
    </row>
    <row r="786" ht="14.25" customHeight="1">
      <c r="B786" s="126"/>
    </row>
    <row r="787" ht="14.25" customHeight="1">
      <c r="B787" s="126"/>
    </row>
    <row r="788" ht="14.25" customHeight="1">
      <c r="B788" s="126"/>
    </row>
    <row r="789" ht="14.25" customHeight="1">
      <c r="B789" s="126"/>
    </row>
    <row r="790" ht="14.25" customHeight="1">
      <c r="B790" s="126"/>
    </row>
    <row r="791" ht="14.25" customHeight="1">
      <c r="B791" s="126"/>
    </row>
    <row r="792" ht="14.25" customHeight="1">
      <c r="B792" s="126"/>
    </row>
    <row r="793" ht="14.25" customHeight="1">
      <c r="B793" s="126"/>
    </row>
    <row r="794" ht="14.25" customHeight="1">
      <c r="B794" s="126"/>
    </row>
    <row r="795" ht="14.25" customHeight="1">
      <c r="B795" s="126"/>
    </row>
    <row r="796" ht="14.25" customHeight="1">
      <c r="B796" s="126"/>
    </row>
    <row r="797" ht="14.25" customHeight="1">
      <c r="B797" s="126"/>
    </row>
    <row r="798" ht="14.25" customHeight="1">
      <c r="B798" s="126"/>
    </row>
    <row r="799" ht="14.25" customHeight="1">
      <c r="B799" s="126"/>
    </row>
    <row r="800" ht="14.25" customHeight="1">
      <c r="B800" s="126"/>
    </row>
    <row r="801" ht="14.25" customHeight="1">
      <c r="B801" s="126"/>
    </row>
    <row r="802" ht="14.25" customHeight="1">
      <c r="B802" s="126"/>
    </row>
    <row r="803" ht="14.25" customHeight="1">
      <c r="B803" s="126"/>
    </row>
    <row r="804" ht="14.25" customHeight="1">
      <c r="B804" s="126"/>
    </row>
    <row r="805" ht="14.25" customHeight="1">
      <c r="B805" s="126"/>
    </row>
    <row r="806" ht="14.25" customHeight="1">
      <c r="B806" s="126"/>
    </row>
    <row r="807" ht="14.25" customHeight="1">
      <c r="B807" s="126"/>
    </row>
    <row r="808" ht="14.25" customHeight="1">
      <c r="B808" s="126"/>
    </row>
    <row r="809" ht="14.25" customHeight="1">
      <c r="B809" s="126"/>
    </row>
    <row r="810" ht="14.25" customHeight="1">
      <c r="B810" s="126"/>
    </row>
    <row r="811" ht="14.25" customHeight="1">
      <c r="B811" s="126"/>
    </row>
    <row r="812" ht="14.25" customHeight="1">
      <c r="B812" s="126"/>
    </row>
    <row r="813" ht="14.25" customHeight="1">
      <c r="B813" s="126"/>
    </row>
    <row r="814" ht="14.25" customHeight="1">
      <c r="B814" s="126"/>
    </row>
    <row r="815" ht="14.25" customHeight="1">
      <c r="B815" s="126"/>
    </row>
    <row r="816" ht="14.25" customHeight="1">
      <c r="B816" s="126"/>
    </row>
    <row r="817" ht="14.25" customHeight="1">
      <c r="B817" s="126"/>
    </row>
    <row r="818" ht="14.25" customHeight="1">
      <c r="B818" s="126"/>
    </row>
    <row r="819" ht="14.25" customHeight="1">
      <c r="B819" s="126"/>
    </row>
    <row r="820" ht="14.25" customHeight="1">
      <c r="B820" s="126"/>
    </row>
    <row r="821" ht="14.25" customHeight="1">
      <c r="B821" s="126"/>
    </row>
    <row r="822" ht="14.25" customHeight="1">
      <c r="B822" s="126"/>
    </row>
    <row r="823" ht="14.25" customHeight="1">
      <c r="B823" s="126"/>
    </row>
    <row r="824" ht="14.25" customHeight="1">
      <c r="B824" s="126"/>
    </row>
    <row r="825" ht="14.25" customHeight="1">
      <c r="B825" s="126"/>
    </row>
    <row r="826" ht="14.25" customHeight="1">
      <c r="B826" s="126"/>
    </row>
    <row r="827" ht="14.25" customHeight="1">
      <c r="B827" s="126"/>
    </row>
    <row r="828" ht="14.25" customHeight="1">
      <c r="B828" s="126"/>
    </row>
    <row r="829" ht="14.25" customHeight="1">
      <c r="B829" s="126"/>
    </row>
    <row r="830" ht="14.25" customHeight="1">
      <c r="B830" s="126"/>
    </row>
    <row r="831" ht="14.25" customHeight="1">
      <c r="B831" s="126"/>
    </row>
    <row r="832" ht="14.25" customHeight="1">
      <c r="B832" s="126"/>
    </row>
    <row r="833" ht="14.25" customHeight="1">
      <c r="B833" s="126"/>
    </row>
    <row r="834" ht="14.25" customHeight="1">
      <c r="B834" s="126"/>
    </row>
    <row r="835" ht="14.25" customHeight="1">
      <c r="B835" s="126"/>
    </row>
    <row r="836" ht="14.25" customHeight="1">
      <c r="B836" s="126"/>
    </row>
    <row r="837" ht="14.25" customHeight="1">
      <c r="B837" s="126"/>
    </row>
    <row r="838" ht="14.25" customHeight="1">
      <c r="B838" s="126"/>
    </row>
    <row r="839" ht="14.25" customHeight="1">
      <c r="B839" s="126"/>
    </row>
    <row r="840" ht="14.25" customHeight="1">
      <c r="B840" s="126"/>
    </row>
    <row r="841" ht="14.25" customHeight="1">
      <c r="B841" s="126"/>
    </row>
    <row r="842" ht="14.25" customHeight="1">
      <c r="B842" s="126"/>
    </row>
    <row r="843" ht="14.25" customHeight="1">
      <c r="B843" s="126"/>
    </row>
    <row r="844" ht="14.25" customHeight="1">
      <c r="B844" s="126"/>
    </row>
    <row r="845" ht="14.25" customHeight="1">
      <c r="B845" s="126"/>
    </row>
    <row r="846" ht="14.25" customHeight="1">
      <c r="B846" s="126"/>
    </row>
    <row r="847" ht="14.25" customHeight="1">
      <c r="B847" s="126"/>
    </row>
    <row r="848" ht="14.25" customHeight="1">
      <c r="B848" s="126"/>
    </row>
    <row r="849" ht="14.25" customHeight="1">
      <c r="B849" s="126"/>
    </row>
    <row r="850" ht="14.25" customHeight="1">
      <c r="B850" s="126"/>
    </row>
    <row r="851" ht="14.25" customHeight="1">
      <c r="B851" s="126"/>
    </row>
    <row r="852" ht="14.25" customHeight="1">
      <c r="B852" s="126"/>
    </row>
    <row r="853" ht="14.25" customHeight="1">
      <c r="B853" s="126"/>
    </row>
    <row r="854" ht="14.25" customHeight="1">
      <c r="B854" s="126"/>
    </row>
    <row r="855" ht="14.25" customHeight="1">
      <c r="B855" s="126"/>
    </row>
    <row r="856" ht="14.25" customHeight="1">
      <c r="B856" s="126"/>
    </row>
    <row r="857" ht="14.25" customHeight="1">
      <c r="B857" s="126"/>
    </row>
    <row r="858" ht="14.25" customHeight="1">
      <c r="B858" s="126"/>
    </row>
    <row r="859" ht="14.25" customHeight="1">
      <c r="B859" s="126"/>
    </row>
    <row r="860" ht="14.25" customHeight="1">
      <c r="B860" s="126"/>
    </row>
    <row r="861" ht="14.25" customHeight="1">
      <c r="B861" s="126"/>
    </row>
    <row r="862" ht="14.25" customHeight="1">
      <c r="B862" s="126"/>
    </row>
    <row r="863" ht="14.25" customHeight="1">
      <c r="B863" s="126"/>
    </row>
    <row r="864" ht="14.25" customHeight="1">
      <c r="B864" s="126"/>
    </row>
    <row r="865" ht="14.25" customHeight="1">
      <c r="B865" s="126"/>
    </row>
    <row r="866" ht="14.25" customHeight="1">
      <c r="B866" s="126"/>
    </row>
    <row r="867" ht="14.25" customHeight="1">
      <c r="B867" s="126"/>
    </row>
    <row r="868" ht="14.25" customHeight="1">
      <c r="B868" s="126"/>
    </row>
    <row r="869" ht="14.25" customHeight="1">
      <c r="B869" s="126"/>
    </row>
    <row r="870" ht="14.25" customHeight="1">
      <c r="B870" s="126"/>
    </row>
    <row r="871" ht="14.25" customHeight="1">
      <c r="B871" s="126"/>
    </row>
    <row r="872" ht="14.25" customHeight="1">
      <c r="B872" s="126"/>
    </row>
    <row r="873" ht="14.25" customHeight="1">
      <c r="B873" s="126"/>
    </row>
    <row r="874" ht="14.25" customHeight="1">
      <c r="B874" s="126"/>
    </row>
    <row r="875" ht="14.25" customHeight="1">
      <c r="B875" s="126"/>
    </row>
    <row r="876" ht="14.25" customHeight="1">
      <c r="B876" s="126"/>
    </row>
    <row r="877" ht="14.25" customHeight="1">
      <c r="B877" s="126"/>
    </row>
    <row r="878" ht="14.25" customHeight="1">
      <c r="B878" s="126"/>
    </row>
    <row r="879" ht="14.25" customHeight="1">
      <c r="B879" s="126"/>
    </row>
    <row r="880" ht="14.25" customHeight="1">
      <c r="B880" s="126"/>
    </row>
    <row r="881" ht="14.25" customHeight="1">
      <c r="B881" s="126"/>
    </row>
    <row r="882" ht="14.25" customHeight="1">
      <c r="B882" s="126"/>
    </row>
    <row r="883" ht="14.25" customHeight="1">
      <c r="B883" s="126"/>
    </row>
    <row r="884" ht="14.25" customHeight="1">
      <c r="B884" s="126"/>
    </row>
    <row r="885" ht="14.25" customHeight="1">
      <c r="B885" s="126"/>
    </row>
    <row r="886" ht="14.25" customHeight="1">
      <c r="B886" s="126"/>
    </row>
    <row r="887" ht="14.25" customHeight="1">
      <c r="B887" s="126"/>
    </row>
    <row r="888" ht="14.25" customHeight="1">
      <c r="B888" s="126"/>
    </row>
    <row r="889" ht="14.25" customHeight="1">
      <c r="B889" s="126"/>
    </row>
    <row r="890" ht="14.25" customHeight="1">
      <c r="B890" s="126"/>
    </row>
    <row r="891" ht="14.25" customHeight="1">
      <c r="B891" s="126"/>
    </row>
    <row r="892" ht="14.25" customHeight="1">
      <c r="B892" s="126"/>
    </row>
    <row r="893" ht="14.25" customHeight="1">
      <c r="B893" s="126"/>
    </row>
    <row r="894" ht="14.25" customHeight="1">
      <c r="B894" s="126"/>
    </row>
    <row r="895" ht="14.25" customHeight="1">
      <c r="B895" s="126"/>
    </row>
    <row r="896" ht="14.25" customHeight="1">
      <c r="B896" s="126"/>
    </row>
    <row r="897" ht="14.25" customHeight="1">
      <c r="B897" s="126"/>
    </row>
    <row r="898" ht="14.25" customHeight="1">
      <c r="B898" s="126"/>
    </row>
    <row r="899" ht="14.25" customHeight="1">
      <c r="B899" s="126"/>
    </row>
    <row r="900" ht="14.25" customHeight="1">
      <c r="B900" s="126"/>
    </row>
    <row r="901" ht="14.25" customHeight="1">
      <c r="B901" s="126"/>
    </row>
    <row r="902" ht="14.25" customHeight="1">
      <c r="B902" s="126"/>
    </row>
    <row r="903" ht="14.25" customHeight="1">
      <c r="B903" s="126"/>
    </row>
    <row r="904" ht="14.25" customHeight="1">
      <c r="B904" s="126"/>
    </row>
    <row r="905" ht="14.25" customHeight="1">
      <c r="B905" s="126"/>
    </row>
    <row r="906" ht="14.25" customHeight="1">
      <c r="B906" s="126"/>
    </row>
    <row r="907" ht="14.25" customHeight="1">
      <c r="B907" s="126"/>
    </row>
    <row r="908" ht="14.25" customHeight="1">
      <c r="B908" s="126"/>
    </row>
    <row r="909" ht="14.25" customHeight="1">
      <c r="B909" s="126"/>
    </row>
    <row r="910" ht="14.25" customHeight="1">
      <c r="B910" s="126"/>
    </row>
    <row r="911" ht="14.25" customHeight="1">
      <c r="B911" s="126"/>
    </row>
    <row r="912" ht="14.25" customHeight="1">
      <c r="B912" s="126"/>
    </row>
    <row r="913" ht="14.25" customHeight="1">
      <c r="B913" s="126"/>
    </row>
    <row r="914" ht="14.25" customHeight="1">
      <c r="B914" s="126"/>
    </row>
    <row r="915" ht="14.25" customHeight="1">
      <c r="B915" s="126"/>
    </row>
    <row r="916" ht="14.25" customHeight="1">
      <c r="B916" s="126"/>
    </row>
    <row r="917" ht="14.25" customHeight="1">
      <c r="B917" s="126"/>
    </row>
    <row r="918" ht="14.25" customHeight="1">
      <c r="B918" s="126"/>
    </row>
    <row r="919" ht="14.25" customHeight="1">
      <c r="B919" s="126"/>
    </row>
    <row r="920" ht="14.25" customHeight="1">
      <c r="B920" s="126"/>
    </row>
    <row r="921" ht="14.25" customHeight="1">
      <c r="B921" s="126"/>
    </row>
    <row r="922" ht="14.25" customHeight="1">
      <c r="B922" s="126"/>
    </row>
    <row r="923" ht="14.25" customHeight="1">
      <c r="B923" s="126"/>
    </row>
    <row r="924" ht="14.25" customHeight="1">
      <c r="B924" s="126"/>
    </row>
    <row r="925" ht="14.25" customHeight="1">
      <c r="B925" s="126"/>
    </row>
    <row r="926" ht="14.25" customHeight="1">
      <c r="B926" s="126"/>
    </row>
    <row r="927" ht="14.25" customHeight="1">
      <c r="B927" s="126"/>
    </row>
    <row r="928" ht="14.25" customHeight="1">
      <c r="B928" s="126"/>
    </row>
    <row r="929" ht="14.25" customHeight="1">
      <c r="B929" s="126"/>
    </row>
    <row r="930" ht="14.25" customHeight="1">
      <c r="B930" s="126"/>
    </row>
    <row r="931" ht="14.25" customHeight="1">
      <c r="B931" s="126"/>
    </row>
    <row r="932" ht="14.25" customHeight="1">
      <c r="B932" s="126"/>
    </row>
    <row r="933" ht="14.25" customHeight="1">
      <c r="B933" s="126"/>
    </row>
    <row r="934" ht="14.25" customHeight="1">
      <c r="B934" s="126"/>
    </row>
    <row r="935" ht="14.25" customHeight="1">
      <c r="B935" s="126"/>
    </row>
    <row r="936" ht="14.25" customHeight="1">
      <c r="B936" s="126"/>
    </row>
    <row r="937" ht="14.25" customHeight="1">
      <c r="B937" s="126"/>
    </row>
    <row r="938" ht="14.25" customHeight="1">
      <c r="B938" s="126"/>
    </row>
    <row r="939" ht="14.25" customHeight="1">
      <c r="B939" s="126"/>
    </row>
    <row r="940" ht="14.25" customHeight="1">
      <c r="B940" s="126"/>
    </row>
    <row r="941" ht="14.25" customHeight="1">
      <c r="B941" s="126"/>
    </row>
    <row r="942" ht="14.25" customHeight="1">
      <c r="B942" s="126"/>
    </row>
    <row r="943" ht="14.25" customHeight="1">
      <c r="B943" s="126"/>
    </row>
    <row r="944" ht="14.25" customHeight="1">
      <c r="B944" s="126"/>
    </row>
    <row r="945" ht="14.25" customHeight="1">
      <c r="B945" s="126"/>
    </row>
    <row r="946" ht="14.25" customHeight="1">
      <c r="B946" s="126"/>
    </row>
    <row r="947" ht="14.25" customHeight="1">
      <c r="B947" s="126"/>
    </row>
    <row r="948" ht="14.25" customHeight="1">
      <c r="B948" s="126"/>
    </row>
    <row r="949" ht="14.25" customHeight="1">
      <c r="B949" s="126"/>
    </row>
    <row r="950" ht="14.25" customHeight="1">
      <c r="B950" s="126"/>
    </row>
    <row r="951" ht="14.25" customHeight="1">
      <c r="B951" s="126"/>
    </row>
    <row r="952" ht="14.25" customHeight="1">
      <c r="B952" s="126"/>
    </row>
    <row r="953" ht="14.25" customHeight="1">
      <c r="B953" s="126"/>
    </row>
    <row r="954" ht="14.25" customHeight="1">
      <c r="B954" s="126"/>
    </row>
    <row r="955" ht="14.25" customHeight="1">
      <c r="B955" s="126"/>
    </row>
    <row r="956" ht="14.25" customHeight="1">
      <c r="B956" s="126"/>
    </row>
    <row r="957" ht="14.25" customHeight="1">
      <c r="B957" s="126"/>
    </row>
    <row r="958" ht="14.25" customHeight="1">
      <c r="B958" s="126"/>
    </row>
    <row r="959" ht="14.25" customHeight="1">
      <c r="B959" s="126"/>
    </row>
    <row r="960" ht="14.25" customHeight="1">
      <c r="B960" s="126"/>
    </row>
    <row r="961" ht="14.25" customHeight="1">
      <c r="B961" s="126"/>
    </row>
    <row r="962" ht="14.25" customHeight="1">
      <c r="B962" s="126"/>
    </row>
    <row r="963" ht="14.25" customHeight="1">
      <c r="B963" s="126"/>
    </row>
    <row r="964" ht="14.25" customHeight="1">
      <c r="B964" s="126"/>
    </row>
    <row r="965" ht="14.25" customHeight="1">
      <c r="B965" s="126"/>
    </row>
    <row r="966" ht="14.25" customHeight="1">
      <c r="B966" s="126"/>
    </row>
    <row r="967" ht="14.25" customHeight="1">
      <c r="B967" s="126"/>
    </row>
    <row r="968" ht="14.25" customHeight="1">
      <c r="B968" s="126"/>
    </row>
    <row r="969" ht="14.25" customHeight="1">
      <c r="B969" s="126"/>
    </row>
    <row r="970" ht="14.25" customHeight="1">
      <c r="B970" s="126"/>
    </row>
    <row r="971" ht="14.25" customHeight="1">
      <c r="B971" s="126"/>
    </row>
    <row r="972" ht="14.25" customHeight="1">
      <c r="B972" s="126"/>
    </row>
    <row r="973" ht="14.25" customHeight="1">
      <c r="B973" s="126"/>
    </row>
    <row r="974" ht="14.25" customHeight="1">
      <c r="B974" s="126"/>
    </row>
    <row r="975" ht="14.25" customHeight="1">
      <c r="B975" s="126"/>
    </row>
    <row r="976" ht="14.25" customHeight="1">
      <c r="B976" s="126"/>
    </row>
    <row r="977" ht="14.25" customHeight="1">
      <c r="B977" s="126"/>
    </row>
    <row r="978" ht="14.25" customHeight="1">
      <c r="B978" s="126"/>
    </row>
    <row r="979" ht="14.25" customHeight="1">
      <c r="B979" s="126"/>
    </row>
    <row r="980" ht="14.25" customHeight="1">
      <c r="B980" s="126"/>
    </row>
    <row r="981" ht="14.25" customHeight="1">
      <c r="B981" s="126"/>
    </row>
    <row r="982" ht="14.25" customHeight="1">
      <c r="B982" s="126"/>
    </row>
    <row r="983" ht="14.25" customHeight="1">
      <c r="B983" s="126"/>
    </row>
    <row r="984" ht="14.25" customHeight="1">
      <c r="B984" s="126"/>
    </row>
    <row r="985" ht="14.25" customHeight="1">
      <c r="B985" s="126"/>
    </row>
    <row r="986" ht="14.25" customHeight="1">
      <c r="B986" s="126"/>
    </row>
    <row r="987" ht="14.25" customHeight="1">
      <c r="B987" s="126"/>
    </row>
    <row r="988" ht="14.25" customHeight="1">
      <c r="B988" s="126"/>
    </row>
    <row r="989" ht="14.25" customHeight="1">
      <c r="B989" s="126"/>
    </row>
    <row r="990" ht="14.25" customHeight="1">
      <c r="B990" s="126"/>
    </row>
    <row r="991" ht="14.25" customHeight="1">
      <c r="B991" s="126"/>
    </row>
    <row r="992" ht="14.25" customHeight="1">
      <c r="B992" s="126"/>
    </row>
    <row r="993" ht="14.25" customHeight="1">
      <c r="B993" s="126"/>
    </row>
    <row r="994" ht="14.25" customHeight="1">
      <c r="B994" s="126"/>
    </row>
    <row r="995" ht="14.25" customHeight="1">
      <c r="B995" s="126"/>
    </row>
    <row r="996" ht="14.25" customHeight="1">
      <c r="B996" s="126"/>
    </row>
    <row r="997" ht="14.25" customHeight="1">
      <c r="B997" s="126"/>
    </row>
    <row r="998" ht="14.25" customHeight="1">
      <c r="B998" s="126"/>
    </row>
    <row r="999" ht="14.25" customHeight="1">
      <c r="B999" s="126"/>
    </row>
    <row r="1000" ht="14.25" customHeight="1">
      <c r="B1000" s="126"/>
    </row>
  </sheetData>
  <mergeCells count="3">
    <mergeCell ref="A3:E3"/>
    <mergeCell ref="A9:E9"/>
    <mergeCell ref="A15:E15"/>
  </mergeCells>
  <printOptions/>
  <pageMargins bottom="0.75" footer="0.0" header="0.0" left="0.7" right="0.7" top="0.75"/>
  <pageSetup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9.0"/>
    <col customWidth="1" min="2" max="26" width="8.71"/>
  </cols>
  <sheetData>
    <row r="1" ht="14.25" customHeight="1">
      <c r="A1" s="122" t="s">
        <v>327</v>
      </c>
      <c r="B1" s="122" t="s">
        <v>328</v>
      </c>
    </row>
    <row r="2" ht="14.25" customHeight="1">
      <c r="A2" s="122" t="s">
        <v>329</v>
      </c>
      <c r="B2" s="122" t="s">
        <v>330</v>
      </c>
    </row>
    <row r="3" ht="14.25" customHeight="1">
      <c r="A3" s="122" t="s">
        <v>331</v>
      </c>
      <c r="B3" s="122" t="s">
        <v>332</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57"/>
    <col customWidth="1" min="2" max="2" width="90.43"/>
    <col customWidth="1" min="3" max="3" width="12.57"/>
    <col customWidth="1" min="4" max="14" width="10.0"/>
    <col customWidth="1" min="15" max="15" width="16.57"/>
    <col customWidth="1" min="16" max="26" width="8.71"/>
  </cols>
  <sheetData>
    <row r="1" ht="14.25" customHeight="1">
      <c r="A1" s="16"/>
      <c r="B1" s="17" t="s">
        <v>11</v>
      </c>
      <c r="C1" s="18" t="s">
        <v>333</v>
      </c>
      <c r="D1" s="19"/>
      <c r="E1" s="19"/>
      <c r="F1" s="19"/>
      <c r="G1" s="19"/>
      <c r="H1" s="19"/>
      <c r="I1" s="19"/>
      <c r="J1" s="19"/>
      <c r="K1" s="19"/>
      <c r="L1" s="19"/>
      <c r="M1" s="19"/>
      <c r="N1" s="19"/>
      <c r="O1" s="19"/>
    </row>
    <row r="2" ht="14.25" customHeight="1">
      <c r="A2" s="20"/>
      <c r="B2" s="21" t="s">
        <v>13</v>
      </c>
      <c r="C2" s="22" t="s">
        <v>14</v>
      </c>
      <c r="D2" s="22" t="s">
        <v>15</v>
      </c>
      <c r="E2" s="22" t="s">
        <v>16</v>
      </c>
      <c r="F2" s="23" t="s">
        <v>17</v>
      </c>
      <c r="G2" s="24" t="s">
        <v>18</v>
      </c>
      <c r="H2" s="24" t="s">
        <v>19</v>
      </c>
      <c r="I2" s="25" t="s">
        <v>20</v>
      </c>
      <c r="J2" s="26" t="s">
        <v>21</v>
      </c>
      <c r="K2" s="26" t="s">
        <v>22</v>
      </c>
      <c r="L2" s="27" t="s">
        <v>23</v>
      </c>
      <c r="M2" s="28" t="s">
        <v>24</v>
      </c>
      <c r="N2" s="29" t="s">
        <v>25</v>
      </c>
      <c r="O2" s="30" t="s">
        <v>26</v>
      </c>
    </row>
    <row r="3" ht="14.25" customHeight="1">
      <c r="B3" s="31" t="s">
        <v>28</v>
      </c>
      <c r="C3" s="32"/>
      <c r="D3" s="32"/>
      <c r="E3" s="32"/>
      <c r="F3" s="33"/>
      <c r="G3" s="32"/>
      <c r="H3" s="32"/>
      <c r="I3" s="33"/>
      <c r="J3" s="32"/>
      <c r="K3" s="32"/>
      <c r="L3" s="33"/>
      <c r="M3" s="32"/>
      <c r="N3" s="34"/>
      <c r="O3" s="35"/>
    </row>
    <row r="4" ht="14.25" customHeight="1">
      <c r="B4" s="36" t="s">
        <v>28</v>
      </c>
      <c r="C4" s="37">
        <v>0.0</v>
      </c>
      <c r="D4" s="37">
        <v>0.0</v>
      </c>
      <c r="E4" s="37">
        <v>0.0</v>
      </c>
      <c r="F4" s="38">
        <v>0.0</v>
      </c>
      <c r="G4" s="39">
        <v>0.0</v>
      </c>
      <c r="H4" s="39">
        <v>0.0</v>
      </c>
      <c r="I4" s="40">
        <v>0.0</v>
      </c>
      <c r="J4" s="41">
        <v>0.0</v>
      </c>
      <c r="K4" s="41">
        <v>0.0</v>
      </c>
      <c r="L4" s="42">
        <v>0.0</v>
      </c>
      <c r="M4" s="43">
        <v>0.0</v>
      </c>
      <c r="N4" s="44">
        <v>0.0</v>
      </c>
      <c r="O4" s="45">
        <f t="shared" ref="O4:O6" si="1">SUM(C4:N4)</f>
        <v>0</v>
      </c>
    </row>
    <row r="5" ht="14.25" customHeight="1">
      <c r="B5" s="36" t="s">
        <v>29</v>
      </c>
      <c r="C5" s="37"/>
      <c r="D5" s="37"/>
      <c r="E5" s="37"/>
      <c r="F5" s="46"/>
      <c r="G5" s="46"/>
      <c r="H5" s="46"/>
      <c r="I5" s="41"/>
      <c r="J5" s="41"/>
      <c r="K5" s="41"/>
      <c r="L5" s="43"/>
      <c r="M5" s="43"/>
      <c r="N5" s="43"/>
      <c r="O5" s="45">
        <f t="shared" si="1"/>
        <v>0</v>
      </c>
    </row>
    <row r="6" ht="14.25" customHeight="1">
      <c r="B6" s="47" t="s">
        <v>30</v>
      </c>
      <c r="C6" s="48">
        <f t="shared" ref="C6:N6" si="2">SUM(C4:C5)</f>
        <v>0</v>
      </c>
      <c r="D6" s="48">
        <f t="shared" si="2"/>
        <v>0</v>
      </c>
      <c r="E6" s="48">
        <f t="shared" si="2"/>
        <v>0</v>
      </c>
      <c r="F6" s="49">
        <f t="shared" si="2"/>
        <v>0</v>
      </c>
      <c r="G6" s="50">
        <f t="shared" si="2"/>
        <v>0</v>
      </c>
      <c r="H6" s="50">
        <f t="shared" si="2"/>
        <v>0</v>
      </c>
      <c r="I6" s="51">
        <f t="shared" si="2"/>
        <v>0</v>
      </c>
      <c r="J6" s="52">
        <f t="shared" si="2"/>
        <v>0</v>
      </c>
      <c r="K6" s="52">
        <f t="shared" si="2"/>
        <v>0</v>
      </c>
      <c r="L6" s="53">
        <f t="shared" si="2"/>
        <v>0</v>
      </c>
      <c r="M6" s="54">
        <f t="shared" si="2"/>
        <v>0</v>
      </c>
      <c r="N6" s="55">
        <f t="shared" si="2"/>
        <v>0</v>
      </c>
      <c r="O6" s="56">
        <f t="shared" si="1"/>
        <v>0</v>
      </c>
    </row>
    <row r="7" ht="14.25" customHeight="1"/>
    <row r="8" ht="14.25" customHeight="1">
      <c r="A8" s="20"/>
      <c r="B8" s="21" t="s">
        <v>31</v>
      </c>
      <c r="C8" s="22" t="s">
        <v>14</v>
      </c>
      <c r="D8" s="22" t="s">
        <v>15</v>
      </c>
      <c r="E8" s="22" t="s">
        <v>16</v>
      </c>
      <c r="F8" s="23" t="s">
        <v>17</v>
      </c>
      <c r="G8" s="24" t="s">
        <v>18</v>
      </c>
      <c r="H8" s="24" t="s">
        <v>19</v>
      </c>
      <c r="I8" s="25" t="s">
        <v>20</v>
      </c>
      <c r="J8" s="26" t="s">
        <v>21</v>
      </c>
      <c r="K8" s="26" t="s">
        <v>22</v>
      </c>
      <c r="L8" s="27" t="s">
        <v>23</v>
      </c>
      <c r="M8" s="28" t="s">
        <v>24</v>
      </c>
      <c r="N8" s="29" t="s">
        <v>25</v>
      </c>
      <c r="O8" s="30" t="s">
        <v>32</v>
      </c>
    </row>
    <row r="9" ht="14.25" customHeight="1">
      <c r="B9" s="128" t="s">
        <v>62</v>
      </c>
      <c r="C9" s="32"/>
      <c r="D9" s="32"/>
      <c r="E9" s="32"/>
      <c r="F9" s="33"/>
      <c r="G9" s="32"/>
      <c r="H9" s="32"/>
      <c r="I9" s="33"/>
      <c r="J9" s="32"/>
      <c r="K9" s="32"/>
      <c r="L9" s="33"/>
      <c r="M9" s="32"/>
      <c r="N9" s="34"/>
      <c r="O9" s="35"/>
    </row>
    <row r="10" ht="14.25" customHeight="1">
      <c r="B10" s="36" t="s">
        <v>33</v>
      </c>
      <c r="C10" s="37">
        <v>0.0</v>
      </c>
      <c r="D10" s="37">
        <v>0.0</v>
      </c>
      <c r="E10" s="37">
        <v>0.0</v>
      </c>
      <c r="F10" s="38">
        <v>0.0</v>
      </c>
      <c r="G10" s="39">
        <v>0.0</v>
      </c>
      <c r="H10" s="39">
        <v>0.0</v>
      </c>
      <c r="I10" s="40">
        <v>0.0</v>
      </c>
      <c r="J10" s="41">
        <v>0.0</v>
      </c>
      <c r="K10" s="41">
        <v>0.0</v>
      </c>
      <c r="L10" s="42">
        <v>0.0</v>
      </c>
      <c r="M10" s="43">
        <v>0.0</v>
      </c>
      <c r="N10" s="44">
        <v>0.0</v>
      </c>
      <c r="O10" s="45">
        <f t="shared" ref="O10:O41" si="3">SUM(C10:N10)</f>
        <v>0</v>
      </c>
    </row>
    <row r="11" ht="14.25" customHeight="1">
      <c r="B11" s="36" t="s">
        <v>34</v>
      </c>
      <c r="C11" s="37">
        <v>0.0</v>
      </c>
      <c r="D11" s="37">
        <v>0.0</v>
      </c>
      <c r="E11" s="37">
        <v>0.0</v>
      </c>
      <c r="F11" s="38">
        <v>0.0</v>
      </c>
      <c r="G11" s="39">
        <v>0.0</v>
      </c>
      <c r="H11" s="39">
        <v>0.0</v>
      </c>
      <c r="I11" s="40">
        <v>0.0</v>
      </c>
      <c r="J11" s="41">
        <v>0.0</v>
      </c>
      <c r="K11" s="41">
        <v>0.0</v>
      </c>
      <c r="L11" s="42">
        <v>0.0</v>
      </c>
      <c r="M11" s="43">
        <v>0.0</v>
      </c>
      <c r="N11" s="44">
        <v>0.0</v>
      </c>
      <c r="O11" s="45">
        <f t="shared" si="3"/>
        <v>0</v>
      </c>
    </row>
    <row r="12" ht="14.25" customHeight="1">
      <c r="B12" s="57" t="s">
        <v>35</v>
      </c>
      <c r="C12" s="37">
        <v>0.0</v>
      </c>
      <c r="D12" s="37">
        <v>0.0</v>
      </c>
      <c r="E12" s="37">
        <v>0.0</v>
      </c>
      <c r="F12" s="38">
        <v>0.0</v>
      </c>
      <c r="G12" s="39">
        <v>0.0</v>
      </c>
      <c r="H12" s="39">
        <v>0.0</v>
      </c>
      <c r="I12" s="40">
        <v>0.0</v>
      </c>
      <c r="J12" s="41">
        <v>0.0</v>
      </c>
      <c r="K12" s="41">
        <v>0.0</v>
      </c>
      <c r="L12" s="42">
        <v>0.0</v>
      </c>
      <c r="M12" s="43">
        <v>0.0</v>
      </c>
      <c r="N12" s="44">
        <v>0.0</v>
      </c>
      <c r="O12" s="45">
        <f t="shared" si="3"/>
        <v>0</v>
      </c>
    </row>
    <row r="13" ht="14.25" customHeight="1">
      <c r="B13" s="57" t="s">
        <v>36</v>
      </c>
      <c r="C13" s="37">
        <v>0.0</v>
      </c>
      <c r="D13" s="37">
        <v>0.0</v>
      </c>
      <c r="E13" s="37">
        <v>0.0</v>
      </c>
      <c r="F13" s="38">
        <v>0.0</v>
      </c>
      <c r="G13" s="39">
        <v>0.0</v>
      </c>
      <c r="H13" s="39">
        <v>0.0</v>
      </c>
      <c r="I13" s="40">
        <v>0.0</v>
      </c>
      <c r="J13" s="41">
        <v>0.0</v>
      </c>
      <c r="K13" s="41">
        <v>0.0</v>
      </c>
      <c r="L13" s="42">
        <v>0.0</v>
      </c>
      <c r="M13" s="43">
        <v>0.0</v>
      </c>
      <c r="N13" s="44">
        <v>0.0</v>
      </c>
      <c r="O13" s="45">
        <f t="shared" si="3"/>
        <v>0</v>
      </c>
    </row>
    <row r="14" ht="14.25" customHeight="1">
      <c r="B14" s="58" t="s">
        <v>37</v>
      </c>
      <c r="C14" s="37"/>
      <c r="D14" s="37"/>
      <c r="E14" s="37"/>
      <c r="F14" s="39"/>
      <c r="G14" s="39"/>
      <c r="H14" s="39"/>
      <c r="I14" s="41"/>
      <c r="J14" s="41"/>
      <c r="K14" s="41"/>
      <c r="L14" s="43"/>
      <c r="M14" s="43"/>
      <c r="N14" s="59">
        <v>1455.09</v>
      </c>
      <c r="O14" s="45">
        <f t="shared" si="3"/>
        <v>1455.09</v>
      </c>
    </row>
    <row r="15" ht="14.25" customHeight="1">
      <c r="B15" s="36" t="s">
        <v>38</v>
      </c>
      <c r="C15" s="37">
        <v>0.0</v>
      </c>
      <c r="D15" s="37">
        <v>0.0</v>
      </c>
      <c r="E15" s="37">
        <v>0.0</v>
      </c>
      <c r="F15" s="38">
        <v>0.0</v>
      </c>
      <c r="G15" s="39">
        <v>0.0</v>
      </c>
      <c r="H15" s="39">
        <v>0.0</v>
      </c>
      <c r="I15" s="40">
        <v>0.0</v>
      </c>
      <c r="J15" s="41">
        <v>0.0</v>
      </c>
      <c r="K15" s="41">
        <v>0.0</v>
      </c>
      <c r="L15" s="42">
        <v>0.0</v>
      </c>
      <c r="M15" s="43">
        <v>0.0</v>
      </c>
      <c r="N15" s="44">
        <v>0.0</v>
      </c>
      <c r="O15" s="45">
        <f t="shared" si="3"/>
        <v>0</v>
      </c>
    </row>
    <row r="16" ht="14.25" customHeight="1">
      <c r="B16" s="36" t="s">
        <v>39</v>
      </c>
      <c r="C16" s="37">
        <v>0.0</v>
      </c>
      <c r="D16" s="37">
        <v>0.0</v>
      </c>
      <c r="E16" s="37">
        <v>0.0</v>
      </c>
      <c r="F16" s="38">
        <v>0.0</v>
      </c>
      <c r="G16" s="39">
        <v>0.0</v>
      </c>
      <c r="H16" s="39">
        <v>0.0</v>
      </c>
      <c r="I16" s="40">
        <v>0.0</v>
      </c>
      <c r="J16" s="41">
        <v>851.32</v>
      </c>
      <c r="K16" s="41">
        <v>0.0</v>
      </c>
      <c r="L16" s="42">
        <v>0.0</v>
      </c>
      <c r="M16" s="43">
        <v>0.0</v>
      </c>
      <c r="N16" s="44">
        <v>0.0</v>
      </c>
      <c r="O16" s="45">
        <f t="shared" si="3"/>
        <v>851.32</v>
      </c>
    </row>
    <row r="17" ht="14.25" customHeight="1">
      <c r="B17" s="36" t="s">
        <v>334</v>
      </c>
      <c r="C17" s="37">
        <v>0.0</v>
      </c>
      <c r="D17" s="37">
        <v>0.0</v>
      </c>
      <c r="E17" s="37">
        <v>0.0</v>
      </c>
      <c r="F17" s="38">
        <v>0.0</v>
      </c>
      <c r="G17" s="39">
        <v>0.0</v>
      </c>
      <c r="H17" s="39">
        <v>0.0</v>
      </c>
      <c r="I17" s="40">
        <v>0.0</v>
      </c>
      <c r="J17" s="41">
        <v>0.0</v>
      </c>
      <c r="K17" s="41">
        <v>0.0</v>
      </c>
      <c r="L17" s="42">
        <v>0.0</v>
      </c>
      <c r="M17" s="43">
        <v>0.0</v>
      </c>
      <c r="N17" s="44"/>
      <c r="O17" s="45">
        <f t="shared" si="3"/>
        <v>0</v>
      </c>
    </row>
    <row r="18" ht="14.25" customHeight="1">
      <c r="B18" s="36" t="s">
        <v>62</v>
      </c>
      <c r="C18" s="37">
        <v>0.0</v>
      </c>
      <c r="D18" s="37">
        <v>0.0</v>
      </c>
      <c r="E18" s="37">
        <v>0.0</v>
      </c>
      <c r="F18" s="38">
        <v>0.0</v>
      </c>
      <c r="G18" s="39">
        <v>0.0</v>
      </c>
      <c r="H18" s="39">
        <v>0.0</v>
      </c>
      <c r="I18" s="40">
        <v>0.0</v>
      </c>
      <c r="J18" s="41">
        <v>0.0</v>
      </c>
      <c r="K18" s="41">
        <v>0.0</v>
      </c>
      <c r="L18" s="42">
        <v>0.0</v>
      </c>
      <c r="M18" s="43">
        <v>0.0</v>
      </c>
      <c r="N18" s="44">
        <v>0.0</v>
      </c>
      <c r="O18" s="45">
        <f t="shared" si="3"/>
        <v>0</v>
      </c>
    </row>
    <row r="19" ht="14.25" customHeight="1">
      <c r="B19" s="36" t="s">
        <v>62</v>
      </c>
      <c r="C19" s="37">
        <v>0.0</v>
      </c>
      <c r="D19" s="37">
        <v>0.0</v>
      </c>
      <c r="E19" s="37">
        <v>0.0</v>
      </c>
      <c r="F19" s="38">
        <v>0.0</v>
      </c>
      <c r="G19" s="39">
        <v>0.0</v>
      </c>
      <c r="H19" s="39">
        <v>0.0</v>
      </c>
      <c r="I19" s="40">
        <v>0.0</v>
      </c>
      <c r="J19" s="41">
        <v>0.0</v>
      </c>
      <c r="K19" s="41">
        <v>0.0</v>
      </c>
      <c r="L19" s="42">
        <v>0.0</v>
      </c>
      <c r="M19" s="43">
        <v>0.0</v>
      </c>
      <c r="N19" s="44">
        <v>0.0</v>
      </c>
      <c r="O19" s="45">
        <f t="shared" si="3"/>
        <v>0</v>
      </c>
    </row>
    <row r="20" ht="14.25" customHeight="1">
      <c r="B20" s="36" t="s">
        <v>62</v>
      </c>
      <c r="C20" s="37">
        <v>0.0</v>
      </c>
      <c r="D20" s="37">
        <v>0.0</v>
      </c>
      <c r="E20" s="37">
        <v>0.0</v>
      </c>
      <c r="F20" s="38">
        <v>0.0</v>
      </c>
      <c r="G20" s="39">
        <v>0.0</v>
      </c>
      <c r="H20" s="39">
        <v>0.0</v>
      </c>
      <c r="I20" s="40">
        <v>0.0</v>
      </c>
      <c r="J20" s="41">
        <v>0.0</v>
      </c>
      <c r="K20" s="41">
        <v>0.0</v>
      </c>
      <c r="L20" s="42">
        <v>0.0</v>
      </c>
      <c r="M20" s="43">
        <v>0.0</v>
      </c>
      <c r="N20" s="44">
        <v>0.0</v>
      </c>
      <c r="O20" s="45">
        <f t="shared" si="3"/>
        <v>0</v>
      </c>
    </row>
    <row r="21" ht="14.25" customHeight="1">
      <c r="B21" s="60" t="s">
        <v>40</v>
      </c>
      <c r="C21" s="37">
        <v>0.0</v>
      </c>
      <c r="D21" s="37">
        <v>0.0</v>
      </c>
      <c r="E21" s="37">
        <v>0.0</v>
      </c>
      <c r="F21" s="38">
        <v>0.0</v>
      </c>
      <c r="G21" s="39">
        <v>0.0</v>
      </c>
      <c r="H21" s="39">
        <v>0.0</v>
      </c>
      <c r="I21" s="40">
        <v>0.0</v>
      </c>
      <c r="J21" s="41">
        <v>118.0</v>
      </c>
      <c r="K21" s="41">
        <v>118.0</v>
      </c>
      <c r="L21" s="42">
        <v>118.0</v>
      </c>
      <c r="M21" s="43">
        <v>118.0</v>
      </c>
      <c r="N21" s="44">
        <v>118.29</v>
      </c>
      <c r="O21" s="45">
        <f t="shared" si="3"/>
        <v>590.29</v>
      </c>
    </row>
    <row r="22" ht="14.25" customHeight="1">
      <c r="B22" s="36" t="s">
        <v>41</v>
      </c>
      <c r="C22" s="37">
        <v>0.0</v>
      </c>
      <c r="D22" s="37">
        <v>0.0</v>
      </c>
      <c r="E22" s="37">
        <v>0.0</v>
      </c>
      <c r="F22" s="38">
        <v>0.0</v>
      </c>
      <c r="G22" s="39">
        <v>0.0</v>
      </c>
      <c r="H22" s="39">
        <v>0.0</v>
      </c>
      <c r="I22" s="40">
        <v>0.0</v>
      </c>
      <c r="J22" s="41">
        <v>31.58</v>
      </c>
      <c r="K22" s="41">
        <v>66.56</v>
      </c>
      <c r="L22" s="42">
        <v>125.88</v>
      </c>
      <c r="M22" s="43">
        <v>86.68</v>
      </c>
      <c r="N22" s="44">
        <v>182.89</v>
      </c>
      <c r="O22" s="45">
        <f t="shared" si="3"/>
        <v>493.59</v>
      </c>
    </row>
    <row r="23" ht="14.25" customHeight="1">
      <c r="B23" s="36" t="s">
        <v>42</v>
      </c>
      <c r="C23" s="37">
        <v>0.0</v>
      </c>
      <c r="D23" s="37">
        <v>0.0</v>
      </c>
      <c r="E23" s="37">
        <v>0.0</v>
      </c>
      <c r="F23" s="38">
        <v>0.0</v>
      </c>
      <c r="G23" s="39">
        <v>0.0</v>
      </c>
      <c r="H23" s="39">
        <v>0.0</v>
      </c>
      <c r="I23" s="40">
        <v>0.0</v>
      </c>
      <c r="J23" s="41">
        <v>98.0</v>
      </c>
      <c r="K23" s="41">
        <v>131.28</v>
      </c>
      <c r="L23" s="42">
        <v>71.5</v>
      </c>
      <c r="M23" s="43">
        <v>58.77</v>
      </c>
      <c r="N23" s="44">
        <v>84.62</v>
      </c>
      <c r="O23" s="45">
        <f t="shared" si="3"/>
        <v>444.17</v>
      </c>
    </row>
    <row r="24" ht="14.25" customHeight="1">
      <c r="B24" s="58" t="s">
        <v>43</v>
      </c>
      <c r="C24" s="37">
        <v>45.0</v>
      </c>
      <c r="D24" s="37">
        <v>45.0</v>
      </c>
      <c r="E24" s="37">
        <v>45.0</v>
      </c>
      <c r="F24" s="38">
        <v>45.0</v>
      </c>
      <c r="G24" s="39">
        <v>45.0</v>
      </c>
      <c r="H24" s="39">
        <v>45.0</v>
      </c>
      <c r="I24" s="40">
        <v>45.0</v>
      </c>
      <c r="J24" s="41">
        <v>45.0</v>
      </c>
      <c r="K24" s="41">
        <v>45.0</v>
      </c>
      <c r="L24" s="42">
        <v>45.0</v>
      </c>
      <c r="M24" s="43">
        <v>45.0</v>
      </c>
      <c r="N24" s="44">
        <v>45.0</v>
      </c>
      <c r="O24" s="45">
        <f t="shared" si="3"/>
        <v>540</v>
      </c>
    </row>
    <row r="25" ht="14.25" customHeight="1">
      <c r="B25" s="36" t="s">
        <v>335</v>
      </c>
      <c r="C25" s="37">
        <v>0.0</v>
      </c>
      <c r="D25" s="37">
        <v>0.0</v>
      </c>
      <c r="E25" s="37">
        <v>0.0</v>
      </c>
      <c r="F25" s="38">
        <v>0.0</v>
      </c>
      <c r="G25" s="39">
        <v>0.0</v>
      </c>
      <c r="H25" s="39">
        <v>0.0</v>
      </c>
      <c r="I25" s="40">
        <v>0.0</v>
      </c>
      <c r="J25" s="41">
        <v>0.0</v>
      </c>
      <c r="K25" s="41">
        <v>0.0</v>
      </c>
      <c r="L25" s="42">
        <v>0.0</v>
      </c>
      <c r="M25" s="43">
        <v>0.0</v>
      </c>
      <c r="N25" s="44">
        <v>0.0</v>
      </c>
      <c r="O25" s="45">
        <f t="shared" si="3"/>
        <v>0</v>
      </c>
    </row>
    <row r="26" ht="14.25" customHeight="1">
      <c r="B26" s="36" t="s">
        <v>336</v>
      </c>
      <c r="C26" s="37">
        <v>0.0</v>
      </c>
      <c r="D26" s="37">
        <v>0.0</v>
      </c>
      <c r="E26" s="37">
        <v>0.0</v>
      </c>
      <c r="F26" s="38">
        <v>0.0</v>
      </c>
      <c r="G26" s="39">
        <v>0.0</v>
      </c>
      <c r="H26" s="39">
        <v>0.0</v>
      </c>
      <c r="I26" s="40">
        <v>0.0</v>
      </c>
      <c r="J26" s="41">
        <v>0.0</v>
      </c>
      <c r="K26" s="41">
        <v>0.0</v>
      </c>
      <c r="L26" s="42">
        <v>0.0</v>
      </c>
      <c r="M26" s="43">
        <v>0.0</v>
      </c>
      <c r="N26" s="44">
        <v>0.0</v>
      </c>
      <c r="O26" s="45">
        <f t="shared" si="3"/>
        <v>0</v>
      </c>
    </row>
    <row r="27" ht="14.25" customHeight="1">
      <c r="B27" s="36" t="s">
        <v>46</v>
      </c>
      <c r="C27" s="37">
        <v>0.0</v>
      </c>
      <c r="D27" s="37">
        <v>0.0</v>
      </c>
      <c r="E27" s="37">
        <v>0.0</v>
      </c>
      <c r="F27" s="38">
        <v>0.0</v>
      </c>
      <c r="G27" s="39">
        <v>0.0</v>
      </c>
      <c r="H27" s="39">
        <v>0.0</v>
      </c>
      <c r="I27" s="40">
        <v>0.0</v>
      </c>
      <c r="J27" s="41">
        <v>0.0</v>
      </c>
      <c r="K27" s="41">
        <v>0.0</v>
      </c>
      <c r="L27" s="42">
        <v>0.0</v>
      </c>
      <c r="M27" s="43">
        <v>0.0</v>
      </c>
      <c r="N27" s="44">
        <v>0.0</v>
      </c>
      <c r="O27" s="45">
        <f t="shared" si="3"/>
        <v>0</v>
      </c>
    </row>
    <row r="28" ht="14.25" customHeight="1">
      <c r="B28" s="36" t="s">
        <v>47</v>
      </c>
      <c r="C28" s="37">
        <v>0.0</v>
      </c>
      <c r="D28" s="37"/>
      <c r="E28" s="37">
        <v>0.0</v>
      </c>
      <c r="F28" s="38">
        <v>0.0</v>
      </c>
      <c r="G28" s="39">
        <v>0.0</v>
      </c>
      <c r="H28" s="39">
        <v>0.0</v>
      </c>
      <c r="I28" s="40">
        <v>0.0</v>
      </c>
      <c r="J28" s="41">
        <v>3000.0</v>
      </c>
      <c r="K28" s="41">
        <v>0.0</v>
      </c>
      <c r="L28" s="42">
        <v>0.0</v>
      </c>
      <c r="M28" s="43">
        <v>0.0</v>
      </c>
      <c r="N28" s="44"/>
      <c r="O28" s="45">
        <f t="shared" si="3"/>
        <v>3000</v>
      </c>
    </row>
    <row r="29" ht="14.25" customHeight="1">
      <c r="B29" s="36" t="s">
        <v>48</v>
      </c>
      <c r="C29" s="37">
        <v>0.0</v>
      </c>
      <c r="D29" s="37">
        <v>0.0</v>
      </c>
      <c r="E29" s="37">
        <v>0.0</v>
      </c>
      <c r="F29" s="38">
        <v>0.0</v>
      </c>
      <c r="G29" s="39">
        <v>0.0</v>
      </c>
      <c r="H29" s="39">
        <v>0.0</v>
      </c>
      <c r="I29" s="40">
        <v>0.0</v>
      </c>
      <c r="J29" s="41">
        <v>0.0</v>
      </c>
      <c r="K29" s="41">
        <v>0.0</v>
      </c>
      <c r="L29" s="42">
        <v>0.0</v>
      </c>
      <c r="M29" s="43">
        <v>0.0</v>
      </c>
      <c r="N29" s="44">
        <v>0.0</v>
      </c>
      <c r="O29" s="45">
        <f t="shared" si="3"/>
        <v>0</v>
      </c>
    </row>
    <row r="30" ht="14.25" customHeight="1">
      <c r="B30" s="36" t="s">
        <v>49</v>
      </c>
      <c r="C30" s="37">
        <v>0.0</v>
      </c>
      <c r="D30" s="37">
        <v>0.0</v>
      </c>
      <c r="E30" s="37">
        <v>0.0</v>
      </c>
      <c r="F30" s="38">
        <v>0.0</v>
      </c>
      <c r="G30" s="39">
        <v>0.0</v>
      </c>
      <c r="H30" s="39">
        <v>0.0</v>
      </c>
      <c r="I30" s="40">
        <v>0.0</v>
      </c>
      <c r="J30" s="41">
        <v>0.0</v>
      </c>
      <c r="K30" s="41">
        <v>0.0</v>
      </c>
      <c r="L30" s="42">
        <v>0.0</v>
      </c>
      <c r="M30" s="43">
        <v>0.0</v>
      </c>
      <c r="N30" s="44">
        <v>0.0</v>
      </c>
      <c r="O30" s="45">
        <f t="shared" si="3"/>
        <v>0</v>
      </c>
    </row>
    <row r="31" ht="14.25" customHeight="1">
      <c r="B31" s="36" t="s">
        <v>50</v>
      </c>
      <c r="C31" s="37">
        <v>0.0</v>
      </c>
      <c r="D31" s="37">
        <v>0.0</v>
      </c>
      <c r="E31" s="37">
        <v>0.0</v>
      </c>
      <c r="F31" s="38">
        <v>0.0</v>
      </c>
      <c r="G31" s="39">
        <v>0.0</v>
      </c>
      <c r="H31" s="39">
        <v>0.0</v>
      </c>
      <c r="I31" s="40">
        <v>0.0</v>
      </c>
      <c r="J31" s="41">
        <v>0.0</v>
      </c>
      <c r="K31" s="41">
        <v>0.0</v>
      </c>
      <c r="L31" s="42">
        <v>0.0</v>
      </c>
      <c r="M31" s="43">
        <v>0.0</v>
      </c>
      <c r="N31" s="44">
        <v>0.0</v>
      </c>
      <c r="O31" s="45">
        <f t="shared" si="3"/>
        <v>0</v>
      </c>
    </row>
    <row r="32" ht="14.25" customHeight="1">
      <c r="B32" s="36" t="s">
        <v>51</v>
      </c>
      <c r="C32" s="37">
        <v>0.0</v>
      </c>
      <c r="D32" s="37">
        <v>0.0</v>
      </c>
      <c r="E32" s="37">
        <v>0.0</v>
      </c>
      <c r="F32" s="38">
        <v>0.0</v>
      </c>
      <c r="G32" s="39">
        <v>0.0</v>
      </c>
      <c r="H32" s="39">
        <v>0.0</v>
      </c>
      <c r="I32" s="40">
        <v>0.0</v>
      </c>
      <c r="J32" s="41">
        <v>0.0</v>
      </c>
      <c r="K32" s="41">
        <v>0.0</v>
      </c>
      <c r="L32" s="42">
        <v>0.0</v>
      </c>
      <c r="M32" s="43">
        <v>0.0</v>
      </c>
      <c r="N32" s="44">
        <v>0.0</v>
      </c>
      <c r="O32" s="45">
        <f t="shared" si="3"/>
        <v>0</v>
      </c>
    </row>
    <row r="33" ht="14.25" customHeight="1">
      <c r="B33" s="36" t="s">
        <v>46</v>
      </c>
      <c r="C33" s="37">
        <v>0.0</v>
      </c>
      <c r="D33" s="37">
        <v>0.0</v>
      </c>
      <c r="E33" s="37">
        <v>0.0</v>
      </c>
      <c r="F33" s="38">
        <v>0.0</v>
      </c>
      <c r="G33" s="39">
        <v>0.0</v>
      </c>
      <c r="H33" s="39">
        <v>0.0</v>
      </c>
      <c r="I33" s="40">
        <v>0.0</v>
      </c>
      <c r="J33" s="41">
        <v>0.0</v>
      </c>
      <c r="K33" s="41">
        <v>0.0</v>
      </c>
      <c r="L33" s="42">
        <v>0.0</v>
      </c>
      <c r="M33" s="43">
        <v>0.0</v>
      </c>
      <c r="N33" s="44">
        <v>0.0</v>
      </c>
      <c r="O33" s="45">
        <f t="shared" si="3"/>
        <v>0</v>
      </c>
    </row>
    <row r="34" ht="14.25" customHeight="1">
      <c r="B34" s="57" t="s">
        <v>64</v>
      </c>
      <c r="C34" s="37"/>
      <c r="D34" s="37"/>
      <c r="E34" s="37"/>
      <c r="F34" s="39"/>
      <c r="G34" s="39"/>
      <c r="H34" s="39"/>
      <c r="I34" s="41"/>
      <c r="J34" s="41"/>
      <c r="K34" s="41"/>
      <c r="L34" s="43">
        <v>3920.64</v>
      </c>
      <c r="M34" s="43">
        <v>3920.64</v>
      </c>
      <c r="N34" s="43">
        <v>3920.64</v>
      </c>
      <c r="O34" s="45">
        <f t="shared" si="3"/>
        <v>11761.92</v>
      </c>
    </row>
    <row r="35" ht="14.25" customHeight="1">
      <c r="B35" s="57" t="s">
        <v>65</v>
      </c>
      <c r="C35" s="37"/>
      <c r="D35" s="37"/>
      <c r="E35" s="37"/>
      <c r="F35" s="39"/>
      <c r="G35" s="39"/>
      <c r="H35" s="39"/>
      <c r="I35" s="41"/>
      <c r="J35" s="41"/>
      <c r="K35" s="41"/>
      <c r="L35" s="43"/>
      <c r="M35" s="43"/>
      <c r="N35" s="43"/>
      <c r="O35" s="45">
        <f t="shared" si="3"/>
        <v>0</v>
      </c>
    </row>
    <row r="36" ht="14.25" customHeight="1">
      <c r="B36" s="57" t="s">
        <v>337</v>
      </c>
      <c r="C36" s="37">
        <v>0.0</v>
      </c>
      <c r="D36" s="37">
        <v>0.0</v>
      </c>
      <c r="E36" s="37">
        <v>0.0</v>
      </c>
      <c r="F36" s="38"/>
      <c r="G36" s="39">
        <v>0.0</v>
      </c>
      <c r="H36" s="39">
        <v>0.0</v>
      </c>
      <c r="I36" s="40">
        <v>0.0</v>
      </c>
      <c r="J36" s="41">
        <v>145.0</v>
      </c>
      <c r="K36" s="41">
        <v>0.0</v>
      </c>
      <c r="L36" s="42">
        <v>0.0</v>
      </c>
      <c r="M36" s="43"/>
      <c r="N36" s="44">
        <v>0.0</v>
      </c>
      <c r="O36" s="45">
        <f t="shared" si="3"/>
        <v>145</v>
      </c>
    </row>
    <row r="37" ht="14.25" customHeight="1">
      <c r="B37" s="57" t="s">
        <v>56</v>
      </c>
      <c r="C37" s="37">
        <v>0.0</v>
      </c>
      <c r="D37" s="37">
        <v>0.0</v>
      </c>
      <c r="E37" s="37">
        <v>0.0</v>
      </c>
      <c r="F37" s="38">
        <v>0.0</v>
      </c>
      <c r="G37" s="39">
        <v>0.0</v>
      </c>
      <c r="H37" s="39">
        <v>0.0</v>
      </c>
      <c r="I37" s="40">
        <v>0.0</v>
      </c>
      <c r="J37" s="41">
        <v>0.0</v>
      </c>
      <c r="K37" s="41"/>
      <c r="L37" s="42"/>
      <c r="M37" s="43">
        <v>0.0</v>
      </c>
      <c r="N37" s="44">
        <v>0.0</v>
      </c>
      <c r="O37" s="45">
        <f t="shared" si="3"/>
        <v>0</v>
      </c>
    </row>
    <row r="38" ht="14.25" customHeight="1">
      <c r="B38" s="57" t="s">
        <v>56</v>
      </c>
      <c r="C38" s="37">
        <v>0.0</v>
      </c>
      <c r="D38" s="37">
        <v>0.0</v>
      </c>
      <c r="E38" s="37">
        <v>0.0</v>
      </c>
      <c r="F38" s="38">
        <v>0.0</v>
      </c>
      <c r="G38" s="39">
        <v>0.0</v>
      </c>
      <c r="H38" s="39">
        <v>0.0</v>
      </c>
      <c r="I38" s="40">
        <v>0.0</v>
      </c>
      <c r="J38" s="41">
        <v>0.0</v>
      </c>
      <c r="K38" s="41">
        <v>0.0</v>
      </c>
      <c r="L38" s="42"/>
      <c r="M38" s="43"/>
      <c r="N38" s="44"/>
      <c r="O38" s="45">
        <f t="shared" si="3"/>
        <v>0</v>
      </c>
    </row>
    <row r="39" ht="14.25" customHeight="1">
      <c r="B39" s="36" t="s">
        <v>62</v>
      </c>
      <c r="C39" s="37">
        <v>0.0</v>
      </c>
      <c r="D39" s="37">
        <v>0.0</v>
      </c>
      <c r="E39" s="37">
        <v>0.0</v>
      </c>
      <c r="F39" s="38">
        <v>0.0</v>
      </c>
      <c r="G39" s="39">
        <v>0.0</v>
      </c>
      <c r="H39" s="39">
        <v>0.0</v>
      </c>
      <c r="I39" s="40">
        <v>0.0</v>
      </c>
      <c r="J39" s="41">
        <v>0.0</v>
      </c>
      <c r="K39" s="41">
        <v>0.0</v>
      </c>
      <c r="L39" s="42">
        <v>0.0</v>
      </c>
      <c r="M39" s="43">
        <v>0.0</v>
      </c>
      <c r="N39" s="44">
        <v>0.0</v>
      </c>
      <c r="O39" s="45">
        <f t="shared" si="3"/>
        <v>0</v>
      </c>
    </row>
    <row r="40" ht="14.25" customHeight="1">
      <c r="B40" s="36" t="s">
        <v>62</v>
      </c>
      <c r="C40" s="37">
        <v>0.0</v>
      </c>
      <c r="D40" s="37">
        <v>0.0</v>
      </c>
      <c r="E40" s="37">
        <v>0.0</v>
      </c>
      <c r="F40" s="38">
        <v>0.0</v>
      </c>
      <c r="G40" s="39">
        <v>0.0</v>
      </c>
      <c r="H40" s="39">
        <v>0.0</v>
      </c>
      <c r="I40" s="40">
        <v>0.0</v>
      </c>
      <c r="J40" s="41">
        <v>0.0</v>
      </c>
      <c r="K40" s="41">
        <v>0.0</v>
      </c>
      <c r="L40" s="42">
        <v>0.0</v>
      </c>
      <c r="M40" s="43">
        <v>0.0</v>
      </c>
      <c r="N40" s="44">
        <v>0.0</v>
      </c>
      <c r="O40" s="45">
        <f t="shared" si="3"/>
        <v>0</v>
      </c>
    </row>
    <row r="41" ht="14.25" customHeight="1">
      <c r="B41" s="47" t="s">
        <v>57</v>
      </c>
      <c r="C41" s="48">
        <f t="shared" ref="C41:N41" si="4">SUM(C10:C40)</f>
        <v>45</v>
      </c>
      <c r="D41" s="48">
        <f t="shared" si="4"/>
        <v>45</v>
      </c>
      <c r="E41" s="48">
        <f t="shared" si="4"/>
        <v>45</v>
      </c>
      <c r="F41" s="49">
        <f t="shared" si="4"/>
        <v>45</v>
      </c>
      <c r="G41" s="50">
        <f t="shared" si="4"/>
        <v>45</v>
      </c>
      <c r="H41" s="50">
        <f t="shared" si="4"/>
        <v>45</v>
      </c>
      <c r="I41" s="51">
        <f t="shared" si="4"/>
        <v>45</v>
      </c>
      <c r="J41" s="52">
        <f t="shared" si="4"/>
        <v>4288.9</v>
      </c>
      <c r="K41" s="52">
        <f t="shared" si="4"/>
        <v>360.84</v>
      </c>
      <c r="L41" s="53">
        <f t="shared" si="4"/>
        <v>4281.02</v>
      </c>
      <c r="M41" s="54">
        <f t="shared" si="4"/>
        <v>4229.09</v>
      </c>
      <c r="N41" s="55">
        <f t="shared" si="4"/>
        <v>5806.53</v>
      </c>
      <c r="O41" s="56">
        <f t="shared" si="3"/>
        <v>19281.38</v>
      </c>
    </row>
    <row r="42" ht="14.25" customHeight="1"/>
    <row r="43" ht="14.25" customHeight="1">
      <c r="B43" s="70" t="s">
        <v>58</v>
      </c>
      <c r="C43" s="71">
        <f t="shared" ref="C43:O43" si="5">C6-C41</f>
        <v>-45</v>
      </c>
      <c r="D43" s="71">
        <f t="shared" si="5"/>
        <v>-45</v>
      </c>
      <c r="E43" s="71">
        <f t="shared" si="5"/>
        <v>-45</v>
      </c>
      <c r="F43" s="72">
        <f t="shared" si="5"/>
        <v>-45</v>
      </c>
      <c r="G43" s="73">
        <f t="shared" si="5"/>
        <v>-45</v>
      </c>
      <c r="H43" s="73">
        <f t="shared" si="5"/>
        <v>-45</v>
      </c>
      <c r="I43" s="74">
        <f t="shared" si="5"/>
        <v>-45</v>
      </c>
      <c r="J43" s="75">
        <f t="shared" si="5"/>
        <v>-4288.9</v>
      </c>
      <c r="K43" s="75">
        <f t="shared" si="5"/>
        <v>-360.84</v>
      </c>
      <c r="L43" s="76">
        <f t="shared" si="5"/>
        <v>-4281.02</v>
      </c>
      <c r="M43" s="77">
        <f t="shared" si="5"/>
        <v>-4229.09</v>
      </c>
      <c r="N43" s="78">
        <f t="shared" si="5"/>
        <v>-5806.53</v>
      </c>
      <c r="O43" s="79">
        <f t="shared" si="5"/>
        <v>-19281.38</v>
      </c>
    </row>
    <row r="44" ht="14.25" customHeight="1"/>
    <row r="45" ht="14.25" customHeight="1">
      <c r="B45" s="2" t="s">
        <v>338</v>
      </c>
    </row>
    <row r="46" ht="14.25" customHeight="1">
      <c r="B46" s="2" t="s">
        <v>339</v>
      </c>
    </row>
    <row r="47" ht="14.25" customHeight="1"/>
    <row r="48" ht="14.25" customHeight="1">
      <c r="B48" s="2" t="s">
        <v>68</v>
      </c>
      <c r="C48" s="4">
        <v>575000.0</v>
      </c>
    </row>
    <row r="49" ht="14.25" customHeight="1">
      <c r="B49" s="2" t="s">
        <v>69</v>
      </c>
      <c r="C49" s="81">
        <v>0.06275</v>
      </c>
    </row>
    <row r="50" ht="14.25" customHeight="1">
      <c r="C50" s="103"/>
    </row>
    <row r="51" ht="14.25" customHeight="1">
      <c r="B51" s="129" t="s">
        <v>340</v>
      </c>
      <c r="C51" s="130"/>
    </row>
    <row r="52" ht="14.25" customHeight="1">
      <c r="B52" s="3" t="s">
        <v>341</v>
      </c>
      <c r="C52" s="131"/>
    </row>
    <row r="53" ht="14.25" customHeight="1">
      <c r="B53" s="3" t="s">
        <v>70</v>
      </c>
      <c r="C53" s="132" t="s">
        <v>342</v>
      </c>
    </row>
    <row r="54" ht="14.25" customHeight="1">
      <c r="B54" s="3"/>
      <c r="C54" s="132"/>
    </row>
    <row r="55" ht="14.25" customHeight="1">
      <c r="B55" s="3"/>
      <c r="C55" s="133"/>
    </row>
    <row r="56" ht="14.25" customHeight="1">
      <c r="B56" s="134" t="s">
        <v>343</v>
      </c>
      <c r="C56" s="133"/>
    </row>
    <row r="57" ht="14.25" customHeight="1">
      <c r="B57" s="3" t="s">
        <v>344</v>
      </c>
      <c r="C57" s="133"/>
    </row>
    <row r="58" ht="14.25" customHeight="1">
      <c r="B58" s="3" t="s">
        <v>345</v>
      </c>
      <c r="C58" s="133"/>
    </row>
    <row r="59" ht="14.25" customHeight="1">
      <c r="B59" s="3" t="s">
        <v>346</v>
      </c>
      <c r="C59" s="133"/>
    </row>
    <row r="60" ht="14.25" customHeight="1">
      <c r="B60" s="3" t="s">
        <v>347</v>
      </c>
      <c r="C60" s="133"/>
    </row>
    <row r="61" ht="14.25" customHeight="1">
      <c r="B61" s="3" t="s">
        <v>348</v>
      </c>
      <c r="C61" s="133"/>
    </row>
    <row r="62" ht="14.25" customHeight="1">
      <c r="B62" s="3"/>
      <c r="C62" s="133"/>
    </row>
    <row r="63" ht="14.25" customHeight="1">
      <c r="B63" s="134" t="s">
        <v>349</v>
      </c>
      <c r="C63" s="133"/>
    </row>
    <row r="64" ht="14.25" customHeight="1">
      <c r="B64" s="3" t="s">
        <v>344</v>
      </c>
      <c r="C64" s="133"/>
    </row>
    <row r="65" ht="14.25" customHeight="1">
      <c r="B65" s="3" t="s">
        <v>345</v>
      </c>
      <c r="C65" s="133"/>
    </row>
    <row r="66" ht="14.25" customHeight="1">
      <c r="B66" s="3" t="s">
        <v>350</v>
      </c>
      <c r="C66" s="133"/>
    </row>
    <row r="67" ht="14.25" customHeight="1">
      <c r="B67" s="3"/>
      <c r="C67" s="133"/>
    </row>
    <row r="68" ht="14.25" customHeight="1">
      <c r="B68" s="135" t="s">
        <v>351</v>
      </c>
      <c r="C68" s="136"/>
    </row>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1:O1"/>
  </mergeCell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2022-12-14T01:51:29Z</dcterms:created>
  <dc:creator>Jacob Coley</dc:creator>
</cp:coreProperties>
</file>