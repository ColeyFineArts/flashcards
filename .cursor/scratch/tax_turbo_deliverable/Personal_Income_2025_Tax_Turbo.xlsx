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SOURCE_2025" sheetId="1" state="visible" r:id="rId1"/>
    <sheet name="Income" sheetId="2" state="visible" r:id="rId2"/>
    <sheet name="524 Ferdinand Ave, Unit 2" sheetId="3" state="visible" r:id="rId3"/>
    <sheet name="524 Ferdinand Ave, Unit 1" sheetId="4" state="visible" r:id="rId4"/>
    <sheet name="216 N. Oak Park Ave" sheetId="5" state="visible" r:id="rId5"/>
    <sheet name="EPGC LLC" sheetId="6" state="visible" r:id="rId6"/>
    <sheet name="Art Sales and Purchases" sheetId="7" state="visible" r:id="rId7"/>
    <sheet name="GCM" sheetId="8" state="visible" r:id="rId8"/>
    <sheet name="Hindman W2" sheetId="9" state="visible" r:id="rId9"/>
    <sheet name="Megan T4" sheetId="10" state="visible" r:id="rId10"/>
    <sheet name="Investments" sheetId="11" state="visible" r:id="rId11"/>
    <sheet name="524 Home Sale" sheetId="12" state="visible" r:id="rId12"/>
    <sheet name="827 Grove CapEx" sheetId="13" state="visible" r:id="rId13"/>
    <sheet name="Childcare 244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</font>
    <font>
      <b val="1"/>
      <color rgb="001F4E79"/>
      <sz val="12"/>
    </font>
    <font>
      <b val="1"/>
      <color rgb="001F4E79"/>
    </font>
  </fonts>
  <fills count="6">
    <fill>
      <patternFill/>
    </fill>
    <fill>
      <patternFill patternType="gray125"/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70" customWidth="1" min="2" max="2"/>
  </cols>
  <sheetData>
    <row r="1">
      <c r="A1" s="1" t="inlineStr">
        <is>
          <t>PERSONAL INCOME 2025 — TAX TURBO (CPA workbook)</t>
        </is>
      </c>
    </row>
    <row r="2">
      <c r="A2" t="inlineStr">
        <is>
          <t>Same tab model as prior Personal Income.xlsx: Income, property P&amp;Ls with monthly EXPENSES, EPGC, Art Sales (COGS=Cost).</t>
        </is>
      </c>
    </row>
    <row r="3">
      <c r="A3" t="inlineStr">
        <is>
          <t>Green = filled from Monarch/platform/docs. Yellow = TBD for you/CPA. Not tax advice.</t>
        </is>
      </c>
    </row>
    <row r="4">
      <c r="A4" t="inlineStr">
        <is>
          <t>Status checklist on Drive is NOT this workbook — open these tabs for expenses &amp; COGS.</t>
        </is>
      </c>
    </row>
    <row r="6">
      <c r="A6" t="inlineStr">
        <is>
          <t>Tab</t>
        </is>
      </c>
      <c r="B6" t="inlineStr">
        <is>
          <t>Contents</t>
        </is>
      </c>
    </row>
    <row r="7">
      <c r="A7" t="inlineStr">
        <is>
          <t>Income</t>
        </is>
      </c>
      <c r="B7" t="inlineStr">
        <is>
          <t>Year summary Projected/Actual including 2025</t>
        </is>
      </c>
    </row>
    <row r="8">
      <c r="A8" t="inlineStr">
        <is>
          <t>524 Ferdinand Ave, Unit 2</t>
        </is>
      </c>
      <c r="B8" t="inlineStr">
        <is>
          <t>STR monthly income + expense lines (fees/utilities/etc.)</t>
        </is>
      </c>
    </row>
    <row r="9">
      <c r="A9" t="inlineStr">
        <is>
          <t>524 Ferdinand Ave, Unit 1</t>
        </is>
      </c>
      <c r="B9" t="inlineStr">
        <is>
          <t>Residence portion through sale 12/18 — mostly TBD</t>
        </is>
      </c>
    </row>
    <row r="10">
      <c r="A10" t="inlineStr">
        <is>
          <t>216 N. Oak Park Ave</t>
        </is>
      </c>
      <c r="B10" t="inlineStr">
        <is>
          <t>LTR P&amp;L — HOA + mortgage cash prefilled</t>
        </is>
      </c>
    </row>
    <row r="11">
      <c r="A11" t="inlineStr">
        <is>
          <t>EPGC LLC</t>
        </is>
      </c>
      <c r="B11" t="inlineStr">
        <is>
          <t>Business income/expenses monthly + COGS note</t>
        </is>
      </c>
    </row>
    <row r="12">
      <c r="A12" t="inlineStr">
        <is>
          <t>Art Sales and Purchases</t>
        </is>
      </c>
      <c r="B12" t="inlineStr">
        <is>
          <t>Object-level Cost (COGS) / Sale Price / Net</t>
        </is>
      </c>
    </row>
    <row r="13">
      <c r="A13" t="inlineStr">
        <is>
          <t>GCM / Hindman W2 / Megan T4</t>
        </is>
      </c>
      <c r="B13" t="inlineStr">
        <is>
          <t>Board 1099 + W-2 deposit stubs</t>
        </is>
      </c>
    </row>
    <row r="14">
      <c r="A14" t="inlineStr">
        <is>
          <t>524 Home Sale / 827 Grove CapEx / Childcare 2441</t>
        </is>
      </c>
      <c r="B14" t="inlineStr">
        <is>
          <t>Event helpers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B1" t="n">
        <v>2024</v>
      </c>
      <c r="C1" t="n">
        <v>2024</v>
      </c>
      <c r="D1" t="n">
        <v>2025</v>
      </c>
      <c r="E1" t="n">
        <v>2025</v>
      </c>
    </row>
    <row r="2">
      <c r="B2" s="2" t="inlineStr">
        <is>
          <t>Projected</t>
        </is>
      </c>
      <c r="C2" s="2" t="inlineStr">
        <is>
          <t>Actual</t>
        </is>
      </c>
      <c r="D2" s="2" t="inlineStr">
        <is>
          <t>Projected</t>
        </is>
      </c>
      <c r="E2" s="2" t="inlineStr">
        <is>
          <t>Actual</t>
        </is>
      </c>
    </row>
    <row r="3">
      <c r="A3" t="inlineStr">
        <is>
          <t>Income</t>
        </is>
      </c>
    </row>
    <row r="4">
      <c r="A4" t="inlineStr">
        <is>
          <t>Hindman / Freeman W-2 (Monarch deposits — reconcile to W-2)</t>
        </is>
      </c>
      <c r="B4" t="n">
        <v>110000</v>
      </c>
      <c r="D4" t="n">
        <v>110000</v>
      </c>
      <c r="E4" s="3" t="n">
        <v>70618</v>
      </c>
    </row>
    <row r="5">
      <c r="A5" t="inlineStr">
        <is>
          <t>216 N. Oak Park Ave</t>
        </is>
      </c>
      <c r="B5" t="n">
        <v>1500</v>
      </c>
      <c r="D5" t="n">
        <v>1500</v>
      </c>
      <c r="E5" s="4" t="n">
        <v>0</v>
      </c>
    </row>
    <row r="6">
      <c r="A6" t="inlineStr">
        <is>
          <t>524 Ferdinand Ave #2 (STR platform net)</t>
        </is>
      </c>
      <c r="B6" t="n">
        <v>20000</v>
      </c>
      <c r="D6" t="n">
        <v>17000</v>
      </c>
      <c r="E6" s="3" t="n">
        <v>17086.94</v>
      </c>
    </row>
    <row r="7">
      <c r="A7" t="inlineStr">
        <is>
          <t>GCM / Gates 1099-NEC</t>
        </is>
      </c>
      <c r="B7" t="n">
        <v>16000</v>
      </c>
      <c r="D7" t="n">
        <v>21500</v>
      </c>
      <c r="E7" s="3" t="n">
        <v>21500</v>
      </c>
    </row>
    <row r="8">
      <c r="A8" t="inlineStr">
        <is>
          <t>Art Sales (net — see Art Sales tab)</t>
        </is>
      </c>
      <c r="B8" t="n">
        <v>20000</v>
      </c>
      <c r="D8" t="n">
        <v>20000</v>
      </c>
      <c r="E8" s="4" t="n">
        <v>0</v>
      </c>
    </row>
    <row r="9">
      <c r="A9" t="inlineStr">
        <is>
          <t>Megan's Income</t>
        </is>
      </c>
      <c r="B9" t="n">
        <v>0</v>
      </c>
      <c r="D9" t="n">
        <v>0</v>
      </c>
      <c r="E9" s="4" t="n">
        <v>0</v>
      </c>
    </row>
    <row r="10">
      <c r="A10" t="inlineStr">
        <is>
          <t>EBITDA</t>
        </is>
      </c>
      <c r="B10">
        <f>SUM(B4:B9)</f>
        <v/>
      </c>
      <c r="C10">
        <f>SUM(C4:C9)</f>
        <v/>
      </c>
      <c r="D10">
        <f>SUM(D4:D9)</f>
        <v/>
      </c>
      <c r="E10">
        <f>SUM(E4:E9)</f>
        <v/>
      </c>
    </row>
    <row r="12">
      <c r="A12" t="inlineStr">
        <is>
          <t>Notes: E4 Monarch paycheck cash ≠ W-2 Box 1. E6 PLATFORM STR net LOCKED. E8 Art net yellow until Sale Prices filled (COGS on Art Sales).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2 (STR)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s="3" t="n">
        <v>3479.6</v>
      </c>
      <c r="I3" s="3" t="n">
        <v>3180.81</v>
      </c>
      <c r="J3" s="3" t="n">
        <v>1757.5</v>
      </c>
      <c r="K3" s="3" t="n">
        <v>2690.16</v>
      </c>
      <c r="L3" s="3" t="n">
        <v>1261.64</v>
      </c>
      <c r="M3" s="3" t="n">
        <v>1509.84</v>
      </c>
      <c r="N3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>
        <f>SUM(C11:N11)</f>
        <v/>
      </c>
    </row>
    <row r="12">
      <c r="B12" t="inlineStr">
        <is>
          <t>INTERIOR MAINTENANCE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>
        <f>SUM(C12:N12)</f>
        <v/>
      </c>
    </row>
    <row r="13">
      <c r="B13" t="inlineStr">
        <is>
          <t>EXTERIOR REPAIRS</t>
        </is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>
        <f>SUM(C13:N13)</f>
        <v/>
      </c>
    </row>
    <row r="14">
      <c r="B14" t="inlineStr">
        <is>
          <t>VILLAGE WATER AND REFUSE</t>
        </is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>
        <f>SUM(C14:N14)</f>
        <v/>
      </c>
    </row>
    <row r="15">
      <c r="B15" t="inlineStr">
        <is>
          <t>GAS</t>
        </is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>
        <f>SUM(C15:N15)</f>
        <v/>
      </c>
    </row>
    <row r="16">
      <c r="B16" t="inlineStr">
        <is>
          <t>ELECTRIC</t>
        </is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>
        <f>SUM(C16:N16)</f>
        <v/>
      </c>
    </row>
    <row r="17">
      <c r="B17" t="inlineStr">
        <is>
          <t>INTERNET</t>
        </is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>
        <f>SUM(C19:N19)</f>
        <v/>
      </c>
    </row>
    <row r="20">
      <c r="B20" t="inlineStr">
        <is>
          <t>EQUIPMENT/APPLIANCE PURCHASES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>
        <f>SUM(C23:N23)</f>
        <v/>
      </c>
    </row>
    <row r="24">
      <c r="B24" t="inlineStr">
        <is>
          <t>HOA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>
      <c r="B30" s="4" t="inlineStr">
        <is>
          <t>Income green = Monarch Airbnb/VRBO deposits. Year total should be reconciled to PLATFORM net $17,086.94. Yellow expenses need fill (service fees/cleaning/utilities).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1 (residence through sale 2025-12-18)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>
        <f>SUM(C11:N11)</f>
        <v/>
      </c>
    </row>
    <row r="12">
      <c r="B12" t="inlineStr">
        <is>
          <t>INTERIOR MAINTENANCE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>
        <f>SUM(C12:N12)</f>
        <v/>
      </c>
    </row>
    <row r="13">
      <c r="B13" t="inlineStr">
        <is>
          <t>EXTERIOR REPAIRS</t>
        </is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>
        <f>SUM(C13:N13)</f>
        <v/>
      </c>
    </row>
    <row r="14">
      <c r="B14" t="inlineStr">
        <is>
          <t>VILLAGE WATER AND REFUSE</t>
        </is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>
        <f>SUM(C14:N14)</f>
        <v/>
      </c>
    </row>
    <row r="15">
      <c r="B15" t="inlineStr">
        <is>
          <t>GAS</t>
        </is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>
        <f>SUM(C15:N15)</f>
        <v/>
      </c>
    </row>
    <row r="16">
      <c r="B16" t="inlineStr">
        <is>
          <t>ELECTRIC</t>
        </is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>
        <f>SUM(C16:N16)</f>
        <v/>
      </c>
    </row>
    <row r="17">
      <c r="B17" t="inlineStr">
        <is>
          <t>INTERNET</t>
        </is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>
        <f>SUM(C19:N19)</f>
        <v/>
      </c>
    </row>
    <row r="20">
      <c r="B20" t="inlineStr">
        <is>
          <t>EQUIPMENT/APPLIANCE PURCHASES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>
        <f>SUM(C23:N23)</f>
        <v/>
      </c>
    </row>
    <row r="24">
      <c r="B24" t="inlineStr">
        <is>
          <t>HOA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>
      <c r="B30" s="4" t="inlineStr">
        <is>
          <t>§121 residence. Shared building costs may need allocation vs Unit 2. Sale facts on 524 Home Sale tab.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216 N. Oak Park Avenue #1Z (LTR)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>
        <f>SUM(C11:N11)</f>
        <v/>
      </c>
    </row>
    <row r="12">
      <c r="B12" t="inlineStr">
        <is>
          <t>INTERIOR MAINTENANCE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>
        <f>SUM(C12:N12)</f>
        <v/>
      </c>
    </row>
    <row r="13">
      <c r="B13" t="inlineStr">
        <is>
          <t>EXTERIOR REPAIRS</t>
        </is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>
        <f>SUM(C13:N13)</f>
        <v/>
      </c>
    </row>
    <row r="14">
      <c r="B14" t="inlineStr">
        <is>
          <t>VILLAGE WATER AND REFUSE</t>
        </is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>
        <f>SUM(C14:N14)</f>
        <v/>
      </c>
    </row>
    <row r="15">
      <c r="B15" t="inlineStr">
        <is>
          <t>GAS</t>
        </is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>
        <f>SUM(C15:N15)</f>
        <v/>
      </c>
    </row>
    <row r="16">
      <c r="B16" t="inlineStr">
        <is>
          <t>ELECTRIC</t>
        </is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>
        <f>SUM(C16:N16)</f>
        <v/>
      </c>
    </row>
    <row r="17">
      <c r="B17" t="inlineStr">
        <is>
          <t>INTERNET</t>
        </is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>
        <f>SUM(C19:N19)</f>
        <v/>
      </c>
    </row>
    <row r="20">
      <c r="B20" t="inlineStr">
        <is>
          <t>EQUIPMENT/APPLIANCE PURCHASES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s="3" t="n">
        <v>1226.25</v>
      </c>
      <c r="J23" s="3" t="n">
        <v>1226.25</v>
      </c>
      <c r="K23" s="3" t="n">
        <v>1226.25</v>
      </c>
      <c r="L23" s="3" t="n">
        <v>1226.25</v>
      </c>
      <c r="M23" s="3" t="n">
        <v>1177.52</v>
      </c>
      <c r="N23" s="3" t="n">
        <v>1177.52</v>
      </c>
      <c r="O23">
        <f>SUM(C23:N23)</f>
        <v/>
      </c>
    </row>
    <row r="24">
      <c r="B24" t="inlineStr">
        <is>
          <t>HOA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s="3" t="n">
        <v>421.53</v>
      </c>
      <c r="I24" s="3" t="n">
        <v>421.53</v>
      </c>
      <c r="J24" s="3" t="n">
        <v>421.53</v>
      </c>
      <c r="K24" s="3" t="n">
        <v>421.53</v>
      </c>
      <c r="L24" s="3" t="n">
        <v>421.53</v>
      </c>
      <c r="M24" s="3" t="n">
        <v>421.53</v>
      </c>
      <c r="N24" s="3" t="n">
        <v>421.53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>
      <c r="B30" s="4" t="inlineStr">
        <is>
          <t>HOA + Rocket payment cash from Monarch (green). Deduct interest from Rocket 1098 only — not full P+I. Rent income / vacant months / smoke detector TBD.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6" t="n">
        <v>2025</v>
      </c>
    </row>
    <row r="2">
      <c r="A2" t="inlineStr">
        <is>
          <t>INCOME</t>
        </is>
      </c>
      <c r="B2" s="5" t="inlineStr">
        <is>
          <t>JAN</t>
        </is>
      </c>
      <c r="C2" s="5" t="inlineStr">
        <is>
          <t>FEB</t>
        </is>
      </c>
      <c r="D2" s="5" t="inlineStr">
        <is>
          <t>MAR</t>
        </is>
      </c>
      <c r="E2" s="5" t="inlineStr">
        <is>
          <t>APR</t>
        </is>
      </c>
      <c r="F2" s="5" t="inlineStr">
        <is>
          <t>MAY</t>
        </is>
      </c>
      <c r="G2" s="5" t="inlineStr">
        <is>
          <t>JUN</t>
        </is>
      </c>
      <c r="H2" s="5" t="inlineStr">
        <is>
          <t>JUL</t>
        </is>
      </c>
      <c r="I2" s="5" t="inlineStr">
        <is>
          <t>AUG</t>
        </is>
      </c>
      <c r="J2" s="5" t="inlineStr">
        <is>
          <t>SEPT</t>
        </is>
      </c>
      <c r="K2" s="5" t="inlineStr">
        <is>
          <t>OCT</t>
        </is>
      </c>
      <c r="L2" s="5" t="inlineStr">
        <is>
          <t>NOV</t>
        </is>
      </c>
      <c r="M2" s="5" t="inlineStr">
        <is>
          <t>DEC</t>
        </is>
      </c>
      <c r="N2" s="5" t="inlineStr">
        <is>
          <t>YR TOTAL</t>
        </is>
      </c>
    </row>
    <row r="3">
      <c r="A3" t="inlineStr">
        <is>
          <t>Business Income (Mercury rollup — includes art deals)</t>
        </is>
      </c>
      <c r="B3" s="3" t="n">
        <v>15000</v>
      </c>
      <c r="C3" s="3" t="n">
        <v>30000</v>
      </c>
      <c r="D3" s="3" t="n">
        <v>14000</v>
      </c>
      <c r="E3" t="n">
        <v>0</v>
      </c>
      <c r="F3" s="3" t="n">
        <v>37200</v>
      </c>
      <c r="G3" s="3" t="n">
        <v>41895</v>
      </c>
      <c r="H3" s="3" t="n">
        <v>37034.79</v>
      </c>
      <c r="I3" s="3" t="n">
        <v>10000</v>
      </c>
      <c r="J3" s="3" t="n">
        <v>22261.27</v>
      </c>
      <c r="K3" s="3" t="n">
        <v>50670</v>
      </c>
      <c r="L3" s="3" t="n">
        <v>6000</v>
      </c>
      <c r="M3" t="n">
        <v>0</v>
      </c>
      <c r="N3">
        <f>SUM(B3:M3)</f>
        <v/>
      </c>
    </row>
    <row r="4">
      <c r="A4" t="inlineStr">
        <is>
          <t>Consultant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>
        <f>SUM(B4:M4)</f>
        <v/>
      </c>
    </row>
    <row r="5">
      <c r="A5" t="inlineStr">
        <is>
          <t>Total</t>
        </is>
      </c>
      <c r="B5">
        <f>SUM(B3:B4)</f>
        <v/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SUM(B5:M5)</f>
        <v/>
      </c>
    </row>
    <row r="7">
      <c r="A7" t="inlineStr">
        <is>
          <t>EXPENSES</t>
        </is>
      </c>
      <c r="B7" s="5" t="inlineStr">
        <is>
          <t>JAN</t>
        </is>
      </c>
      <c r="C7" s="5" t="inlineStr">
        <is>
          <t>FEB</t>
        </is>
      </c>
      <c r="D7" s="5" t="inlineStr">
        <is>
          <t>MAR</t>
        </is>
      </c>
      <c r="E7" s="5" t="inlineStr">
        <is>
          <t>APR</t>
        </is>
      </c>
      <c r="F7" s="5" t="inlineStr">
        <is>
          <t>MAY</t>
        </is>
      </c>
      <c r="G7" s="5" t="inlineStr">
        <is>
          <t>JUN</t>
        </is>
      </c>
      <c r="H7" s="5" t="inlineStr">
        <is>
          <t>JUL</t>
        </is>
      </c>
      <c r="I7" s="5" t="inlineStr">
        <is>
          <t>AUG</t>
        </is>
      </c>
      <c r="J7" s="5" t="inlineStr">
        <is>
          <t>SEPT</t>
        </is>
      </c>
      <c r="K7" s="5" t="inlineStr">
        <is>
          <t>OCT</t>
        </is>
      </c>
      <c r="L7" s="5" t="inlineStr">
        <is>
          <t>NOV</t>
        </is>
      </c>
      <c r="M7" s="5" t="inlineStr">
        <is>
          <t>DEC</t>
        </is>
      </c>
      <c r="N7" s="5" t="inlineStr">
        <is>
          <t>YR TOTAL</t>
        </is>
      </c>
    </row>
    <row r="8">
      <c r="A8" t="inlineStr">
        <is>
          <t>Supplies (office and operating)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>
        <f>SUM(B8:M8)</f>
        <v/>
      </c>
    </row>
    <row r="9">
      <c r="A9" t="inlineStr">
        <is>
          <t>Office Construction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>
        <f>SUM(B9:M9)</f>
        <v/>
      </c>
    </row>
    <row r="10">
      <c r="A10" t="inlineStr">
        <is>
          <t>Office Interior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>
        <f>SUM(B10:M10)</f>
        <v/>
      </c>
    </row>
    <row r="11">
      <c r="A11" t="inlineStr">
        <is>
          <t>Office Furniture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>
        <f>SUM(B11:M11)</f>
        <v/>
      </c>
    </row>
    <row r="12">
      <c r="A12" t="inlineStr">
        <is>
          <t>Repairs and maintenance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>
        <f>SUM(B12:M12)</f>
        <v/>
      </c>
    </row>
    <row r="13">
      <c r="A13" t="inlineStr">
        <is>
          <t>Advertising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>
        <f>SUM(B13:M13)</f>
        <v/>
      </c>
    </row>
    <row r="14">
      <c r="A14" t="inlineStr">
        <is>
          <t>Travel, Meals, and Entertainment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>
        <f>SUM(B14:M14)</f>
        <v/>
      </c>
    </row>
    <row r="15">
      <c r="A15" t="inlineStr">
        <is>
          <t>Accounting and legal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>
        <f>SUM(B15:M15)</f>
        <v/>
      </c>
    </row>
    <row r="16">
      <c r="A16" t="inlineStr">
        <is>
          <t>Cellphone and Internet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>
        <f>SUM(B16:M16)</f>
        <v/>
      </c>
    </row>
    <row r="17">
      <c r="A17" t="inlineStr">
        <is>
          <t>Software Fees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>
        <f>SUM(B17:M17)</f>
        <v/>
      </c>
    </row>
    <row r="18">
      <c r="A18" t="inlineStr">
        <is>
          <t>Tech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>
        <f>SUM(B18:M18)</f>
        <v/>
      </c>
    </row>
    <row r="19">
      <c r="A19" t="inlineStr">
        <is>
          <t>Consultant Fees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>
        <f>SUM(B19:M19)</f>
        <v/>
      </c>
    </row>
    <row r="20">
      <c r="A20" t="inlineStr">
        <is>
          <t>Inventory / Art purchases (prefer Art Sales COGS — avoid double count)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>
        <f>SUM(B20:M20)</f>
        <v/>
      </c>
    </row>
    <row r="21">
      <c r="A21" t="inlineStr">
        <is>
          <t>Business Expense (Mercury category rollup)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s="3" t="n">
        <v>334.17</v>
      </c>
      <c r="I21" t="n">
        <v>0</v>
      </c>
      <c r="J21" t="n">
        <v>0</v>
      </c>
      <c r="K21" s="3" t="n">
        <v>8658.629999999999</v>
      </c>
      <c r="L21" s="3" t="n">
        <v>8000</v>
      </c>
      <c r="M21" s="3" t="n">
        <v>8146.75</v>
      </c>
      <c r="N21">
        <f>SUM(B21:M21)</f>
        <v/>
      </c>
    </row>
    <row r="22">
      <c r="A22" t="inlineStr">
        <is>
          <t>Utilities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>
        <f>SUM(B22:M22)</f>
        <v/>
      </c>
    </row>
    <row r="23">
      <c r="A23" t="inlineStr">
        <is>
          <t>Insurance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>
        <f>SUM(B23:M23)</f>
        <v/>
      </c>
    </row>
    <row r="24">
      <c r="A24" t="inlineStr">
        <is>
          <t>TOTAL EXPENSES</t>
        </is>
      </c>
      <c r="B24">
        <f>SUM(B8:B23)</f>
        <v/>
      </c>
      <c r="C24">
        <f>SUM(C8:C23)</f>
        <v/>
      </c>
      <c r="D24">
        <f>SUM(D8:D23)</f>
        <v/>
      </c>
      <c r="E24">
        <f>SUM(E8:E23)</f>
        <v/>
      </c>
      <c r="F24">
        <f>SUM(F8:F23)</f>
        <v/>
      </c>
      <c r="G24">
        <f>SUM(G8:G23)</f>
        <v/>
      </c>
      <c r="H24">
        <f>SUM(H8:H23)</f>
        <v/>
      </c>
      <c r="I24">
        <f>SUM(I8:I23)</f>
        <v/>
      </c>
      <c r="J24">
        <f>SUM(J8:J23)</f>
        <v/>
      </c>
      <c r="K24">
        <f>SUM(K8:K23)</f>
        <v/>
      </c>
      <c r="L24">
        <f>SUM(L8:L23)</f>
        <v/>
      </c>
      <c r="M24">
        <f>SUM(M8:M23)</f>
        <v/>
      </c>
      <c r="N24">
        <f>SUM(B24:M24)</f>
        <v/>
      </c>
    </row>
    <row r="26">
      <c r="A26" t="inlineStr">
        <is>
          <t>YEAR TO DATE LESS EXPENSES</t>
        </is>
      </c>
      <c r="B26">
        <f>B5-B24</f>
        <v/>
      </c>
      <c r="C26">
        <f>C5-C24</f>
        <v/>
      </c>
      <c r="D26">
        <f>D5-D24</f>
        <v/>
      </c>
      <c r="E26">
        <f>E5-E24</f>
        <v/>
      </c>
      <c r="F26">
        <f>F5-F24</f>
        <v/>
      </c>
      <c r="G26">
        <f>G5-G24</f>
        <v/>
      </c>
      <c r="H26">
        <f>H5-H24</f>
        <v/>
      </c>
      <c r="I26">
        <f>I5-I24</f>
        <v/>
      </c>
      <c r="J26">
        <f>J5-J24</f>
        <v/>
      </c>
      <c r="K26">
        <f>K5-K24</f>
        <v/>
      </c>
      <c r="L26">
        <f>L5-L24</f>
        <v/>
      </c>
      <c r="M26">
        <f>M5-M24</f>
        <v/>
      </c>
      <c r="N26">
        <f>SUM(B26:M26)</f>
        <v/>
      </c>
    </row>
    <row r="28">
      <c r="A28" s="4" t="inlineStr">
        <is>
          <t>COGS for art objects = Cost column on Art Sales and Purchases tab (not this rollup).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8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7" t="inlineStr">
        <is>
          <t>Sales 2025 — COGS = Cost column; Net Income = Sale Price − Cost</t>
        </is>
      </c>
    </row>
    <row r="2">
      <c r="A2" s="5" t="inlineStr">
        <is>
          <t>Object</t>
        </is>
      </c>
      <c r="B2" s="5" t="inlineStr">
        <is>
          <t>From</t>
        </is>
      </c>
      <c r="C2" s="5" t="inlineStr">
        <is>
          <t>Cost (COGS)</t>
        </is>
      </c>
      <c r="D2" s="5" t="inlineStr">
        <is>
          <t>Purchase Date</t>
        </is>
      </c>
      <c r="E2" s="5" t="inlineStr">
        <is>
          <t>To</t>
        </is>
      </c>
      <c r="F2" s="5" t="inlineStr">
        <is>
          <t>Sale Price</t>
        </is>
      </c>
      <c r="G2" s="5" t="inlineStr">
        <is>
          <t>Sale Date</t>
        </is>
      </c>
      <c r="H2" s="5" t="inlineStr">
        <is>
          <t>Net Income</t>
        </is>
      </c>
      <c r="I2" s="5" t="inlineStr">
        <is>
          <t>ROI</t>
        </is>
      </c>
    </row>
    <row r="3">
      <c r="A3" t="inlineStr">
        <is>
          <t>A Group of 10 Engraved Gems</t>
        </is>
      </c>
      <c r="B3" t="inlineStr">
        <is>
          <t>Erdal Dere</t>
        </is>
      </c>
      <c r="C3" s="3" t="n">
        <v>1000</v>
      </c>
      <c r="E3" t="inlineStr">
        <is>
          <t>Harlan J. Berk</t>
        </is>
      </c>
      <c r="F3" s="4" t="n"/>
      <c r="G3" s="8" t="n">
        <v>45695</v>
      </c>
      <c r="H3">
        <f>IF(OR(F3="",C3=""),"",F3-C3)</f>
        <v/>
      </c>
      <c r="I3">
        <f>IF(OR(H3="",C3=0),"",H3/C3)</f>
        <v/>
      </c>
    </row>
    <row r="4">
      <c r="A4" t="inlineStr">
        <is>
          <t>A Greek Amber(?) Ram's Head Protome</t>
        </is>
      </c>
      <c r="B4" t="inlineStr">
        <is>
          <t>Erdal Dere</t>
        </is>
      </c>
      <c r="C4" s="3" t="n">
        <v>300</v>
      </c>
      <c r="E4" t="inlineStr">
        <is>
          <t>Harlan J. Berk</t>
        </is>
      </c>
      <c r="F4" s="4" t="n"/>
      <c r="G4" s="8" t="n">
        <v>45695</v>
      </c>
      <c r="H4">
        <f>IF(OR(F4="",C4=""),"",F4-C4)</f>
        <v/>
      </c>
      <c r="I4">
        <f>IF(OR(H4="",C4=0),"",H4/C4)</f>
        <v/>
      </c>
    </row>
    <row r="5">
      <c r="A5" t="inlineStr">
        <is>
          <t>A Stone Cylinder Seal</t>
        </is>
      </c>
      <c r="B5" t="inlineStr">
        <is>
          <t>Estate Sale</t>
        </is>
      </c>
      <c r="C5" s="3" t="n">
        <v>300</v>
      </c>
      <c r="E5" t="inlineStr">
        <is>
          <t>Harlan J. Berk</t>
        </is>
      </c>
      <c r="F5" s="4" t="n"/>
      <c r="G5" s="8" t="n">
        <v>45695</v>
      </c>
      <c r="H5">
        <f>IF(OR(F5="",C5=""),"",F5-C5)</f>
        <v/>
      </c>
      <c r="I5">
        <f>IF(OR(H5="",C5=0),"",H5/C5)</f>
        <v/>
      </c>
    </row>
    <row r="6">
      <c r="A6" t="inlineStr">
        <is>
          <t>Commission on Cypriot Head</t>
        </is>
      </c>
      <c r="B6" t="inlineStr">
        <is>
          <t>Asher Edelman</t>
        </is>
      </c>
      <c r="C6" s="3" t="n">
        <v>1000</v>
      </c>
      <c r="E6" t="inlineStr">
        <is>
          <t>Harlan J. Berk</t>
        </is>
      </c>
      <c r="F6" s="4" t="n"/>
      <c r="G6" s="8" t="n">
        <v>45695</v>
      </c>
      <c r="H6">
        <f>IF(OR(F6="",C6=""),"",F6-C6)</f>
        <v/>
      </c>
      <c r="I6">
        <f>IF(OR(H6="",C6=0),"",H6/C6)</f>
        <v/>
      </c>
    </row>
    <row r="7">
      <c r="A7" t="inlineStr">
        <is>
          <t>Commission on Seal Collection</t>
        </is>
      </c>
      <c r="B7" t="inlineStr">
        <is>
          <t>Erdal Dere</t>
        </is>
      </c>
      <c r="C7" s="3" t="n">
        <v>1000</v>
      </c>
      <c r="E7" t="inlineStr">
        <is>
          <t>Harlan J. Berk</t>
        </is>
      </c>
      <c r="F7" s="4" t="n"/>
      <c r="G7" s="8" t="n">
        <v>45695</v>
      </c>
      <c r="H7">
        <f>IF(OR(F7="",C7=""),"",F7-C7)</f>
        <v/>
      </c>
      <c r="I7">
        <f>IF(OR(H7="",C7=0),"",H7/C7)</f>
        <v/>
      </c>
    </row>
    <row r="8">
      <c r="A8" t="inlineStr">
        <is>
          <t>Scythian Faience Horse Plaque</t>
        </is>
      </c>
      <c r="B8" t="inlineStr">
        <is>
          <t>Estate Sale</t>
        </is>
      </c>
      <c r="C8" s="3" t="n">
        <v>1000</v>
      </c>
      <c r="E8" t="inlineStr">
        <is>
          <t>Harlan J. Berk</t>
        </is>
      </c>
      <c r="F8" s="4" t="n"/>
      <c r="G8" s="8" t="n">
        <v>45695</v>
      </c>
      <c r="H8">
        <f>IF(OR(F8="",C8=""),"",F8-C8)</f>
        <v/>
      </c>
      <c r="I8">
        <f>IF(OR(H8="",C8=0),"",H8/C8)</f>
        <v/>
      </c>
    </row>
    <row r="9">
      <c r="A9" t="inlineStr">
        <is>
          <t>Syro-Hittite Terracotta Figure</t>
        </is>
      </c>
      <c r="B9" t="inlineStr">
        <is>
          <t>Estate Sale</t>
        </is>
      </c>
      <c r="C9" s="3" t="n">
        <v>600</v>
      </c>
      <c r="E9" t="inlineStr">
        <is>
          <t>Harlan J. Berk</t>
        </is>
      </c>
      <c r="F9" s="4" t="n"/>
      <c r="G9" s="8" t="n">
        <v>45695</v>
      </c>
      <c r="H9">
        <f>IF(OR(F9="",C9=""),"",F9-C9)</f>
        <v/>
      </c>
      <c r="I9">
        <f>IF(OR(H9="",C9=0),"",H9/C9)</f>
        <v/>
      </c>
    </row>
    <row r="10">
      <c r="A10" t="inlineStr">
        <is>
          <t>A Group of 6 Roman Oil Lamps</t>
        </is>
      </c>
      <c r="B10" t="inlineStr">
        <is>
          <t>Estate Sale</t>
        </is>
      </c>
      <c r="C10" s="3" t="n">
        <v>600</v>
      </c>
      <c r="E10" t="inlineStr">
        <is>
          <t>Harlan J. Berk</t>
        </is>
      </c>
      <c r="F10" s="4" t="n"/>
      <c r="G10" s="8" t="n">
        <v>45695</v>
      </c>
      <c r="H10">
        <f>IF(OR(F10="",C10=""),"",F10-C10)</f>
        <v/>
      </c>
      <c r="I10">
        <f>IF(OR(H10="",C10=0),"",H10/C10)</f>
        <v/>
      </c>
    </row>
    <row r="11">
      <c r="A11" t="inlineStr">
        <is>
          <t>A Cypriot Limestine Head</t>
        </is>
      </c>
      <c r="B11" t="inlineStr">
        <is>
          <t>Estate Sale</t>
        </is>
      </c>
      <c r="C11" s="3" t="n">
        <v>1000</v>
      </c>
      <c r="E11" t="inlineStr">
        <is>
          <t>Harlan J. Berk</t>
        </is>
      </c>
      <c r="F11" s="4" t="n"/>
      <c r="G11" s="8" t="n">
        <v>45695</v>
      </c>
      <c r="H11">
        <f>IF(OR(F11="",C11=""),"",F11-C11)</f>
        <v/>
      </c>
      <c r="I11">
        <f>IF(OR(H11="",C11=0),"",H11/C11)</f>
        <v/>
      </c>
    </row>
    <row r="12">
      <c r="A12" t="inlineStr">
        <is>
          <t>A Roman Marble Torso</t>
        </is>
      </c>
      <c r="B12" t="inlineStr">
        <is>
          <t>William Pearlstein</t>
        </is>
      </c>
      <c r="C12" s="3" t="n">
        <v>4000</v>
      </c>
      <c r="E12" t="inlineStr">
        <is>
          <t>Harlan J. Berk</t>
        </is>
      </c>
      <c r="F12" s="4" t="n"/>
      <c r="G12" s="8" t="n">
        <v>45695</v>
      </c>
      <c r="H12">
        <f>IF(OR(F12="",C12=""),"",F12-C12)</f>
        <v/>
      </c>
      <c r="I12">
        <f>IF(OR(H12="",C12=0),"",H12/C12)</f>
        <v/>
      </c>
    </row>
    <row r="13">
      <c r="A13" t="inlineStr">
        <is>
          <t>Cypriot Bichrome Juglet</t>
        </is>
      </c>
      <c r="B13" t="inlineStr">
        <is>
          <t>Live Auctioneers</t>
        </is>
      </c>
      <c r="C13" s="3" t="n">
        <v>600</v>
      </c>
      <c r="E13" t="inlineStr">
        <is>
          <t>Harlan J. Berk</t>
        </is>
      </c>
      <c r="F13" s="4" t="n"/>
      <c r="G13" s="8" t="n">
        <v>45695</v>
      </c>
      <c r="H13">
        <f>IF(OR(F13="",C13=""),"",F13-C13)</f>
        <v/>
      </c>
      <c r="I13">
        <f>IF(OR(H13="",C13=0),"",H13/C13)</f>
        <v/>
      </c>
    </row>
    <row r="14">
      <c r="A14" t="inlineStr">
        <is>
          <t>An Attic Black-Figured Fragment</t>
        </is>
      </c>
      <c r="B14" t="inlineStr">
        <is>
          <t>Hindman</t>
        </is>
      </c>
      <c r="C14" s="3" t="n">
        <v>334.44</v>
      </c>
      <c r="D14" s="8" t="n">
        <v>45071</v>
      </c>
      <c r="E14" t="inlineStr">
        <is>
          <t>Harlan J. Berk</t>
        </is>
      </c>
      <c r="F14" s="4" t="n"/>
      <c r="G14" s="8" t="n">
        <v>45695</v>
      </c>
      <c r="H14">
        <f>IF(OR(F14="",C14=""),"",F14-C14)</f>
        <v/>
      </c>
      <c r="I14">
        <f>IF(OR(H14="",C14=0),"",H14/C14)</f>
        <v/>
      </c>
    </row>
    <row r="15">
      <c r="A15" t="inlineStr">
        <is>
          <t>A Luristan Bronze Ibex</t>
        </is>
      </c>
      <c r="B15" t="inlineStr">
        <is>
          <t>Hindman</t>
        </is>
      </c>
      <c r="C15" s="3" t="n">
        <v>234.44</v>
      </c>
      <c r="D15" s="8" t="n">
        <v>45071</v>
      </c>
      <c r="E15" t="inlineStr">
        <is>
          <t>Harlan J. Berk</t>
        </is>
      </c>
      <c r="F15" s="4" t="n"/>
      <c r="G15" s="8" t="n">
        <v>45695</v>
      </c>
      <c r="H15">
        <f>IF(OR(F15="",C15=""),"",F15-C15)</f>
        <v/>
      </c>
      <c r="I15">
        <f>IF(OR(H15="",C15=0),"",H15/C15)</f>
        <v/>
      </c>
    </row>
    <row r="16">
      <c r="A16" t="inlineStr">
        <is>
          <t>An Egyptian Swivel Ring with Scarab</t>
        </is>
      </c>
      <c r="B16" t="inlineStr">
        <is>
          <t>Live Auctioneers</t>
        </is>
      </c>
      <c r="C16" s="3" t="n">
        <v>2228.76</v>
      </c>
      <c r="E16" t="inlineStr">
        <is>
          <t>Harlan J. Berk</t>
        </is>
      </c>
      <c r="F16" s="4" t="n"/>
      <c r="G16" s="8" t="n">
        <v>45695</v>
      </c>
      <c r="H16">
        <f>IF(OR(F16="",C16=""),"",F16-C16)</f>
        <v/>
      </c>
      <c r="I16">
        <f>IF(OR(H16="",C16=0),"",H16/C16)</f>
        <v/>
      </c>
    </row>
    <row r="17">
      <c r="A17" t="inlineStr">
        <is>
          <t>A Canosan Terracotta Horse</t>
        </is>
      </c>
      <c r="B17" t="inlineStr">
        <is>
          <t>Hindman</t>
        </is>
      </c>
      <c r="C17" s="3" t="n">
        <v>1000</v>
      </c>
      <c r="E17" t="inlineStr">
        <is>
          <t>Harlan J. Berk</t>
        </is>
      </c>
      <c r="F17" s="4" t="n"/>
      <c r="G17" s="8" t="n">
        <v>45695</v>
      </c>
      <c r="H17">
        <f>IF(OR(F17="",C17=""),"",F17-C17)</f>
        <v/>
      </c>
      <c r="I17">
        <f>IF(OR(H17="",C17=0),"",H17/C17)</f>
        <v/>
      </c>
    </row>
    <row r="18">
      <c r="A18" t="inlineStr">
        <is>
          <t>An Attic Black-Figured Column-Krater</t>
        </is>
      </c>
      <c r="B18" t="inlineStr">
        <is>
          <t>Antiquarium/Benningson</t>
        </is>
      </c>
      <c r="C18" s="3" t="n">
        <v>4500</v>
      </c>
      <c r="D18" s="8" t="n">
        <v>45275</v>
      </c>
      <c r="E18" t="inlineStr">
        <is>
          <t>Harlan J. Berk</t>
        </is>
      </c>
      <c r="F18" s="4" t="n"/>
      <c r="G18" s="8" t="n">
        <v>45695</v>
      </c>
      <c r="H18">
        <f>IF(OR(F18="",C18=""),"",F18-C18)</f>
        <v/>
      </c>
      <c r="I18">
        <f>IF(OR(H18="",C18=0),"",H18/C18)</f>
        <v/>
      </c>
    </row>
    <row r="19">
      <c r="A19" t="inlineStr">
        <is>
          <t>Roman Marble Base with Foot</t>
        </is>
      </c>
      <c r="B19" t="inlineStr">
        <is>
          <t>Arte Primitivo</t>
        </is>
      </c>
      <c r="C19" s="3" t="n">
        <v>500</v>
      </c>
      <c r="E19" t="inlineStr">
        <is>
          <t>Harlan J. Berk</t>
        </is>
      </c>
      <c r="F19" s="4" t="n"/>
      <c r="G19" s="8" t="n">
        <v>45695</v>
      </c>
      <c r="H19">
        <f>IF(OR(F19="",C19=""),"",F19-C19)</f>
        <v/>
      </c>
      <c r="I19">
        <f>IF(OR(H19="",C19=0),"",H19/C19)</f>
        <v/>
      </c>
    </row>
    <row r="20">
      <c r="A20" t="inlineStr">
        <is>
          <t>Neolithic Flint Celt</t>
        </is>
      </c>
      <c r="B20" t="inlineStr">
        <is>
          <t>Arte Primitivo</t>
        </is>
      </c>
      <c r="C20" s="3" t="n">
        <v>195.78</v>
      </c>
      <c r="D20" s="8" t="n">
        <v>44908</v>
      </c>
      <c r="E20" t="inlineStr">
        <is>
          <t>Harlan J. Berk</t>
        </is>
      </c>
      <c r="F20" s="4" t="n"/>
      <c r="G20" s="8" t="n">
        <v>45695</v>
      </c>
      <c r="H20">
        <f>IF(OR(F20="",C20=""),"",F20-C20)</f>
        <v/>
      </c>
      <c r="I20">
        <f>IF(OR(H20="",C20=0),"",H20/C20)</f>
        <v/>
      </c>
    </row>
    <row r="21">
      <c r="A21" t="inlineStr">
        <is>
          <t>Neolithic Danish Chert Adze</t>
        </is>
      </c>
      <c r="B21" t="inlineStr">
        <is>
          <t>Live Auctioneers</t>
        </is>
      </c>
      <c r="C21" s="3" t="n">
        <v>311.25</v>
      </c>
      <c r="D21" s="8" t="n">
        <v>44284</v>
      </c>
      <c r="E21" t="inlineStr">
        <is>
          <t>Harlan J. Berk</t>
        </is>
      </c>
      <c r="F21" s="4" t="n"/>
      <c r="G21" s="8" t="n">
        <v>45695</v>
      </c>
      <c r="H21">
        <f>IF(OR(F21="",C21=""),"",F21-C21)</f>
        <v/>
      </c>
      <c r="I21">
        <f>IF(OR(H21="",C21=0),"",H21/C21)</f>
        <v/>
      </c>
    </row>
    <row r="22">
      <c r="A22" t="inlineStr">
        <is>
          <t>Three Lots from Lithics Sale</t>
        </is>
      </c>
      <c r="B22" t="inlineStr">
        <is>
          <t>Hindman</t>
        </is>
      </c>
      <c r="C22" s="3" t="n">
        <v>2240.27</v>
      </c>
      <c r="D22" s="8" t="n">
        <v>45356</v>
      </c>
      <c r="E22" t="inlineStr">
        <is>
          <t>Harlan J. Berk</t>
        </is>
      </c>
      <c r="F22" s="4" t="n"/>
      <c r="G22" s="8" t="n">
        <v>45695</v>
      </c>
      <c r="H22">
        <f>IF(OR(F22="",C22=""),"",F22-C22)</f>
        <v/>
      </c>
      <c r="I22">
        <f>IF(OR(H22="",C22=0),"",H22/C22)</f>
        <v/>
      </c>
    </row>
    <row r="23">
      <c r="C23" s="3">
        <f>SUM(C51:C70)</f>
        <v/>
      </c>
      <c r="F23" t="n">
        <v>30000</v>
      </c>
      <c r="H23">
        <f>IF(OR(F23="",C23=""),"",F23-C23)</f>
        <v/>
      </c>
      <c r="I23">
        <f>IF(OR(H23="",C23=0),"",H23/C23)</f>
        <v/>
      </c>
    </row>
    <row r="24">
      <c r="A24" t="inlineStr">
        <is>
          <t>Total</t>
        </is>
      </c>
      <c r="C24">
        <f>SUM(C3:C23)</f>
        <v/>
      </c>
      <c r="F24">
        <f>SUM(F3:F23)</f>
        <v/>
      </c>
      <c r="H24">
        <f>SUM(H3:H23)</f>
        <v/>
      </c>
    </row>
    <row r="26">
      <c r="A26" s="4" t="inlineStr">
        <is>
          <t>Yellow Sale Price = still need buyer invoices. Green Cost = COGS already entered.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GCM / Gates 2025</t>
        </is>
      </c>
    </row>
    <row r="2">
      <c r="A2" t="inlineStr">
        <is>
          <t>Fees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</row>
    <row r="3">
      <c r="A3" t="inlineStr">
        <is>
          <t>1099-NEC Gates Capital $21,500 (quarterly split TBD)</t>
        </is>
      </c>
      <c r="B3" s="4" t="n"/>
      <c r="C3" s="4" t="n"/>
      <c r="D3" s="4" t="n"/>
      <c r="E3" s="4" t="n"/>
    </row>
    <row r="4">
      <c r="A4" t="inlineStr">
        <is>
          <t>Grand Total (1099 on file)</t>
        </is>
      </c>
      <c r="E4" s="3" t="n">
        <v>21500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W-2 / Paychecks 2025</t>
        </is>
      </c>
    </row>
    <row r="2">
      <c r="A2" t="inlineStr">
        <is>
          <t>Income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</row>
    <row r="3">
      <c r="A3" t="inlineStr">
        <is>
          <t>Monarch net deposits (Hindman+Freeman)</t>
        </is>
      </c>
      <c r="B3" s="3" t="n">
        <v>17527.97</v>
      </c>
      <c r="C3" s="3" t="n">
        <v>17664.52</v>
      </c>
      <c r="D3" s="3" t="n">
        <v>17664.52</v>
      </c>
      <c r="E3" s="3" t="n">
        <v>17760.99</v>
      </c>
    </row>
    <row r="4">
      <c r="A4" t="inlineStr">
        <is>
          <t>Form W-2 Box 1 wages</t>
        </is>
      </c>
      <c r="E4" s="4" t="n"/>
    </row>
    <row r="5">
      <c r="A5" t="inlineStr">
        <is>
          <t>Total Monarch deposits</t>
        </is>
      </c>
      <c r="E5" s="3" t="n">
        <v>70618</v>
      </c>
    </row>
    <row r="7">
      <c r="A7" t="inlineStr">
        <is>
          <t>Use Form W-2 PDF in Drive 07 for the return. Monarch is cash deposits only.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Megan's Income 2025</t>
        </is>
      </c>
    </row>
    <row r="2">
      <c r="A2" s="4" t="inlineStr">
        <is>
          <t>TBD — fill if applicable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Fidelity SEP IRA</t>
        </is>
      </c>
    </row>
    <row r="2">
      <c r="A2" t="inlineStr">
        <is>
          <t>ML UTMA EMMA</t>
        </is>
      </c>
    </row>
    <row r="3">
      <c r="A3" t="inlineStr">
        <is>
          <t>ML UTMA PHOEBE</t>
        </is>
      </c>
    </row>
    <row r="5">
      <c r="A5" t="inlineStr">
        <is>
          <t>UTMA brokerage PDF on file in Drive 07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>
      <c r="A1" s="7" t="inlineStr">
        <is>
          <t>524 Home Sale</t>
        </is>
      </c>
    </row>
    <row r="3">
      <c r="A3" t="inlineStr">
        <is>
          <t>Item</t>
        </is>
      </c>
      <c r="B3" t="inlineStr">
        <is>
          <t>Amount</t>
        </is>
      </c>
      <c r="C3" t="inlineStr">
        <is>
          <t>Status</t>
        </is>
      </c>
    </row>
    <row r="4">
      <c r="A4" t="inlineStr">
        <is>
          <t>Sale date</t>
        </is>
      </c>
      <c r="B4" s="3" t="inlineStr">
        <is>
          <t>2025-12-18</t>
        </is>
      </c>
      <c r="C4" t="inlineStr">
        <is>
          <t>LOCKED</t>
        </is>
      </c>
    </row>
    <row r="5">
      <c r="A5" t="inlineStr">
        <is>
          <t>Sale price</t>
        </is>
      </c>
      <c r="B5" s="3" t="n">
        <v>600000</v>
      </c>
      <c r="C5" t="inlineStr">
        <is>
          <t>LOCKED</t>
        </is>
      </c>
    </row>
    <row r="6">
      <c r="A6" t="inlineStr">
        <is>
          <t>Net to seller</t>
        </is>
      </c>
      <c r="B6" s="3" t="n">
        <v>216844.96</v>
      </c>
      <c r="C6" t="inlineStr">
        <is>
          <t>LOCKED</t>
        </is>
      </c>
    </row>
    <row r="7">
      <c r="A7" t="inlineStr">
        <is>
          <t>USB payoff</t>
        </is>
      </c>
      <c r="B7" s="3" t="n">
        <v>340911.17</v>
      </c>
      <c r="C7" t="inlineStr">
        <is>
          <t>LOCKED</t>
        </is>
      </c>
    </row>
    <row r="8">
      <c r="A8" t="inlineStr">
        <is>
          <t>Commission Living Well</t>
        </is>
      </c>
      <c r="B8" s="3" t="n">
        <v>15000</v>
      </c>
      <c r="C8" t="inlineStr">
        <is>
          <t>LOCKED</t>
        </is>
      </c>
    </row>
    <row r="9">
      <c r="A9" t="inlineStr">
        <is>
          <t>Unit 2 basis (2023 4562)</t>
        </is>
      </c>
      <c r="B9" s="3" t="n">
        <v>203434</v>
      </c>
      <c r="C9" t="inlineStr">
        <is>
          <t>LOCKED</t>
        </is>
      </c>
    </row>
    <row r="10">
      <c r="A10" t="inlineStr">
        <is>
          <t>Unit 2 dep 2023</t>
        </is>
      </c>
      <c r="B10" s="3" t="n">
        <v>7090</v>
      </c>
      <c r="C10" t="inlineStr">
        <is>
          <t>LOCKED</t>
        </is>
      </c>
    </row>
    <row r="11">
      <c r="A11" t="inlineStr">
        <is>
          <t>Unit 2 dep 2024</t>
        </is>
      </c>
      <c r="B11" s="4" t="inlineStr">
        <is>
          <t>TBD — 2024 Form 1040</t>
        </is>
      </c>
      <c r="C11" t="inlineStr">
        <is>
          <t>TBD</t>
        </is>
      </c>
    </row>
    <row r="12">
      <c r="A12" t="inlineStr">
        <is>
          <t>Unit 2 dep 2025 stub</t>
        </is>
      </c>
      <c r="B12" s="4" t="inlineStr">
        <is>
          <t>TBD — CPA</t>
        </is>
      </c>
      <c r="C12" t="inlineStr">
        <is>
          <t>TBD</t>
        </is>
      </c>
    </row>
    <row r="13">
      <c r="A13" t="inlineStr">
        <is>
          <t>Sec 121 allocation %</t>
        </is>
      </c>
      <c r="B13" s="4" t="inlineStr">
        <is>
          <t>TBD — CPA</t>
        </is>
      </c>
      <c r="C13" t="inlineStr">
        <is>
          <t>TBD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>
      <c r="A1" s="7" t="inlineStr">
        <is>
          <t>827 Grove CapEx</t>
        </is>
      </c>
    </row>
    <row r="3">
      <c r="A3" t="inlineStr">
        <is>
          <t>Item</t>
        </is>
      </c>
      <c r="B3" t="inlineStr">
        <is>
          <t>Amount</t>
        </is>
      </c>
      <c r="C3" t="inlineStr">
        <is>
          <t>Status</t>
        </is>
      </c>
    </row>
    <row r="4">
      <c r="A4" t="inlineStr">
        <is>
          <t>Purchase close</t>
        </is>
      </c>
      <c r="B4" s="3" t="inlineStr">
        <is>
          <t>2025-12-18</t>
        </is>
      </c>
      <c r="C4" t="inlineStr">
        <is>
          <t>LOCKED</t>
        </is>
      </c>
    </row>
    <row r="5">
      <c r="A5" t="inlineStr">
        <is>
          <t>Purchase price</t>
        </is>
      </c>
      <c r="B5" s="3" t="n">
        <v>670000</v>
      </c>
      <c r="C5" t="inlineStr">
        <is>
          <t>LOCKED</t>
        </is>
      </c>
    </row>
    <row r="6">
      <c r="A6" t="inlineStr">
        <is>
          <t>TY2025 CapEx for return</t>
        </is>
      </c>
      <c r="B6" s="3" t="n">
        <v>53660</v>
      </c>
      <c r="C6" t="inlineStr">
        <is>
          <t>LOCKED</t>
        </is>
      </c>
    </row>
    <row r="7">
      <c r="A7" t="inlineStr">
        <is>
          <t>TY2026 CapEx</t>
        </is>
      </c>
      <c r="B7" s="3" t="n">
        <v>268532</v>
      </c>
      <c r="C7" t="inlineStr">
        <is>
          <t>LOCKED</t>
        </is>
      </c>
    </row>
    <row r="8">
      <c r="A8" t="inlineStr">
        <is>
          <t>CapEx UNKNOWN</t>
        </is>
      </c>
      <c r="B8" s="4" t="n">
        <v>9401.93</v>
      </c>
      <c r="C8" t="inlineStr">
        <is>
          <t>TBD</t>
        </is>
      </c>
    </row>
    <row r="9">
      <c r="A9" t="inlineStr">
        <is>
          <t>Radon on CD</t>
        </is>
      </c>
      <c r="B9" s="4" t="n">
        <v>2550</v>
      </c>
      <c r="C9" t="inlineStr">
        <is>
          <t>TBD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>
      <c r="A1" s="7" t="inlineStr">
        <is>
          <t>Childcare 2441</t>
        </is>
      </c>
    </row>
    <row r="3">
      <c r="A3" t="inlineStr">
        <is>
          <t>Item</t>
        </is>
      </c>
      <c r="B3" t="inlineStr">
        <is>
          <t>Amount</t>
        </is>
      </c>
      <c r="C3" t="inlineStr">
        <is>
          <t>Status</t>
        </is>
      </c>
    </row>
    <row r="4">
      <c r="A4" t="inlineStr">
        <is>
          <t>BrightWheel cash</t>
        </is>
      </c>
      <c r="B4" s="3" t="n">
        <v>30668.55</v>
      </c>
      <c r="C4" t="inlineStr">
        <is>
          <t>LOCKED</t>
        </is>
      </c>
    </row>
    <row r="5">
      <c r="A5" t="inlineStr">
        <is>
          <t>Aug prepaid both kids</t>
        </is>
      </c>
      <c r="B5" s="3" t="n">
        <v>23361.05</v>
      </c>
      <c r="C5" t="inlineStr">
        <is>
          <t>LOCKED</t>
        </is>
      </c>
    </row>
    <row r="6">
      <c r="A6" t="inlineStr">
        <is>
          <t>Kids Empire</t>
        </is>
      </c>
      <c r="B6" s="3" t="inlineStr">
        <is>
          <t>EXCLUDED 233.28</t>
        </is>
      </c>
      <c r="C6" t="inlineStr">
        <is>
          <t>LOCKED</t>
        </is>
      </c>
    </row>
    <row r="7">
      <c r="A7" t="inlineStr">
        <is>
          <t>Babysitting Zelle</t>
        </is>
      </c>
      <c r="B7" s="3" t="inlineStr">
        <is>
          <t>EXCLUDED 100</t>
        </is>
      </c>
      <c r="C7" t="inlineStr">
        <is>
          <t>LOCKED</t>
        </is>
      </c>
    </row>
    <row r="8">
      <c r="A8" t="inlineStr">
        <is>
          <t>BrightWheel EIN</t>
        </is>
      </c>
      <c r="B8" s="4" t="inlineStr">
        <is>
          <t>TBD</t>
        </is>
      </c>
      <c r="C8" t="inlineStr">
        <is>
          <t>TBD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2026-09-18T01:28:40Z</dcterms:created>
  <dcterms:modified xsi:type="dcterms:W3CDTF">2026-09-18T01:28:40Z</dcterms:modified>
</cp:coreProperties>
</file>