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11">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xf numFmtId="170" fontId="24" fillId="28" borderId="0" pivotButton="0" quotePrefix="0" xfId="0"/>
    <xf numFmtId="0" fontId="3" fillId="28"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1" authorId="0" shapeId="0">
      <text>
        <t>======
ID#AAABsxbhmK0
Jacob Coley    (2025-10-30 02:56:34)
2,000 for collection and 2,005
to Amyas for mount making</t>
      </text>
    </comment>
    <comment ref="C99"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Excludes Aquinas books $1,000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14.25" customHeight="1" s="137">
      <c r="A39" s="0" t="inlineStr">
        <is>
          <t>2025: platform STR net on RENTAL INCOME (Jun–Nov). TruGreen/Alsip on YARD SERVICE (same as 2024). Grove Collaborative on SUPPLIES. State Farm HOME share only on INSURANCE.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147"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14.25" customHeight="1" s="137">
      <c r="B64" s="150" t="inlineStr">
        <is>
          <t>Insurance — Lemonade $514 cash 10/3 on Megan Chase (yellow: confirm 216 policy). 2024 was $35.08/mo renter's.</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136000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MATCHED/LOCKED cash (Berk $14,000 Jan + Berk $30,000 / mosaics $105,000 / Aquinas books $1,000 Feb = $150,000). Consultant June $13,595 = David Aaron Limited LOCKED (user: consultant fee, not a sale). Consultant Fees July $334.17 + October $658.63 = Wise expertise write-ups LOCKED ($992.80). EOEB remainder $130,270.00 and L5 $87,396.32 MIXED PATTERN CONFIRMED (art sales + advisory/consultant) — invoice-level split still ASK; not dumped onto Consultant or Art Sales. Koziol/Ariadne $150,000 LOCKED pass-through — not P&amp;L. Coinbase is Investments, not this tab. Newstar $23,581 is Art Sales COGS, not operating expense. Dec Wise $565.75 reimbursed — not on Consultant Fees. Aquinas books Cost TBD — cash on Art Sales, not in I8.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4"/>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181" t="inlineStr">
        <is>
          <t>Books (titles TBD)</t>
        </is>
      </c>
      <c r="B77" s="185" t="inlineStr">
        <is>
          <t>Cost TBD</t>
        </is>
      </c>
      <c r="C77" s="200" t="n"/>
      <c r="E77" s="181" t="inlineStr">
        <is>
          <t>Aquinas Hobor</t>
        </is>
      </c>
      <c r="F77" s="183" t="n">
        <v>1000</v>
      </c>
      <c r="G77" s="209" t="n">
        <v>45692</v>
      </c>
      <c r="H77" s="178">
        <f>IF(OR(F77="",C77=""),"",F77-C77)</f>
        <v/>
      </c>
      <c r="I77" s="190" t="inlineStr">
        <is>
          <t>LOCKED 2026-09-20: book SALE $1,000 on Mercury 8291. Cost TBD — not in Income I8 yet (same as Sale 6428). Titles TBD. Not tax advice.</t>
        </is>
      </c>
    </row>
    <row r="78" ht="48" customHeight="1" s="137">
      <c r="A78" s="210"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books sold — EPGC Art Sales February; Cost TBD (not in I8). Not tax advice.</t>
        </is>
      </c>
    </row>
    <row r="79" ht="14.25" customHeight="1" s="137">
      <c r="A79" s="199"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books sold — EPGC Art Sales February; Cost TBD (not in I8). Not tax advice.</t>
        </is>
      </c>
    </row>
    <row r="80" ht="14.25" customHeight="1" s="137">
      <c r="A80" s="119" t="inlineStr">
        <is>
          <t>Art Purchases/Inventory</t>
        </is>
      </c>
      <c r="B80" s="120" t="n"/>
      <c r="C80" s="100" t="n"/>
      <c r="D80" s="101" t="n"/>
      <c r="E80" s="99" t="n"/>
      <c r="F80" s="100" t="n"/>
      <c r="G80" s="101" t="n"/>
      <c r="H80" s="99" t="n"/>
      <c r="I80" s="121" t="n"/>
      <c r="J80" s="99" t="n"/>
      <c r="K80" s="99" t="n"/>
      <c r="L80" s="99" t="n"/>
      <c r="M80" s="99" t="n"/>
      <c r="N80" s="99" t="n"/>
      <c r="O80" s="99" t="n"/>
      <c r="P80" s="99" t="n"/>
      <c r="Q80" s="99" t="n"/>
      <c r="R80" s="99" t="n"/>
      <c r="S80" s="99" t="n"/>
      <c r="T80" s="99" t="n"/>
      <c r="U80" s="99" t="n"/>
      <c r="V80" s="99" t="n"/>
      <c r="W80" s="99" t="n"/>
      <c r="X80" s="99" t="n"/>
      <c r="Y80" s="99" t="n"/>
      <c r="Z80" s="99" t="n"/>
    </row>
    <row r="81" ht="14.25" customHeight="1" s="137">
      <c r="A81" s="122" t="inlineStr">
        <is>
          <t>30 Paleothic and Neolithic Stone Tools</t>
        </is>
      </c>
      <c r="B81" s="116" t="inlineStr">
        <is>
          <t>Holestein</t>
        </is>
      </c>
      <c r="C81" s="88" t="n">
        <v>4000</v>
      </c>
      <c r="E81" s="105" t="n"/>
    </row>
    <row r="82" ht="14.25" customHeight="1" s="137">
      <c r="A82" s="122" t="inlineStr">
        <is>
          <t>A Tairona Figure</t>
        </is>
      </c>
      <c r="B82" s="116" t="inlineStr">
        <is>
          <t>Live Auctioneers</t>
        </is>
      </c>
      <c r="C82" s="88" t="n">
        <v>250</v>
      </c>
      <c r="D82" s="92" t="n">
        <v>45119</v>
      </c>
      <c r="E82" s="105" t="n"/>
    </row>
    <row r="83" ht="14.25" customHeight="1" s="137">
      <c r="A83" s="122" t="inlineStr">
        <is>
          <t>A Tairona Figure</t>
        </is>
      </c>
      <c r="B83" s="116" t="inlineStr">
        <is>
          <t>Live Auctioneers</t>
        </is>
      </c>
      <c r="C83" s="88" t="n">
        <v>300</v>
      </c>
      <c r="D83" s="92" t="n">
        <v>45119</v>
      </c>
      <c r="E83" s="105" t="n"/>
    </row>
    <row r="84" ht="14.25" customHeight="1" s="137">
      <c r="A84" s="122" t="inlineStr">
        <is>
          <t>A Pair of Greek Bronze Greeves</t>
        </is>
      </c>
      <c r="B84" s="116" t="inlineStr">
        <is>
          <t>ebay</t>
        </is>
      </c>
      <c r="C84" s="88" t="n">
        <v>200</v>
      </c>
      <c r="D84" s="92" t="n">
        <v>45145</v>
      </c>
      <c r="E84" s="105" t="n"/>
    </row>
    <row r="85" ht="14.25" customHeight="1" s="137">
      <c r="A85" s="122" t="inlineStr">
        <is>
          <t>An Illyrian Bronze Helmet</t>
        </is>
      </c>
      <c r="B85" s="116" t="inlineStr">
        <is>
          <t>ebay</t>
        </is>
      </c>
      <c r="C85" s="88" t="n">
        <v>551.25</v>
      </c>
      <c r="D85" s="92" t="n">
        <v>45114</v>
      </c>
      <c r="E85" s="105" t="n"/>
    </row>
    <row r="86" ht="14.25" customHeight="1" s="137">
      <c r="A86" s="122" t="inlineStr">
        <is>
          <t>An Egyptian Faience Ibis</t>
        </is>
      </c>
      <c r="B86" s="104" t="inlineStr">
        <is>
          <t>Hindman</t>
        </is>
      </c>
      <c r="C86" s="88" t="n">
        <v>375</v>
      </c>
      <c r="D86" s="92" t="n">
        <v>44343</v>
      </c>
      <c r="E86" s="92" t="n"/>
      <c r="F86" s="88" t="n"/>
      <c r="I86" s="105" t="n"/>
    </row>
    <row r="87" ht="14.25" customHeight="1" s="137">
      <c r="A87" s="122" t="inlineStr">
        <is>
          <t>African Stone Bracelet Upper Volta River 1 0f 4</t>
        </is>
      </c>
      <c r="B87" s="104" t="inlineStr">
        <is>
          <t>Live Auctioneers</t>
        </is>
      </c>
      <c r="C87" s="88" t="n">
        <v>293</v>
      </c>
      <c r="D87" s="92" t="n">
        <v>44548</v>
      </c>
      <c r="F87" s="88" t="n"/>
      <c r="I87" s="105" t="n"/>
    </row>
    <row r="88" ht="14.25" customHeight="1" s="137">
      <c r="A88" s="122" t="inlineStr">
        <is>
          <t>African Stone Bracelet Upper Volta River 2 0f 4</t>
        </is>
      </c>
      <c r="B88" s="104" t="inlineStr">
        <is>
          <t>Live Auctioneers</t>
        </is>
      </c>
      <c r="C88" s="88" t="n">
        <v>293</v>
      </c>
      <c r="D88" s="92" t="n">
        <v>44548</v>
      </c>
      <c r="F88" s="88" t="n"/>
      <c r="I88" s="105" t="n"/>
    </row>
    <row r="89" ht="14.25" customHeight="1" s="137">
      <c r="A89" s="122" t="inlineStr">
        <is>
          <t>African Stone Bracelet Upper Volta River 4 0f 4</t>
        </is>
      </c>
      <c r="B89" s="104" t="inlineStr">
        <is>
          <t>Live Auctioneers</t>
        </is>
      </c>
      <c r="C89" s="88" t="n">
        <v>293</v>
      </c>
      <c r="D89" s="92" t="n">
        <v>44548</v>
      </c>
      <c r="F89" s="88" t="n"/>
      <c r="I89" s="105" t="n"/>
    </row>
    <row r="90" ht="14.25" customHeight="1" s="137">
      <c r="A90" s="122" t="inlineStr">
        <is>
          <t>A Saharan Stone Discoidal</t>
        </is>
      </c>
      <c r="B90" s="104" t="inlineStr">
        <is>
          <t>Pace African Art</t>
        </is>
      </c>
      <c r="C90" s="88" t="n">
        <v>1000</v>
      </c>
      <c r="D90" s="92" t="n">
        <v>44562</v>
      </c>
      <c r="F90" s="88" t="n"/>
      <c r="I90" s="105" t="n"/>
    </row>
    <row r="91" ht="14.25" customHeight="1" s="137">
      <c r="A91" s="122" t="inlineStr">
        <is>
          <t>Carved Ostrish Egg</t>
        </is>
      </c>
      <c r="B91" s="104" t="inlineStr">
        <is>
          <t xml:space="preserve">Etsy </t>
        </is>
      </c>
      <c r="C91" s="88" t="n">
        <v>90</v>
      </c>
      <c r="F91" s="88" t="n"/>
      <c r="I91" s="105" t="n"/>
    </row>
    <row r="92" ht="14.25" customHeight="1" s="137">
      <c r="A92" s="122" t="inlineStr">
        <is>
          <t>Carved Goose Egg</t>
        </is>
      </c>
      <c r="B92" s="104" t="inlineStr">
        <is>
          <t>Etsy</t>
        </is>
      </c>
      <c r="C92" s="88" t="n">
        <v>30</v>
      </c>
      <c r="F92" s="88" t="n"/>
      <c r="I92" s="105" t="n"/>
    </row>
    <row r="93" ht="14.25" customHeight="1" s="137">
      <c r="A93" s="122" t="inlineStr">
        <is>
          <t>Carved Goose Egg</t>
        </is>
      </c>
      <c r="B93" s="104" t="inlineStr">
        <is>
          <t>Etsy</t>
        </is>
      </c>
      <c r="C93" s="88" t="n">
        <v>35</v>
      </c>
      <c r="F93" s="88" t="n"/>
      <c r="I93" s="105" t="n"/>
    </row>
    <row r="94" ht="14.25" customHeight="1" s="137">
      <c r="A94" s="122" t="inlineStr">
        <is>
          <t>Quimbaya Figure (Gift)</t>
        </is>
      </c>
      <c r="B94" s="104" t="inlineStr">
        <is>
          <t>Jeffrey Norris</t>
        </is>
      </c>
      <c r="C94" s="88" t="n">
        <v>10</v>
      </c>
      <c r="D94" s="92" t="n">
        <v>45079</v>
      </c>
      <c r="I94" s="105" t="n"/>
    </row>
    <row r="95" ht="14.25" customHeight="1" s="137">
      <c r="A95" s="122" t="inlineStr">
        <is>
          <t>A Saharan Stone Discoidal (Gift)</t>
        </is>
      </c>
      <c r="B95" s="104" t="inlineStr">
        <is>
          <t>Aquinas Hobor</t>
        </is>
      </c>
      <c r="C95" s="88" t="n">
        <v>10</v>
      </c>
      <c r="D95" s="92" t="n">
        <v>45079</v>
      </c>
      <c r="I95" s="105" t="n"/>
    </row>
    <row r="96" ht="14.25" customHeight="1" s="137">
      <c r="A96" s="122" t="inlineStr">
        <is>
          <t>A Saharan Stone Discoidal</t>
        </is>
      </c>
      <c r="B96" s="104" t="inlineStr">
        <is>
          <t>Aquinas Hobor</t>
        </is>
      </c>
      <c r="C96" s="103" t="n">
        <v>500</v>
      </c>
      <c r="D96" s="92" t="n">
        <v>45079</v>
      </c>
      <c r="F96" s="88" t="n"/>
      <c r="I96" s="105" t="n"/>
    </row>
    <row r="97" ht="14.25" customHeight="1" s="137">
      <c r="A97" s="122" t="inlineStr">
        <is>
          <t>Two Songye and Bozo Vessels</t>
        </is>
      </c>
      <c r="B97" s="104" t="inlineStr">
        <is>
          <t>Hindman</t>
        </is>
      </c>
      <c r="C97" s="103" t="n">
        <v>138.91</v>
      </c>
      <c r="D97" s="92" t="n">
        <v>45211</v>
      </c>
      <c r="F97" s="88" t="n"/>
      <c r="I97" s="105" t="n"/>
    </row>
    <row r="98" ht="14.25" customHeight="1" s="137">
      <c r="A98" s="122" t="inlineStr">
        <is>
          <t xml:space="preserve">Sword 9th Century </t>
        </is>
      </c>
      <c r="B98" s="104" t="inlineStr">
        <is>
          <t>Zevantiques</t>
        </is>
      </c>
      <c r="C98" s="103" t="n">
        <v>3000</v>
      </c>
      <c r="D98" s="92" t="n">
        <v>45311</v>
      </c>
      <c r="F98" s="88" t="n"/>
      <c r="I98" s="105" t="n"/>
    </row>
    <row r="99" ht="14.25" customHeight="1" s="137">
      <c r="A99" s="122" t="inlineStr">
        <is>
          <t>A Roman Marble Plaque with Insciption</t>
        </is>
      </c>
      <c r="B99" s="104" t="inlineStr">
        <is>
          <t>ebay</t>
        </is>
      </c>
      <c r="C99" s="103" t="n">
        <v>1331.41</v>
      </c>
      <c r="D99" s="92" t="n">
        <v>45546</v>
      </c>
      <c r="F99" s="88" t="n"/>
      <c r="I99" s="105" t="n"/>
    </row>
    <row r="100" ht="14.25" customHeight="1" s="137">
      <c r="A100" s="122" t="inlineStr">
        <is>
          <t>Erotic Intaglio Finger Ring</t>
        </is>
      </c>
      <c r="B100" s="104" t="inlineStr">
        <is>
          <t>ebay</t>
        </is>
      </c>
      <c r="C100" s="103" t="n">
        <v>205.07</v>
      </c>
      <c r="D100" s="92" t="n">
        <v>45446</v>
      </c>
      <c r="F100" s="88" t="n"/>
      <c r="I100" s="105" t="n"/>
    </row>
    <row r="101" ht="14.25" customHeight="1" s="137">
      <c r="B101" s="104" t="n"/>
      <c r="C101" s="103" t="n"/>
      <c r="D101" s="92" t="n"/>
      <c r="F101" s="88" t="n"/>
      <c r="I101" s="105" t="n"/>
    </row>
    <row r="102" ht="14.25" customHeight="1" s="137">
      <c r="A102" s="5" t="inlineStr">
        <is>
          <t>Total</t>
        </is>
      </c>
      <c r="B102" s="104" t="n"/>
      <c r="C102" s="86" t="n"/>
      <c r="F102" s="88" t="n"/>
      <c r="I102" s="105" t="n"/>
    </row>
    <row r="103" ht="14.25" customHeight="1" s="137">
      <c r="B103" s="104" t="n"/>
      <c r="C103" s="88" t="n"/>
      <c r="F103" s="88" t="n"/>
      <c r="I103" s="105" t="n"/>
    </row>
    <row r="104" ht="14.25" customHeight="1" s="137">
      <c r="A104" s="119" t="inlineStr">
        <is>
          <t>Office/Business Inventory</t>
        </is>
      </c>
      <c r="B104" s="120" t="n"/>
      <c r="C104" s="100" t="n"/>
      <c r="D104" s="99" t="n"/>
      <c r="E104" s="99" t="n"/>
      <c r="F104" s="100" t="n"/>
      <c r="G104" s="99" t="n"/>
      <c r="H104" s="99" t="n"/>
      <c r="I104" s="121" t="n"/>
      <c r="J104" s="99" t="n"/>
      <c r="K104" s="99" t="n"/>
      <c r="L104" s="99" t="n"/>
      <c r="M104" s="99" t="n"/>
      <c r="N104" s="99" t="n"/>
      <c r="O104" s="99" t="n"/>
      <c r="P104" s="99" t="n"/>
      <c r="Q104" s="99" t="n"/>
      <c r="R104" s="99" t="n"/>
      <c r="S104" s="99" t="n"/>
      <c r="T104" s="99" t="n"/>
      <c r="U104" s="99" t="n"/>
      <c r="V104" s="99" t="n"/>
      <c r="W104" s="99" t="n"/>
      <c r="X104" s="99" t="n"/>
      <c r="Y104" s="99" t="n"/>
      <c r="Z104" s="99" t="n"/>
    </row>
    <row r="105" ht="14.25" customHeight="1" s="137">
      <c r="A105" s="122" t="inlineStr">
        <is>
          <t>Sofa</t>
        </is>
      </c>
      <c r="B105" s="104" t="n"/>
      <c r="C105" s="88" t="n"/>
      <c r="F105" s="88" t="n"/>
      <c r="I105" s="105" t="n"/>
    </row>
    <row r="106" ht="14.25" customHeight="1" s="137">
      <c r="A106" s="122" t="inlineStr">
        <is>
          <t>Space Heater</t>
        </is>
      </c>
      <c r="B106" s="104" t="n"/>
      <c r="C106" s="88" t="n"/>
      <c r="F106" s="88" t="n"/>
      <c r="I106" s="105" t="n"/>
    </row>
    <row r="107" ht="14.25" customHeight="1" s="137">
      <c r="A107" s="122" t="inlineStr">
        <is>
          <t>Shelving</t>
        </is>
      </c>
      <c r="B107" s="104" t="n"/>
      <c r="C107" s="88" t="n"/>
      <c r="F107" s="88" t="n"/>
      <c r="I107" s="105" t="n"/>
    </row>
    <row r="108" ht="14.25" customHeight="1" s="137">
      <c r="A108" s="122" t="inlineStr">
        <is>
          <t>Storage Bins</t>
        </is>
      </c>
      <c r="B108" s="104" t="n"/>
      <c r="C108" s="88" t="n"/>
      <c r="F108" s="88" t="n"/>
      <c r="I108" s="105" t="n"/>
    </row>
    <row r="109" ht="14.25" customHeight="1" s="137">
      <c r="A109" s="122" t="inlineStr">
        <is>
          <t>Table</t>
        </is>
      </c>
      <c r="B109" s="104" t="n"/>
      <c r="C109" s="88" t="n"/>
      <c r="F109" s="88" t="n"/>
      <c r="I109" s="105" t="n"/>
    </row>
    <row r="110" ht="14.25" customHeight="1" s="137">
      <c r="A110" s="122" t="inlineStr">
        <is>
          <t>Computer</t>
        </is>
      </c>
      <c r="B110" s="104" t="n"/>
      <c r="C110" s="88" t="n"/>
      <c r="F110" s="88" t="n"/>
      <c r="I110" s="105" t="n"/>
    </row>
    <row r="111" ht="14.25" customHeight="1" s="137">
      <c r="A111" s="122" t="inlineStr">
        <is>
          <t>Art Library</t>
        </is>
      </c>
      <c r="B111" s="104" t="n"/>
      <c r="C111" s="88" t="n"/>
      <c r="F111" s="88" t="n"/>
      <c r="I111" s="105" t="n"/>
    </row>
    <row r="112" ht="14.25" customHeight="1" s="137">
      <c r="A112" s="122" t="inlineStr">
        <is>
          <t>Standing Desk</t>
        </is>
      </c>
      <c r="B112" s="104" t="n"/>
      <c r="C112" s="88" t="n"/>
      <c r="F112" s="88" t="n"/>
      <c r="I112" s="105" t="n"/>
    </row>
    <row r="113" ht="14.25" customHeight="1" s="137">
      <c r="B113" s="104" t="n"/>
      <c r="C113" s="88" t="n"/>
      <c r="F113" s="88" t="n"/>
      <c r="I113" s="105" t="n"/>
    </row>
    <row r="114" ht="14.25" customHeight="1" s="137">
      <c r="A114" s="156" t="inlineStr">
        <is>
          <t>2025 CC inventory (not in Cost total until object is named)</t>
        </is>
      </c>
      <c r="B114" s="104" t="n"/>
      <c r="C114" s="88" t="n"/>
      <c r="F114" s="88" t="n"/>
      <c r="I114" s="105" t="n"/>
    </row>
    <row r="115" ht="14.25" customHeight="1" s="137">
      <c r="A115" s="0" t="inlineStr">
        <is>
          <t>Los Angeles Modern Auctions (inventory purchase)</t>
        </is>
      </c>
      <c r="B115" s="0" t="inlineStr">
        <is>
          <t>Sapphire 5423</t>
        </is>
      </c>
      <c r="C115" s="157" t="n">
        <v>6821.06</v>
      </c>
      <c r="D115" s="0" t="inlineStr">
        <is>
          <t>2025-07-24</t>
        </is>
      </c>
    </row>
    <row r="116" ht="14.25" customHeight="1" s="137">
      <c r="A116" s="0" t="inlineStr">
        <is>
          <t>Hindman LLC (inventory purchase)</t>
        </is>
      </c>
      <c r="B116" s="0" t="inlineStr">
        <is>
          <t>Sapphire 5423</t>
        </is>
      </c>
      <c r="C116" s="157" t="n">
        <v>282.24</v>
      </c>
      <c r="D116" s="0" t="inlineStr">
        <is>
          <t>2025-04-03</t>
        </is>
      </c>
    </row>
    <row r="117" ht="14.25" customHeight="1" s="137">
      <c r="A117" s="0" t="inlineStr">
        <is>
          <t>Hindman LLC (inventory purchase)</t>
        </is>
      </c>
      <c r="B117" s="0" t="inlineStr">
        <is>
          <t>Sapphire 5423</t>
        </is>
      </c>
      <c r="C117" s="157" t="n">
        <v>403.51</v>
      </c>
      <c r="D117" s="0" t="inlineStr">
        <is>
          <t>2025-07-29</t>
        </is>
      </c>
    </row>
    <row r="118" ht="14.25" customHeight="1" s="137">
      <c r="A118" s="0" t="inlineStr">
        <is>
          <t>The Great Frame Up (inventory framing)</t>
        </is>
      </c>
      <c r="B118" s="0" t="inlineStr">
        <is>
          <t>Sapphire 5423</t>
        </is>
      </c>
      <c r="C118" s="157" t="n">
        <v>536.41</v>
      </c>
      <c r="D118" s="0" t="inlineStr">
        <is>
          <t>2025-02-16</t>
        </is>
      </c>
    </row>
    <row r="119" ht="14.25" customHeight="1" s="137"/>
    <row r="120" ht="14.25" customHeight="1" s="137">
      <c r="A120" s="201" t="inlineStr">
        <is>
          <t>2025 Mercury 8291 — David Aaron Limited is LOCKED consultant fee (not Art Sales)</t>
        </is>
      </c>
    </row>
    <row r="121" ht="14.25" customHeight="1" s="137">
      <c r="A121" s="181" t="inlineStr">
        <is>
          <t>NOT a 2025 art sale — David Aaron Limited consultant fee (EPGC Consultant June)</t>
        </is>
      </c>
      <c r="B121" s="181" t="inlineStr">
        <is>
          <t>David Aaron Limited</t>
        </is>
      </c>
      <c r="C121" s="181" t="n"/>
      <c r="D121" s="181" t="n"/>
      <c r="E121" s="181" t="n"/>
      <c r="F121" s="183" t="n"/>
      <c r="G121" s="206" t="n"/>
      <c r="H121" s="206" t="n"/>
      <c r="I121" s="181" t="inlineStr">
        <is>
          <t>LOCKED 2026-09-20: consultant fee, not a sale. $13,595 is on EPGC Consultant June. Not tax advice.</t>
        </is>
      </c>
    </row>
    <row r="122" ht="14.25" customHeight="1" s="137"/>
    <row r="123" ht="14.25" customHeight="1" s="137">
      <c r="A123" s="201" t="inlineStr">
        <is>
          <t>2025 Mercury COGS — Newstar Jewelers (LOCKED jewelry fabrication)</t>
        </is>
      </c>
    </row>
    <row r="124" ht="14.25" customHeight="1" s="137">
      <c r="A124" s="202" t="inlineStr">
        <is>
          <t>Newstar Jewelers — jewelry from intaglios / engraved gems / scarabs</t>
        </is>
      </c>
      <c r="B124" s="202" t="inlineStr">
        <is>
          <t>Mercury 8291</t>
        </is>
      </c>
      <c r="C124" s="203" t="n">
        <v>8000</v>
      </c>
      <c r="D124" s="202" t="inlineStr">
        <is>
          <t>2025-10-14</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t>
        </is>
      </c>
      <c r="B125" s="202" t="inlineStr">
        <is>
          <t>Mercury 8291</t>
        </is>
      </c>
      <c r="C125" s="203" t="n">
        <v>8000</v>
      </c>
      <c r="D125" s="202" t="inlineStr">
        <is>
          <t>2025-11-12</t>
        </is>
      </c>
      <c r="I125" s="0" t="inlineStr">
        <is>
          <t>LOCKED COGS fabrication. Not in sold-lot Cost total (Feb Berk lots already sold). Identify which gems/intaglios/scarabs.</t>
        </is>
      </c>
    </row>
    <row r="126" ht="14.25" customHeight="1" s="137">
      <c r="A126" s="202" t="inlineStr">
        <is>
          <t>Newstar Jewelers — jewelry from intaglios / engraved gems / scarabs (3 of 3)</t>
        </is>
      </c>
      <c r="B126" s="202" t="inlineStr">
        <is>
          <t>Mercury 8291</t>
        </is>
      </c>
      <c r="C126" s="203" t="n">
        <v>7581</v>
      </c>
      <c r="D126" s="202" t="inlineStr">
        <is>
          <t>2025-12-24</t>
        </is>
      </c>
      <c r="I126" s="0" t="inlineStr">
        <is>
          <t>LOCKED COGS fabrication. Not in sold-lot Cost total (Feb Berk lots already sold). Identify which gems/intaglios/scarabs.</t>
        </is>
      </c>
    </row>
    <row r="127" ht="14.25" customHeight="1" s="137">
      <c r="A127" s="0" t="inlineStr">
        <is>
          <t>Newstar 2025 total</t>
        </is>
      </c>
      <c r="C127" s="203">
        <f>SUM(C123:C125)</f>
        <v/>
      </c>
    </row>
    <row r="128" ht="14.25" customHeight="1" s="137"/>
    <row r="129" ht="14.25" customHeight="1" s="137">
      <c r="A129" s="204" t="inlineStr">
        <is>
          <t>2025 Mercury ASK — Fortuna inventory remaining (not in Cost total until object is named)</t>
        </is>
      </c>
    </row>
    <row r="130" ht="14.25" customHeight="1" s="137">
      <c r="A130" s="200" t="inlineStr">
        <is>
          <t>Fortuna / Erdal Dere — object TBD</t>
        </is>
      </c>
      <c r="B130" s="200" t="inlineStr">
        <is>
          <t>Mercury 8291</t>
        </is>
      </c>
      <c r="C130" s="157" t="n">
        <v>20000</v>
      </c>
      <c r="D130" s="200" t="inlineStr">
        <is>
          <t>2025-05-09</t>
        </is>
      </c>
      <c r="I130" s="0" t="inlineStr">
        <is>
          <t>ASK: inventory purchase vs other. Do not add to sold Cost until named (avoid double count).</t>
        </is>
      </c>
    </row>
    <row r="131" ht="14.25" customHeight="1" s="137">
      <c r="A131" s="200" t="inlineStr">
        <is>
          <t>Fortuna / Erdal Dere — object TBD</t>
        </is>
      </c>
      <c r="B131" s="200" t="inlineStr">
        <is>
          <t>Mercury 8291</t>
        </is>
      </c>
      <c r="C131" s="157" t="n">
        <v>45000</v>
      </c>
      <c r="D131" s="200" t="inlineStr">
        <is>
          <t>2025-07-21</t>
        </is>
      </c>
      <c r="I131" s="0" t="inlineStr">
        <is>
          <t>ASK: inventory purchase vs other. Do not add to sold Cost until named (avoid double count).</t>
        </is>
      </c>
    </row>
    <row r="132" ht="14.25" customHeight="1" s="137">
      <c r="A132" s="200" t="inlineStr">
        <is>
          <t>Fortuna / Erdal Dere — object TBD</t>
        </is>
      </c>
      <c r="B132" s="200" t="inlineStr">
        <is>
          <t>Mercury 8291</t>
        </is>
      </c>
      <c r="C132" s="157" t="n">
        <v>20000</v>
      </c>
      <c r="D132" s="200" t="inlineStr">
        <is>
          <t>2025-08-15</t>
        </is>
      </c>
      <c r="I132" s="0" t="inlineStr">
        <is>
          <t>ASK: inventory purchase vs other. Do not add to sold Cost until named (avoid double count).</t>
        </is>
      </c>
    </row>
    <row r="133" ht="14.25" customHeight="1" s="137">
      <c r="A133" s="0" t="inlineStr">
        <is>
          <t>Fortuna remaining 2025 (excl. seals $13,000 already on row 73)</t>
        </is>
      </c>
      <c r="C133" s="157" t="n">
        <v>85000</v>
      </c>
    </row>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4">
    <mergeCell ref="A134:I134"/>
    <mergeCell ref="A78:I78"/>
    <mergeCell ref="A119:I11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14.25" customHeight="1" s="137">
      <c r="A45" s="0" t="inlineStr">
        <is>
          <t>2025 columns P–AB. Residence through sale 2025-12-18. MORTGAGE = US Bank loan 09422 monthly P+I from joint 0203 (not $50k extra principal on 9922 Jul/Sep — those are not on this row). HOA n/a.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Coinbase ACH = investment. Newstar = jewelry COGS on intaglios/gems/scarabs. BoA 9922 draws and Koziol/Ariadne $150k are LOCKED not-P&amp;L (pass-through / owner transfer). David Aaron $13,595 is LOCKED EPGC Consultant (June). Wise $334.17 + $658.63 are LOCKED EPGC Consultant Fees (expertise write-ups). Aquinas Hobor $1,000 (2/4) is LOCKED books sold (EPGC Art Sales February; Cost TBD).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t>
        </is>
      </c>
      <c r="L4" s="182" t="inlineStr">
        <is>
          <t>Fortuna / Erdal Dere. Matches Art Sales Cost $13,000; Berk sold it 1/10 for $14,000.</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 (STILL OPEN)</t>
        </is>
      </c>
      <c r="H6" s="178" t="inlineStr">
        <is>
          <t>no</t>
        </is>
      </c>
      <c r="I6" s="178" t="inlineStr">
        <is>
          <t>no</t>
        </is>
      </c>
      <c r="J6" s="178" t="inlineStr">
        <is>
          <t>Business Income</t>
        </is>
      </c>
      <c r="K6" s="178" t="inlineStr">
        <is>
          <t>Incoming Wire; MAKE A PAYMENT; Merchant name: EOEB LLC</t>
        </is>
      </c>
      <c r="L6" s="182" t="inlineStr">
        <is>
          <t>STILL OPEN after mixed-pattern confirm. Art Sales has Canosan Terracotta Horse to Erdal $1,000. This cash is EOEB, not Erdal. Sale of the horse, advisory invoice, or other? Not allocated.</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83" t="n">
        <v>1000</v>
      </c>
      <c r="D8" s="178" t="inlineStr">
        <is>
          <t>IN</t>
        </is>
      </c>
      <c r="E8" s="184" t="inlineStr">
        <is>
          <t>ART_SALE</t>
        </is>
      </c>
      <c r="F8" s="181" t="inlineStr">
        <is>
          <t>LOCKED</t>
        </is>
      </c>
      <c r="G8" s="178" t="inlineStr">
        <is>
          <t>Books (titles TBD) — Sale Price</t>
        </is>
      </c>
      <c r="H8" s="178" t="inlineStr">
        <is>
          <t>YES</t>
        </is>
      </c>
      <c r="I8" s="178" t="inlineStr">
        <is>
          <t>no</t>
        </is>
      </c>
      <c r="J8" s="178" t="inlineStr">
        <is>
          <t>Transfer</t>
        </is>
      </c>
      <c r="K8" s="178" t="inlineStr">
        <is>
          <t>AQUINAS HOBOR; SENDER; 770699534; Merchant name: AQUINAS HOBOR</t>
        </is>
      </c>
      <c r="L8" s="182" t="inlineStr">
        <is>
          <t>User 2026-09-20: book SALE to Aquinas Hobor. Hits EPGC Art Sales February +$1,000. Art Sales register: Books (titles TBD), Cost TBD. Not in Income I8 until Cost is known (same as Sale 6428).</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mixed unallocated (sale vs advisory)</t>
        </is>
      </c>
      <c r="H18" s="178" t="inlineStr">
        <is>
          <t>no</t>
        </is>
      </c>
      <c r="I18" s="178" t="inlineStr">
        <is>
          <t>no — ASK first</t>
        </is>
      </c>
      <c r="J18" s="178" t="inlineStr">
        <is>
          <t>Business Income</t>
        </is>
      </c>
      <c r="K18" s="178" t="inlineStr">
        <is>
          <t>Incoming Wire; MAKE A PAYMENT; Merchant name: EOEB LLC</t>
        </is>
      </c>
      <c r="L18" s="182" t="inlineStr">
        <is>
          <t>User 2026-09-20: EOEB LLC mixed art sales AND advisory/consultant fees. Pattern confirmed; this invoice still unallocated. Do NOT dump EOEB remainder $130,270 onto Consultant or Art Sales. Invoice-level split still ASK.</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mixed unallocated (sale vs advisory)</t>
        </is>
      </c>
      <c r="H19" s="178" t="inlineStr">
        <is>
          <t>no</t>
        </is>
      </c>
      <c r="I19" s="178" t="inlineStr">
        <is>
          <t>no — ASK first</t>
        </is>
      </c>
      <c r="J19" s="178" t="inlineStr">
        <is>
          <t>Business Income</t>
        </is>
      </c>
      <c r="K19" s="178" t="inlineStr">
        <is>
          <t>Incoming Wire; MAKE A PAYMENT; Merchant name: EOEB LLC</t>
        </is>
      </c>
      <c r="L19" s="182" t="inlineStr">
        <is>
          <t>User 2026-09-20: EOEB LLC mixed art sales AND advisory/consultant fees. Pattern confirmed; this invoice still unallocated. Do NOT dump EOEB remainder $130,270 onto Consultant or Art Sales. Invoice-level split still ASK.</t>
        </is>
      </c>
    </row>
    <row r="20" ht="36" customHeight="1" s="137">
      <c r="A20" s="178" t="inlineStr">
        <is>
          <t>2025-05-09</t>
        </is>
      </c>
      <c r="B20" s="178" t="inlineStr">
        <is>
          <t>Erdal Dere (Fortuna)</t>
        </is>
      </c>
      <c r="C20" s="139" t="n">
        <v>-20000</v>
      </c>
      <c r="D20" s="178" t="inlineStr">
        <is>
          <t>OUT</t>
        </is>
      </c>
      <c r="E20" s="180" t="inlineStr">
        <is>
          <t>ART_PURCHASE</t>
        </is>
      </c>
      <c r="F20" s="185" t="inlineStr">
        <is>
          <t>ASK</t>
        </is>
      </c>
      <c r="G20" s="178" t="inlineStr">
        <is>
          <t>Fortuna / Erdal — inventory vs other</t>
        </is>
      </c>
      <c r="H20" s="178" t="inlineStr">
        <is>
          <t>no</t>
        </is>
      </c>
      <c r="I20" s="178" t="inlineStr">
        <is>
          <t>no</t>
        </is>
      </c>
      <c r="J20" s="178" t="inlineStr">
        <is>
          <t xml:space="preserve">Business Investment </t>
        </is>
      </c>
      <c r="K20" s="178" t="inlineStr">
        <is>
          <t>Merchant name: Erdal Dere (Fortuna)</t>
        </is>
      </c>
      <c r="L20" s="182" t="inlineStr">
        <is>
          <t>After seals $13,000. Object name? Inventory purchase (COGS when sold) or something else?</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mixed unallocated (sale vs advisory)</t>
        </is>
      </c>
      <c r="H21" s="178" t="inlineStr">
        <is>
          <t>no</t>
        </is>
      </c>
      <c r="I21" s="178" t="inlineStr">
        <is>
          <t>no — ASK first</t>
        </is>
      </c>
      <c r="J21" s="178" t="inlineStr">
        <is>
          <t>Business Income</t>
        </is>
      </c>
      <c r="K21" s="178" t="inlineStr">
        <is>
          <t>Incoming Wire; MAKE A PAYMENT; Merchant name: EOEB LLC</t>
        </is>
      </c>
      <c r="L21" s="182" t="inlineStr">
        <is>
          <t>User 2026-09-20: EOEB LLC mixed art sales AND advisory/consultant fees. Pattern confirmed; this invoice still unallocated. Do NOT dump EOEB remainder $130,270 onto Consultant or Art Sales. Invoice-level split still ASK.</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mixed unallocated (sale vs advisory)</t>
        </is>
      </c>
      <c r="H22" s="178" t="inlineStr">
        <is>
          <t>no</t>
        </is>
      </c>
      <c r="I22" s="178" t="inlineStr">
        <is>
          <t>no — ASK first</t>
        </is>
      </c>
      <c r="J22" s="178" t="inlineStr">
        <is>
          <t>Business Income</t>
        </is>
      </c>
      <c r="K22" s="178" t="inlineStr">
        <is>
          <t>Incoming Wire; MAKE A PAYMENT; Merchant name: EOEB LLC</t>
        </is>
      </c>
      <c r="L22" s="182" t="inlineStr">
        <is>
          <t>User 2026-09-20: EOEB LLC mixed art sales AND advisory/consultant fees. Pattern confirmed; this invoice still unallocated. Do NOT dump EOEB remainder $130,270 onto Consultant or Art Sales. Invoice-level split still ASK.</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mixed unallocated (sale vs advisory)</t>
        </is>
      </c>
      <c r="H23" s="178" t="inlineStr">
        <is>
          <t>no</t>
        </is>
      </c>
      <c r="I23" s="178" t="inlineStr">
        <is>
          <t>no — ASK first</t>
        </is>
      </c>
      <c r="J23" s="178" t="inlineStr">
        <is>
          <t>Business Income</t>
        </is>
      </c>
      <c r="K23" s="178" t="inlineStr">
        <is>
          <t>Incoming Wire; MAKE A PAYMENT; Merchant name: EOEB LLC</t>
        </is>
      </c>
      <c r="L23" s="182" t="inlineStr">
        <is>
          <t>User 2026-09-20: EOEB LLC mixed art sales AND advisory/consultant fees. Pattern confirmed; this invoice still unallocated. Do NOT dump EOEB remainder $130,270 onto Consultant or Art Sales. Invoice-level split still ASK.</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mixed unallocated (sale vs advisory)</t>
        </is>
      </c>
      <c r="H26" s="178" t="inlineStr">
        <is>
          <t>no</t>
        </is>
      </c>
      <c r="I26" s="178" t="inlineStr">
        <is>
          <t>no — ASK first</t>
        </is>
      </c>
      <c r="J26" s="178" t="inlineStr">
        <is>
          <t>Transfer</t>
        </is>
      </c>
      <c r="K26" s="178" t="inlineStr">
        <is>
          <t>Auto-Routing transfer; Merchant name: EOEB LLC</t>
        </is>
      </c>
      <c r="L26" s="182" t="inlineStr">
        <is>
          <t>User 2026-09-20: EOEB LLC mixed art sales AND advisory/consultant fees. Pattern confirmed; this invoice still unallocated. Do NOT dump EOEB remainder $130,270 onto Consultant or Art Sales. Invoice-level split still ASK.</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mixed unallocated (sale vs advisory)</t>
        </is>
      </c>
      <c r="H28" s="178" t="inlineStr">
        <is>
          <t>no</t>
        </is>
      </c>
      <c r="I28" s="178" t="inlineStr">
        <is>
          <t>no — ASK first</t>
        </is>
      </c>
      <c r="J28" s="178" t="inlineStr">
        <is>
          <t>Business Income</t>
        </is>
      </c>
      <c r="K28" s="178" t="inlineStr">
        <is>
          <t>Auto-Routing transfer; Merchant name: L5</t>
        </is>
      </c>
      <c r="L28" s="182" t="inlineStr">
        <is>
          <t>User 2026-09-20: L5 LLC mixed art sales AND advisory/consultant fees. Pattern confirmed; this invoice still unallocated. Do NOT dump L5 remainder $87,396.32 onto Consultant or Art Sales. Invoice-level split still ASK.</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mixed unallocated (sale vs advisory)</t>
        </is>
      </c>
      <c r="H29" s="178" t="inlineStr">
        <is>
          <t>no</t>
        </is>
      </c>
      <c r="I29" s="178" t="inlineStr">
        <is>
          <t>no — ASK first</t>
        </is>
      </c>
      <c r="J29" s="178" t="inlineStr">
        <is>
          <t>Business Income</t>
        </is>
      </c>
      <c r="K29" s="178" t="inlineStr">
        <is>
          <t>Auto-Routing transfer; Merchant name: L5</t>
        </is>
      </c>
      <c r="L29" s="182" t="inlineStr">
        <is>
          <t>User 2026-09-20: L5 LLC mixed art sales AND advisory/consultant fees. Pattern confirmed; this invoice still unallocated. Do NOT dump L5 remainder $87,396.32 onto Consultant or Art Sales. Invoice-level split still ASK.</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mixed unallocated (sale vs advisory)</t>
        </is>
      </c>
      <c r="H30" s="178" t="inlineStr">
        <is>
          <t>no</t>
        </is>
      </c>
      <c r="I30" s="178" t="inlineStr">
        <is>
          <t>no — ASK first</t>
        </is>
      </c>
      <c r="J30" s="178" t="inlineStr">
        <is>
          <t>Transfer</t>
        </is>
      </c>
      <c r="K30" s="178" t="inlineStr">
        <is>
          <t>Auto-Routing transfer; Merchant name: L5</t>
        </is>
      </c>
      <c r="L30" s="182" t="inlineStr">
        <is>
          <t>User 2026-09-20: L5 LLC mixed art sales AND advisory/consultant fees. Pattern confirmed; this invoice still unallocated. Do NOT dump L5 remainder $87,396.32 onto Consultant or Art Sales. Invoice-level split still ASK.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t>
        </is>
      </c>
      <c r="H31" s="178" t="inlineStr">
        <is>
          <t>no</t>
        </is>
      </c>
      <c r="I31" s="178" t="inlineStr">
        <is>
          <t>no</t>
        </is>
      </c>
      <c r="J31" s="178" t="inlineStr">
        <is>
          <t>Transfer</t>
        </is>
      </c>
      <c r="K31" s="178" t="inlineStr">
        <is>
          <t>Merchant name: Aysel Dere</t>
        </is>
      </c>
      <c r="L31" s="182" t="inlineStr">
        <is>
          <t>Same week as L5 $50k, Fortuna $45k OUT (7/21), Erdal $26k IN (7/24). Sale, family/related transfer, or inventory reverse?</t>
        </is>
      </c>
    </row>
    <row r="32" ht="36" customHeight="1" s="137">
      <c r="A32" s="178" t="inlineStr">
        <is>
          <t>2025-07-21</t>
        </is>
      </c>
      <c r="B32" s="178" t="inlineStr">
        <is>
          <t>Erdal Dere (Fortuna)</t>
        </is>
      </c>
      <c r="C32" s="139" t="n">
        <v>-45000</v>
      </c>
      <c r="D32" s="178" t="inlineStr">
        <is>
          <t>OUT</t>
        </is>
      </c>
      <c r="E32" s="180" t="inlineStr">
        <is>
          <t>ART_PURCHASE</t>
        </is>
      </c>
      <c r="F32" s="185" t="inlineStr">
        <is>
          <t>ASK</t>
        </is>
      </c>
      <c r="G32" s="178" t="inlineStr">
        <is>
          <t>Fortuna / Erdal — inventory vs other</t>
        </is>
      </c>
      <c r="H32" s="178" t="inlineStr">
        <is>
          <t>no</t>
        </is>
      </c>
      <c r="I32" s="178" t="inlineStr">
        <is>
          <t>no</t>
        </is>
      </c>
      <c r="J32" s="178" t="inlineStr">
        <is>
          <t xml:space="preserve">Business Investment </t>
        </is>
      </c>
      <c r="K32" s="178" t="inlineStr">
        <is>
          <t>Merchant name: Erdal Dere (Fortuna)</t>
        </is>
      </c>
      <c r="L32" s="182" t="inlineStr">
        <is>
          <t>Object name? Ties to Aysel $50k / Erdal $26k the same week?</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inventory vs other</t>
        </is>
      </c>
      <c r="H35" s="178" t="inlineStr">
        <is>
          <t>no</t>
        </is>
      </c>
      <c r="I35" s="178" t="inlineStr">
        <is>
          <t>no</t>
        </is>
      </c>
      <c r="J35" s="178" t="inlineStr">
        <is>
          <t xml:space="preserve">Business Investment </t>
        </is>
      </c>
      <c r="K35" s="178" t="inlineStr">
        <is>
          <t>Merchant name: Erdal Dere (Fortuna)</t>
        </is>
      </c>
      <c r="L35" s="182" t="inlineStr">
        <is>
          <t>Object name?</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mixed unallocated (sale vs advisory)</t>
        </is>
      </c>
      <c r="H36" s="178" t="inlineStr">
        <is>
          <t>no</t>
        </is>
      </c>
      <c r="I36" s="178" t="inlineStr">
        <is>
          <t>no — ASK first</t>
        </is>
      </c>
      <c r="J36" s="178" t="inlineStr">
        <is>
          <t>Business Income</t>
        </is>
      </c>
      <c r="K36" s="178" t="inlineStr">
        <is>
          <t>Auto-Routing transfer; Merchant name: EOEB LLC</t>
        </is>
      </c>
      <c r="L36" s="182" t="inlineStr">
        <is>
          <t>User 2026-09-20: EOEB LLC mixed art sales AND advisory/consultant fees. Pattern confirmed; this invoice still unallocated. Do NOT dump EOEB remainder $130,270 onto Consultant or Art Sales. Invoice-level split still ASK.</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mixed unallocated (sale vs advisory)</t>
        </is>
      </c>
      <c r="H37" s="178" t="inlineStr">
        <is>
          <t>no</t>
        </is>
      </c>
      <c r="I37" s="178" t="inlineStr">
        <is>
          <t>no — ASK first</t>
        </is>
      </c>
      <c r="J37" s="178" t="inlineStr">
        <is>
          <t>Business Income</t>
        </is>
      </c>
      <c r="K37" s="178" t="inlineStr">
        <is>
          <t>Auto-Routing transfer; Merchant name: L5</t>
        </is>
      </c>
      <c r="L37" s="182" t="inlineStr">
        <is>
          <t>User 2026-09-20: L5 LLC mixed art sales AND advisory/consultant fees. Pattern confirmed; this invoice still unallocated. Do NOT dump L5 remainder $87,396.32 onto Consultant or Art Sales. Invoice-level split still ASK.</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mixed unallocated (sale vs advisory)</t>
        </is>
      </c>
      <c r="H39" s="178" t="inlineStr">
        <is>
          <t>no</t>
        </is>
      </c>
      <c r="I39" s="178" t="inlineStr">
        <is>
          <t>no — ASK first</t>
        </is>
      </c>
      <c r="J39" s="178" t="inlineStr">
        <is>
          <t>Business Income</t>
        </is>
      </c>
      <c r="K39" s="178" t="inlineStr">
        <is>
          <t>Auto-Routing transfer; Merchant name: EOEB LLC</t>
        </is>
      </c>
      <c r="L39" s="182" t="inlineStr">
        <is>
          <t>User 2026-09-20: EOEB LLC mixed art sales AND advisory/consultant fees. Pattern confirmed; this invoice still unallocated. Do NOT dump EOEB remainder $130,270 onto Consultant or Art Sales. Invoice-level split still ASK.</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mixed unallocated (sale vs advisory)</t>
        </is>
      </c>
      <c r="H40" s="178" t="inlineStr">
        <is>
          <t>no</t>
        </is>
      </c>
      <c r="I40" s="178" t="inlineStr">
        <is>
          <t>no — ASK first</t>
        </is>
      </c>
      <c r="J40" s="178" t="inlineStr">
        <is>
          <t>Business Income</t>
        </is>
      </c>
      <c r="K40" s="178" t="inlineStr">
        <is>
          <t>Auto-Routing transfer; Merchant name: L5</t>
        </is>
      </c>
      <c r="L40" s="182" t="inlineStr">
        <is>
          <t>User 2026-09-20: L5 LLC mixed art sales AND advisory/consultant fees. Pattern confirmed; this invoice still unallocated. Do NOT dump L5 remainder $87,396.32 onto Consultant or Art Sales. Invoice-level split still ASK.</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mixed unallocated (sale vs advisory)</t>
        </is>
      </c>
      <c r="H42" s="178" t="inlineStr">
        <is>
          <t>no</t>
        </is>
      </c>
      <c r="I42" s="178" t="inlineStr">
        <is>
          <t>no — ASK first</t>
        </is>
      </c>
      <c r="J42" s="178" t="inlineStr">
        <is>
          <t>Business Income</t>
        </is>
      </c>
      <c r="K42" s="178" t="inlineStr">
        <is>
          <t>Auto-Routing transfer; Merchant name: EOEB LLC</t>
        </is>
      </c>
      <c r="L42" s="182" t="inlineStr">
        <is>
          <t>User 2026-09-20: EOEB LLC mixed art sales AND advisory/consultant fees. Pattern confirmed; this invoice still unallocated. Do NOT dump EOEB remainder $130,270 onto Consultant or Art Sales. Invoice-level split still ASK.</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mixed unallocated (sale vs advisory)</t>
        </is>
      </c>
      <c r="H45" s="178" t="inlineStr">
        <is>
          <t>no</t>
        </is>
      </c>
      <c r="I45" s="178" t="inlineStr">
        <is>
          <t>no — ASK first</t>
        </is>
      </c>
      <c r="J45" s="178" t="inlineStr">
        <is>
          <t>Transfer</t>
        </is>
      </c>
      <c r="K45" s="178" t="inlineStr">
        <is>
          <t>Auto-Routing transfer; Merchant name: EOEB LLC</t>
        </is>
      </c>
      <c r="L45" s="182" t="inlineStr">
        <is>
          <t>User 2026-09-20: EOEB LLC mixed art sales AND advisory/consultant fees. Pattern confirmed; this invoice still unallocated. Do NOT dump EOEB remainder $130,270 onto Consultant or Art Sales. Invoice-level split still ASK.</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mixed unallocated (sale vs advisory)</t>
        </is>
      </c>
      <c r="H49" s="178" t="inlineStr">
        <is>
          <t>no</t>
        </is>
      </c>
      <c r="I49" s="178" t="inlineStr">
        <is>
          <t>no — ASK first</t>
        </is>
      </c>
      <c r="J49" s="178" t="inlineStr">
        <is>
          <t>Business Income</t>
        </is>
      </c>
      <c r="K49" s="178" t="inlineStr">
        <is>
          <t>Auto-Routing transfer; Merchant name: EOEB LLC</t>
        </is>
      </c>
      <c r="L49" s="182" t="inlineStr">
        <is>
          <t>User 2026-09-20: EOEB LLC mixed art sales AND advisory/consultant fees. Pattern confirmed; this invoice still unallocated. Do NOT dump EOEB remainder $130,270 onto Consultant or Art Sales. Invoice-level split still ASK.</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mixed unallocated (sale vs advisory)</t>
        </is>
      </c>
      <c r="H52" s="178" t="inlineStr">
        <is>
          <t>no</t>
        </is>
      </c>
      <c r="I52" s="178" t="inlineStr">
        <is>
          <t>no — ASK first</t>
        </is>
      </c>
      <c r="J52" s="178" t="inlineStr">
        <is>
          <t>Business Income</t>
        </is>
      </c>
      <c r="K52" s="178" t="inlineStr">
        <is>
          <t>Auto-Routing transfer; Merchant name: L5</t>
        </is>
      </c>
      <c r="L52" s="182" t="inlineStr">
        <is>
          <t>User 2026-09-20: L5 LLC mixed art sales AND advisory/consultant fees. Pattern confirmed; this invoice still unallocated. Do NOT dump L5 remainder $87,396.32 onto Consultant or Art Sales. Invoice-level split still ASK.</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mixed unallocated (sale vs advisory)</t>
        </is>
      </c>
      <c r="H53" s="178" t="inlineStr">
        <is>
          <t>no</t>
        </is>
      </c>
      <c r="I53" s="178" t="inlineStr">
        <is>
          <t>no — ASK first</t>
        </is>
      </c>
      <c r="J53" s="178" t="inlineStr">
        <is>
          <t>Transfer</t>
        </is>
      </c>
      <c r="K53" s="178" t="inlineStr">
        <is>
          <t>Auto-Routing transfer; Merchant name: EOEB LLC</t>
        </is>
      </c>
      <c r="L53" s="182" t="inlineStr">
        <is>
          <t>User 2026-09-20: EOEB LLC mixed art sales AND advisory/consultant fees. Pattern confirmed; this invoice still unallocated. Do NOT dump EOEB remainder $130,270 onto Consultant or Art Sales. Invoice-level split still ASK.</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mixed unallocated (sale vs advisory)</t>
        </is>
      </c>
      <c r="H55" s="178" t="inlineStr">
        <is>
          <t>no</t>
        </is>
      </c>
      <c r="I55" s="178" t="inlineStr">
        <is>
          <t>no — ASK first</t>
        </is>
      </c>
      <c r="J55" s="178" t="inlineStr">
        <is>
          <t>Business Income</t>
        </is>
      </c>
      <c r="K55" s="178" t="inlineStr">
        <is>
          <t>Auto-Routing transfer; Merchant name: EOEB LLC</t>
        </is>
      </c>
      <c r="L55" s="182" t="inlineStr">
        <is>
          <t>User 2026-09-20: EOEB LLC mixed art sales AND advisory/consultant fees. Pattern confirmed; this invoice still unallocated. Do NOT dump EOEB remainder $130,270 onto Consultant or Art Sales. Invoice-level split still ASK.</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mixed unallocated (sale vs advisory)</t>
        </is>
      </c>
      <c r="H64" s="178" t="inlineStr">
        <is>
          <t>no</t>
        </is>
      </c>
      <c r="I64" s="178" t="inlineStr">
        <is>
          <t>no — ASK first</t>
        </is>
      </c>
      <c r="J64" s="178" t="inlineStr">
        <is>
          <t>Transfer</t>
        </is>
      </c>
      <c r="K64" s="178" t="inlineStr">
        <is>
          <t>Auto-Routing transfer; Merchant name: L5</t>
        </is>
      </c>
      <c r="L64" s="182" t="inlineStr">
        <is>
          <t>User 2026-09-20: L5 LLC mixed art sales AND advisory/consultant fees. Pattern confirmed; this invoice still unallocated. Do NOT dump L5 remainder $87,396.32 onto Consultant or Art Sales. Invoice-level split still ASK.</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26"/>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Q8 pass-through, Q9 Aquinas books LOCKED (green). Q1/Q2 mixed pattern CONFIRMED, dollars unallocated (yellow). Not tax advice.</t>
        </is>
      </c>
    </row>
    <row r="3">
      <c r="A3" s="188" t="inlineStr">
        <is>
          <t>Question</t>
        </is>
      </c>
      <c r="B3" s="188" t="inlineStr">
        <is>
          <t>What I need</t>
        </is>
      </c>
    </row>
    <row r="4" ht="48" customHeight="1" s="137">
      <c r="A4" s="189" t="inlineStr">
        <is>
          <t>1. EOEB LLC remainder after mosaics — MIXED PATTERN CONFIRMED, dollars unallocated</t>
        </is>
      </c>
      <c r="B4" s="190" t="inlineStr">
        <is>
          <t>$130,270.00 of EOEB IN is not mosaics $105,000 and not Wise reimburse $565.75. User 2026-09-20: EOEB is mixed art sales AND advisory/consultant fees. Do NOT dump this remainder onto Consultant or Art Sales. Invoice-level split still ASK. Jan 16 $1,000 Canosan-horse question STILL OPEN (Art Sales horse is to Erdal; this cash is EOEB).</t>
        </is>
      </c>
    </row>
    <row r="5" ht="48" customHeight="1" s="137">
      <c r="A5" s="189" t="inlineStr">
        <is>
          <t>2. L5 (all seven invoices) — MIXED PATTERN CONFIRMED, dollars unallocated</t>
        </is>
      </c>
      <c r="B5" s="190" t="inlineStr">
        <is>
          <t>$87,396.32. User 2026-09-20: L5 is mixed art sales AND advisory/consultant fees. Do NOT dump onto Consultant or Art Sales. Invoice-level split still ASK. The 7/15 $50,000 still sits in the Aysel $50k / Fortuna $45k week.</t>
        </is>
      </c>
    </row>
    <row r="6" ht="48" customHeight="1" s="137">
      <c r="A6" s="189" t="inlineStr">
        <is>
          <t>3. Fortuna / Erdal Dere OUT after seals</t>
        </is>
      </c>
      <c r="B6" s="190" t="inlineStr">
        <is>
          <t>$85,000.00 after the 1/8 $13,000 seals COGS (5/9 $20k, 7/21 $45k, 8/15 $20k). Inventory purchases (object names) or something else?</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IN (7/18)</t>
        </is>
      </c>
      <c r="B8" s="190" t="inlineStr">
        <is>
          <t>Sale, related-party transfer, or part of the mid-July Fortuna/L5 cluster?</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207" t="inlineStr">
        <is>
          <t>9. Aquinas Hobor $1,000 IN (2/4) — LOCKED book sale</t>
        </is>
      </c>
      <c r="B12" s="208" t="inlineStr">
        <is>
          <t>CONFIRMED 2026-09-20: book SALE. Hits EPGC Art Sales February +$1,000 (Feb $136,000; matched cash $150,000). Art Sales register: Books (titles TBD) to Aquinas Hobor, Sale Price $1,000, Sale Date 2025-02-04, Cost TBD. Not in Income I8 until Cost (same as Sale 6428).</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row r="26">
      <c r="A26" s="181" t="inlineStr">
        <is>
          <t>Aquinas Hobor books</t>
        </is>
      </c>
      <c r="B26" s="181" t="inlineStr">
        <is>
          <t>$1,000 IN 2/4 LOCKED book sale → EPGC Art Sales February +$1,000 (Feb $136,000; matched cash $150,000). Cost / titles TBD (not in I8 until Cost, same as Sale 6428).</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2026-09-20T13:34:58Z</dcterms:modified>
</cp:coreProperties>
</file>