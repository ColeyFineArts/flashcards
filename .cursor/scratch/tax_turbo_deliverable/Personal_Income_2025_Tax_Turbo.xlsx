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come" sheetId="1" state="visible" r:id="rId1"/>
    <sheet name="524 Ferdinand Ave, Unit 2" sheetId="2" state="visible" r:id="rId2"/>
    <sheet name="216 N. Oak Park Ave" sheetId="3" state="visible" r:id="rId3"/>
    <sheet name="EPGC LLC" sheetId="4" state="visible" r:id="rId4"/>
    <sheet name="Refrence Library" sheetId="5" state="visible" r:id="rId5"/>
    <sheet name="Art Sales and Purchases" sheetId="6" state="visible" r:id="rId6"/>
    <sheet name="GCM" sheetId="7" state="visible" r:id="rId7"/>
    <sheet name="Hindman W2" sheetId="8" state="visible" r:id="rId8"/>
    <sheet name="Megan T4" sheetId="9" state="visible" r:id="rId9"/>
    <sheet name="Investments" sheetId="10" state="visible" r:id="rId10"/>
    <sheet name="524 Ferdinand Ave, Unit 1" sheetId="11" state="hidden" r:id="rId11"/>
    <sheet name="524 Home Sale" sheetId="12" state="visible" r:id="rId12"/>
    <sheet name="827 Grove CapEx" sheetId="13" state="visible" r:id="rId13"/>
    <sheet name="Childcare 2441" sheetId="14" state="visible" r:id="rId14"/>
    <sheet name="MERCURY 8291" sheetId="15" state="visible" r:id="rId15"/>
    <sheet name="ASK Mercury" sheetId="16" state="visible" r:id="rId16"/>
  </sheets>
  <externalReferences>
    <externalReference r:id="rId17"/>
  </externalReferences>
  <definedNames>
    <definedName name="a">'Art Sales and Purchases'!$A$3627</definedName>
    <definedName name="a" localSheetId="1">#REF!</definedName>
    <definedName name="a" localSheetId="2">#REF!</definedName>
    <definedName name="a" localSheetId="10">#REF!</definedName>
    <definedName name="_xlnm._FilterDatabase" localSheetId="14" hidden="1">'MERCURY 8291'!$A$3:$L$67</definedName>
  </definedNames>
  <calcPr calcId="124519" fullCalcOnLoad="1"/>
</workbook>
</file>

<file path=xl/styles.xml><?xml version="1.0" encoding="utf-8"?>
<styleSheet xmlns="http://schemas.openxmlformats.org/spreadsheetml/2006/main">
  <numFmts count="7">
    <numFmt numFmtId="164" formatCode="_(&quot;$&quot;* #,##0.00_);_(&quot;$&quot;* \(#,##0.00\);_(&quot;$&quot;* &quot;-&quot;??_);_(@_)"/>
    <numFmt numFmtId="165" formatCode="&quot;$&quot;#,##0.00"/>
    <numFmt numFmtId="166" formatCode="_([$$-409]* #,##0.00_);_([$$-409]* \(#,##0.00\);_([$$-409]* &quot;-&quot;??_);_(@_)"/>
    <numFmt numFmtId="167" formatCode="&quot;$&quot;#,##0.00_);[Red]\(&quot;$&quot;#,##0.00\)"/>
    <numFmt numFmtId="168" formatCode="&quot;$&quot;#,##0_);[Red]\(&quot;$&quot;#,##0\)"/>
    <numFmt numFmtId="169" formatCode="_([$CAD]\ * #,##0.00_);_([$CAD]\ * \(#,##0.00\);_([$CAD]\ * &quot;-&quot;??_);_(@_)"/>
    <numFmt numFmtId="170" formatCode="YYYY-MM-DD"/>
  </numFmts>
  <fonts count="34">
    <font>
      <name val="Calibri"/>
      <color theme="1"/>
      <sz val="11"/>
      <scheme val="minor"/>
    </font>
    <font>
      <name val="Calibri"/>
      <color theme="1"/>
      <sz val="11"/>
    </font>
    <font>
      <name val="Calibri"/>
      <color theme="1"/>
      <scheme val="minor"/>
    </font>
    <font>
      <name val="Calibri"/>
      <b val="1"/>
      <color theme="1"/>
      <sz val="11"/>
    </font>
    <font>
      <name val="Arial"/>
      <color theme="1"/>
      <sz val="12"/>
    </font>
    <font>
      <name val="Century Gothic"/>
      <b val="1"/>
      <color rgb="FF2F5496"/>
      <sz val="18"/>
    </font>
    <font>
      <name val="Century Gothic"/>
      <b val="1"/>
      <color rgb="FF595959"/>
      <sz val="14"/>
    </font>
    <font/>
    <font>
      <name val="Century Gothic"/>
      <color theme="1"/>
      <sz val="12"/>
    </font>
    <font>
      <name val="Century Gothic"/>
      <color theme="0"/>
      <sz val="12"/>
    </font>
    <font>
      <name val="Century Gothic"/>
      <b val="1"/>
      <color theme="1"/>
      <sz val="11"/>
    </font>
    <font>
      <name val="Calibri"/>
      <color theme="1"/>
      <sz val="10"/>
    </font>
    <font>
      <name val="Century Gothic"/>
      <color theme="1"/>
      <sz val="10"/>
    </font>
    <font>
      <name val="Century Gothic"/>
      <b val="1"/>
      <color theme="1"/>
      <sz val="10"/>
    </font>
    <font>
      <name val="Century Gothic"/>
      <b val="1"/>
      <color theme="0"/>
      <sz val="10"/>
    </font>
    <font>
      <name val="Century Gothic"/>
      <color theme="0"/>
      <sz val="10"/>
    </font>
    <font>
      <name val="Century Gothic"/>
      <color rgb="FFFF0000"/>
      <sz val="10"/>
    </font>
    <font>
      <name val="&quot;Helvetica Neue&quot;"/>
      <color rgb="FF333333"/>
      <sz val="8"/>
    </font>
    <font>
      <name val="Calibri"/>
      <b val="1"/>
      <color theme="1"/>
      <sz val="16"/>
    </font>
    <font>
      <name val="Calibri"/>
      <b val="1"/>
      <color theme="1"/>
      <sz val="10"/>
    </font>
    <font>
      <name val="Calibri"/>
      <b val="1"/>
      <color theme="1"/>
      <sz val="12"/>
    </font>
    <font>
      <name val="Calibri"/>
      <color theme="1"/>
      <sz val="14"/>
    </font>
    <font>
      <name val="Calibri"/>
      <b val="1"/>
      <color theme="1"/>
      <sz val="14"/>
    </font>
    <font>
      <name val="Calibri"/>
      <i val="1"/>
      <color theme="1"/>
      <sz val="11"/>
    </font>
    <font>
      <name val="Century Gothic"/>
      <sz val="10"/>
    </font>
    <font>
      <name val="Century Gothic"/>
      <b val="1"/>
      <color rgb="00FFFFFF"/>
      <sz val="14"/>
    </font>
    <font>
      <name val="Century Gothic"/>
      <b val="1"/>
      <sz val="12"/>
    </font>
    <font>
      <name val="Century Gothic"/>
      <b val="1"/>
      <sz val="11"/>
    </font>
    <font>
      <b val="1"/>
      <color rgb="001F4E79"/>
    </font>
    <font>
      <name val="Calibri"/>
      <family val="2"/>
      <color theme="1"/>
      <sz val="11"/>
      <scheme val="minor"/>
    </font>
    <font>
      <b val="1"/>
    </font>
    <font>
      <b val="1"/>
      <color rgb="00FFFFFF"/>
    </font>
    <font>
      <b val="1"/>
      <sz val="14"/>
    </font>
    <font>
      <name val="Calibri"/>
      <b val="1"/>
      <color rgb="00FFFFFF"/>
      <sz val="11"/>
    </font>
  </fonts>
  <fills count="31">
    <fill>
      <patternFill/>
    </fill>
    <fill>
      <patternFill patternType="lightGray"/>
    </fill>
    <fill>
      <patternFill patternType="solid">
        <fgColor rgb="FF1F3864"/>
        <bgColor rgb="FF1F3864"/>
      </patternFill>
    </fill>
    <fill>
      <patternFill patternType="solid">
        <fgColor rgb="FF833C0B"/>
        <bgColor rgb="FF833C0B"/>
      </patternFill>
    </fill>
    <fill>
      <patternFill patternType="solid">
        <fgColor rgb="FF525252"/>
        <bgColor rgb="FF525252"/>
      </patternFill>
    </fill>
    <fill>
      <patternFill patternType="solid">
        <fgColor rgb="FF7F6000"/>
        <bgColor rgb="FF7F6000"/>
      </patternFill>
    </fill>
    <fill>
      <patternFill patternType="solid">
        <fgColor rgb="FF1E4E79"/>
        <bgColor rgb="FF1E4E79"/>
      </patternFill>
    </fill>
    <fill>
      <patternFill patternType="solid">
        <fgColor rgb="FFD9E2F3"/>
        <bgColor rgb="FFD9E2F3"/>
      </patternFill>
    </fill>
    <fill>
      <patternFill patternType="solid">
        <fgColor theme="0"/>
        <bgColor theme="0"/>
      </patternFill>
    </fill>
    <fill>
      <patternFill patternType="solid">
        <fgColor rgb="FFF7CAAC"/>
        <bgColor rgb="FFF7CAAC"/>
      </patternFill>
    </fill>
    <fill>
      <patternFill patternType="solid">
        <fgColor rgb="FFDADADA"/>
        <bgColor rgb="FFDADADA"/>
      </patternFill>
    </fill>
    <fill>
      <patternFill patternType="solid">
        <fgColor rgb="FFFFE598"/>
        <bgColor rgb="FFFFE598"/>
      </patternFill>
    </fill>
    <fill>
      <patternFill patternType="solid">
        <fgColor rgb="FFBDD6EE"/>
        <bgColor rgb="FFBDD6EE"/>
      </patternFill>
    </fill>
    <fill>
      <patternFill patternType="solid">
        <fgColor rgb="FFB4C6E7"/>
        <bgColor rgb="FFB4C6E7"/>
      </patternFill>
    </fill>
    <fill>
      <patternFill patternType="solid">
        <fgColor rgb="FFD0CECE"/>
        <bgColor rgb="FFD0CECE"/>
      </patternFill>
    </fill>
    <fill>
      <patternFill patternType="solid">
        <fgColor rgb="FFFFFFFF"/>
        <bgColor rgb="FFFFFFFF"/>
      </patternFill>
    </fill>
    <fill>
      <patternFill patternType="solid">
        <fgColor rgb="FFC55A11"/>
        <bgColor rgb="FFC55A11"/>
      </patternFill>
    </fill>
    <fill>
      <patternFill patternType="solid">
        <fgColor rgb="FF7B7B7B"/>
        <bgColor rgb="FF7B7B7B"/>
      </patternFill>
    </fill>
    <fill>
      <patternFill patternType="solid">
        <fgColor rgb="FFBF9000"/>
        <bgColor rgb="FFBF9000"/>
      </patternFill>
    </fill>
    <fill>
      <patternFill patternType="solid">
        <fgColor rgb="FF2E75B5"/>
        <bgColor rgb="FF2E75B5"/>
      </patternFill>
    </fill>
    <fill>
      <patternFill patternType="solid">
        <fgColor rgb="FF2F5496"/>
        <bgColor rgb="FF2F5496"/>
      </patternFill>
    </fill>
    <fill>
      <patternFill patternType="solid">
        <fgColor rgb="FF92D050"/>
        <bgColor rgb="FF92D050"/>
      </patternFill>
    </fill>
    <fill>
      <patternFill patternType="solid">
        <fgColor rgb="FFFFFF00"/>
        <bgColor rgb="FFFFFF00"/>
      </patternFill>
    </fill>
    <fill>
      <patternFill patternType="solid">
        <fgColor rgb="00F7CAAC"/>
      </patternFill>
    </fill>
    <fill>
      <patternFill patternType="solid">
        <fgColor rgb="00FFF2CC"/>
      </patternFill>
    </fill>
    <fill>
      <patternFill patternType="solid">
        <fgColor rgb="00D5F5E3"/>
      </patternFill>
    </fill>
    <fill>
      <patternFill patternType="solid">
        <fgColor rgb="00DDEBF7"/>
      </patternFill>
    </fill>
    <fill>
      <patternFill patternType="solid">
        <fgColor rgb="001F4E79"/>
      </patternFill>
    </fill>
    <fill>
      <patternFill patternType="solid">
        <fgColor rgb="00C6EFCE"/>
      </patternFill>
    </fill>
    <fill>
      <patternFill patternType="solid">
        <fgColor rgb="00F8CBAD"/>
      </patternFill>
    </fill>
    <fill>
      <patternFill patternType="solid">
        <fgColor rgb="00F2F2F2"/>
      </patternFill>
    </fill>
  </fills>
  <borders count="27">
    <border/>
    <border>
      <left style="thin">
        <color rgb="FF000000"/>
      </left>
    </border>
    <border>
      <top style="thin">
        <color rgb="FF000000"/>
      </top>
      <bottom style="thin">
        <color rgb="FF000000"/>
      </bottom>
    </border>
    <border>
      <left style="thin">
        <color rgb="FF000000"/>
      </left>
      <top style="thin">
        <color rgb="FF000000"/>
      </top>
      <bottom style="thin">
        <color rgb="FF000000"/>
      </bottom>
    </border>
    <border>
      <bottom style="thin">
        <color rgb="FFF2F2F2"/>
      </bottom>
    </border>
    <border>
      <left style="thin">
        <color rgb="FFF2F2F2"/>
      </left>
      <right style="thin">
        <color rgb="FFF2F2F2"/>
      </right>
      <top style="thin">
        <color rgb="FFF2F2F2"/>
      </top>
      <bottom style="thin">
        <color rgb="FFF2F2F2"/>
      </bottom>
    </border>
    <border>
      <left/>
      <right style="thin">
        <color rgb="FFF2F2F2"/>
      </right>
      <top style="thin">
        <color rgb="FFF2F2F2"/>
      </top>
      <bottom style="thin">
        <color rgb="FFF2F2F2"/>
      </bottom>
    </border>
    <border>
      <left style="thin">
        <color rgb="FFF2F2F2"/>
      </left>
      <right style="double">
        <color rgb="FFBFBFBF"/>
      </right>
      <top style="thin">
        <color rgb="FFF2F2F2"/>
      </top>
      <bottom style="thin">
        <color rgb="FFF2F2F2"/>
      </bottom>
    </border>
    <border>
      <left/>
      <right/>
      <top style="thin">
        <color rgb="FFF2F2F2"/>
      </top>
      <bottom style="thin">
        <color rgb="FFF2F2F2"/>
      </bottom>
    </border>
    <border>
      <left style="thin">
        <color rgb="FFF2F2F2"/>
      </left>
      <right style="thin">
        <color rgb="FFF2F2F2"/>
      </right>
      <top style="thin">
        <color rgb="FFF2F2F2"/>
      </top>
      <bottom style="medium">
        <color rgb="FFF2F2F2"/>
      </bottom>
    </border>
    <border>
      <left/>
      <right style="thin">
        <color rgb="FFF2F2F2"/>
      </right>
      <top style="thin">
        <color rgb="FFF2F2F2"/>
      </top>
      <bottom style="medium">
        <color rgb="FFF2F2F2"/>
      </bottom>
    </border>
    <border>
      <left style="thin">
        <color rgb="FFF2F2F2"/>
      </left>
      <right style="double">
        <color rgb="FFBFBFBF"/>
      </right>
      <top style="thin">
        <color rgb="FFF2F2F2"/>
      </top>
      <bottom style="medium">
        <color rgb="FFF2F2F2"/>
      </bottom>
    </border>
    <border>
      <left style="thin">
        <color rgb="FFF2F2F2"/>
      </left>
      <right style="thin">
        <color rgb="FFF2F2F2"/>
      </right>
      <top style="medium">
        <color rgb="FFBFBFBF"/>
      </top>
      <bottom style="thin">
        <color rgb="FFBFBFBF"/>
      </bottom>
    </border>
    <border>
      <left/>
      <right style="thin">
        <color rgb="FFF2F2F2"/>
      </right>
      <top style="medium">
        <color rgb="FFBFBFBF"/>
      </top>
      <bottom style="thin">
        <color rgb="FFBFBFBF"/>
      </bottom>
    </border>
    <border>
      <left style="thin">
        <color rgb="FFF2F2F2"/>
      </left>
      <right style="double">
        <color rgb="FFBFBFBF"/>
      </right>
      <top style="medium">
        <color rgb="FFBFBFBF"/>
      </top>
      <bottom style="thin">
        <color rgb="FFBFBFBF"/>
      </bottom>
    </border>
    <border>
      <left/>
      <right/>
      <top style="medium">
        <color rgb="FFBFBFBF"/>
      </top>
      <bottom style="thin">
        <color rgb="FFBFBFBF"/>
      </bottom>
    </border>
    <border>
      <top style="thin">
        <color rgb="FF000000"/>
      </top>
    </border>
    <border>
      <bottom style="thin">
        <color rgb="FF000000"/>
      </bottom>
    </border>
    <border>
      <left/>
      <right/>
      <top/>
      <bottom/>
    </border>
    <border>
      <top style="thin">
        <color rgb="FF000000"/>
      </top>
      <bottom style="medium">
        <color rgb="FF000000"/>
      </bottom>
    </border>
    <border>
      <left style="thin">
        <color rgb="FF000000"/>
      </left>
      <top style="thin">
        <color rgb="FF000000"/>
      </top>
    </border>
    <border>
      <right style="thin">
        <color rgb="FF000000"/>
      </right>
      <top style="thin">
        <color rgb="FF000000"/>
      </top>
    </border>
    <border>
      <left/>
      <right style="thin">
        <color rgb="FF000000"/>
      </right>
      <top/>
      <bottom/>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diagonal/>
    </border>
  </borders>
  <cellStyleXfs count="1">
    <xf numFmtId="0" fontId="0" fillId="0" borderId="0"/>
  </cellStyleXfs>
  <cellXfs count="206">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1" pivotButton="0" quotePrefix="0" xfId="0"/>
    <xf numFmtId="164" fontId="1" fillId="0" borderId="0" pivotButton="0" quotePrefix="0" xfId="0"/>
    <xf numFmtId="0" fontId="3" fillId="0" borderId="0" pivotButton="0" quotePrefix="0" xfId="0"/>
    <xf numFmtId="164" fontId="1" fillId="0" borderId="1" pivotButton="0" quotePrefix="0" xfId="0"/>
    <xf numFmtId="165" fontId="1" fillId="0" borderId="1" pivotButton="0" quotePrefix="0" xfId="0"/>
    <xf numFmtId="165" fontId="2" fillId="0" borderId="0" pivotButton="0" quotePrefix="0" xfId="0"/>
    <xf numFmtId="165" fontId="2" fillId="0" borderId="0" pivotButton="0" quotePrefix="0" xfId="0"/>
    <xf numFmtId="165" fontId="1" fillId="0" borderId="0" pivotButton="0" quotePrefix="0" xfId="0"/>
    <xf numFmtId="165" fontId="1" fillId="0" borderId="1" pivotButton="0" quotePrefix="0" xfId="0"/>
    <xf numFmtId="0" fontId="3" fillId="0" borderId="2" pivotButton="0" quotePrefix="0" xfId="0"/>
    <xf numFmtId="164" fontId="1" fillId="0" borderId="2" pivotButton="0" quotePrefix="0" xfId="0"/>
    <xf numFmtId="165" fontId="1" fillId="0" borderId="3" pivotButton="0" quotePrefix="0" xfId="0"/>
    <xf numFmtId="165" fontId="1" fillId="0" borderId="2" pivotButton="0" quotePrefix="0" xfId="0"/>
    <xf numFmtId="0" fontId="4" fillId="0" borderId="0" applyAlignment="1" pivotButton="0" quotePrefix="0" xfId="0">
      <alignment vertical="center"/>
    </xf>
    <xf numFmtId="0" fontId="5" fillId="0" borderId="0" applyAlignment="1" pivotButton="0" quotePrefix="0" xfId="0">
      <alignment vertical="center"/>
    </xf>
    <xf numFmtId="0" fontId="6" fillId="0" borderId="4" applyAlignment="1" pivotButton="0" quotePrefix="0" xfId="0">
      <alignment horizontal="left" vertical="center"/>
    </xf>
    <xf numFmtId="0" fontId="7" fillId="0" borderId="4" pivotButton="0" quotePrefix="0" xfId="0"/>
    <xf numFmtId="0" fontId="8" fillId="0" borderId="0" applyAlignment="1" pivotButton="0" quotePrefix="0" xfId="0">
      <alignment horizontal="center" vertical="center"/>
    </xf>
    <xf numFmtId="0" fontId="9" fillId="2" borderId="5" applyAlignment="1" pivotButton="0" quotePrefix="0" xfId="0">
      <alignment horizontal="left" vertical="center"/>
    </xf>
    <xf numFmtId="0" fontId="9" fillId="3" borderId="5" applyAlignment="1" pivotButton="0" quotePrefix="0" xfId="0">
      <alignment horizontal="center" vertical="center"/>
    </xf>
    <xf numFmtId="0" fontId="9" fillId="4" borderId="6" applyAlignment="1" pivotButton="0" quotePrefix="0" xfId="0">
      <alignment horizontal="center" vertical="center"/>
    </xf>
    <xf numFmtId="0" fontId="9" fillId="4" borderId="5" applyAlignment="1" pivotButton="0" quotePrefix="0" xfId="0">
      <alignment horizontal="center" vertical="center"/>
    </xf>
    <xf numFmtId="0" fontId="9" fillId="5" borderId="6" applyAlignment="1" pivotButton="0" quotePrefix="0" xfId="0">
      <alignment horizontal="center" vertical="center"/>
    </xf>
    <xf numFmtId="0" fontId="9" fillId="5" borderId="5" applyAlignment="1" pivotButton="0" quotePrefix="0" xfId="0">
      <alignment horizontal="center" vertical="center"/>
    </xf>
    <xf numFmtId="0" fontId="9" fillId="6" borderId="6" applyAlignment="1" pivotButton="0" quotePrefix="0" xfId="0">
      <alignment horizontal="center" vertical="center"/>
    </xf>
    <xf numFmtId="0" fontId="9" fillId="6" borderId="5" applyAlignment="1" pivotButton="0" quotePrefix="0" xfId="0">
      <alignment horizontal="center" vertical="center"/>
    </xf>
    <xf numFmtId="0" fontId="9" fillId="6" borderId="7" applyAlignment="1" pivotButton="0" quotePrefix="0" xfId="0">
      <alignment horizontal="center" vertical="center"/>
    </xf>
    <xf numFmtId="0" fontId="9" fillId="2" borderId="8" applyAlignment="1" pivotButton="0" quotePrefix="0" xfId="0">
      <alignment horizontal="center" vertical="center"/>
    </xf>
    <xf numFmtId="0" fontId="10" fillId="7" borderId="5" applyAlignment="1" pivotButton="0" quotePrefix="0" xfId="0">
      <alignment horizontal="left" vertical="center"/>
    </xf>
    <xf numFmtId="0" fontId="11" fillId="8" borderId="5" applyAlignment="1" pivotButton="0" quotePrefix="0" xfId="0">
      <alignment vertical="center"/>
    </xf>
    <xf numFmtId="0" fontId="11" fillId="8" borderId="6" applyAlignment="1" pivotButton="0" quotePrefix="0" xfId="0">
      <alignment vertical="center"/>
    </xf>
    <xf numFmtId="0" fontId="11" fillId="8" borderId="7" applyAlignment="1" pivotButton="0" quotePrefix="0" xfId="0">
      <alignment vertical="center"/>
    </xf>
    <xf numFmtId="0" fontId="11" fillId="8" borderId="8" applyAlignment="1" pivotButton="0" quotePrefix="0" xfId="0">
      <alignment vertical="center"/>
    </xf>
    <xf numFmtId="0" fontId="12" fillId="0" borderId="5" applyAlignment="1" pivotButton="0" quotePrefix="0" xfId="0">
      <alignment horizontal="left" vertical="center"/>
    </xf>
    <xf numFmtId="164" fontId="12" fillId="9" borderId="5" applyAlignment="1" pivotButton="0" quotePrefix="0" xfId="0">
      <alignment vertical="center"/>
    </xf>
    <xf numFmtId="164" fontId="12" fillId="10" borderId="6" applyAlignment="1" pivotButton="0" quotePrefix="0" xfId="0">
      <alignment vertical="center"/>
    </xf>
    <xf numFmtId="164" fontId="12" fillId="10" borderId="5" applyAlignment="1" pivotButton="0" quotePrefix="0" xfId="0">
      <alignment vertical="center"/>
    </xf>
    <xf numFmtId="164" fontId="12" fillId="11" borderId="6" applyAlignment="1" pivotButton="0" quotePrefix="0" xfId="0">
      <alignment vertical="center"/>
    </xf>
    <xf numFmtId="164" fontId="12" fillId="11" borderId="5" applyAlignment="1" pivotButton="0" quotePrefix="0" xfId="0">
      <alignment vertical="center"/>
    </xf>
    <xf numFmtId="164" fontId="12" fillId="12" borderId="6" applyAlignment="1" pivotButton="0" quotePrefix="0" xfId="0">
      <alignment vertical="center"/>
    </xf>
    <xf numFmtId="164" fontId="12" fillId="12" borderId="5" applyAlignment="1" pivotButton="0" quotePrefix="0" xfId="0">
      <alignment vertical="center"/>
    </xf>
    <xf numFmtId="164" fontId="12" fillId="12" borderId="7" applyAlignment="1" pivotButton="0" quotePrefix="0" xfId="0">
      <alignment vertical="center"/>
    </xf>
    <xf numFmtId="164" fontId="13" fillId="13" borderId="8" applyAlignment="1" pivotButton="0" quotePrefix="0" xfId="0">
      <alignment vertical="center"/>
    </xf>
    <xf numFmtId="164" fontId="12" fillId="14" borderId="5" applyAlignment="1" pivotButton="0" quotePrefix="0" xfId="0">
      <alignment vertical="center"/>
    </xf>
    <xf numFmtId="0" fontId="14" fillId="2" borderId="9" applyAlignment="1" pivotButton="0" quotePrefix="0" xfId="0">
      <alignment horizontal="right" vertical="center"/>
    </xf>
    <xf numFmtId="164" fontId="15" fillId="3" borderId="9" applyAlignment="1" pivotButton="0" quotePrefix="0" xfId="0">
      <alignment vertical="center"/>
    </xf>
    <xf numFmtId="164" fontId="15" fillId="4" borderId="10" applyAlignment="1" pivotButton="0" quotePrefix="0" xfId="0">
      <alignment vertical="center"/>
    </xf>
    <xf numFmtId="164" fontId="15" fillId="4" borderId="9" applyAlignment="1" pivotButton="0" quotePrefix="0" xfId="0">
      <alignment vertical="center"/>
    </xf>
    <xf numFmtId="164" fontId="15" fillId="5" borderId="10" applyAlignment="1" pivotButton="0" quotePrefix="0" xfId="0">
      <alignment vertical="center"/>
    </xf>
    <xf numFmtId="164" fontId="15" fillId="5" borderId="9" applyAlignment="1" pivotButton="0" quotePrefix="0" xfId="0">
      <alignment vertical="center"/>
    </xf>
    <xf numFmtId="164" fontId="15" fillId="6" borderId="10" applyAlignment="1" pivotButton="0" quotePrefix="0" xfId="0">
      <alignment vertical="center"/>
    </xf>
    <xf numFmtId="164" fontId="15" fillId="6" borderId="9" applyAlignment="1" pivotButton="0" quotePrefix="0" xfId="0">
      <alignment vertical="center"/>
    </xf>
    <xf numFmtId="164" fontId="15" fillId="6" borderId="11" applyAlignment="1" pivotButton="0" quotePrefix="0" xfId="0">
      <alignment vertical="center"/>
    </xf>
    <xf numFmtId="164" fontId="14" fillId="2" borderId="8" applyAlignment="1" pivotButton="0" quotePrefix="0" xfId="0">
      <alignment vertical="center"/>
    </xf>
    <xf numFmtId="0" fontId="12" fillId="0" borderId="5" applyAlignment="1" pivotButton="0" quotePrefix="0" xfId="0">
      <alignment horizontal="left" vertical="center"/>
    </xf>
    <xf numFmtId="0" fontId="16" fillId="0" borderId="5" applyAlignment="1" pivotButton="0" quotePrefix="0" xfId="0">
      <alignment horizontal="left" vertical="center"/>
    </xf>
    <xf numFmtId="164" fontId="12" fillId="12" borderId="5" applyAlignment="1" pivotButton="0" quotePrefix="0" xfId="0">
      <alignment vertical="center"/>
    </xf>
    <xf numFmtId="0" fontId="16" fillId="0" borderId="5" applyAlignment="1" pivotButton="0" quotePrefix="1" xfId="0">
      <alignment horizontal="left" vertical="center"/>
    </xf>
    <xf numFmtId="164" fontId="13" fillId="13" borderId="8" applyAlignment="1" pivotButton="0" quotePrefix="0" xfId="0">
      <alignment vertical="center"/>
    </xf>
    <xf numFmtId="164" fontId="17" fillId="15" borderId="0" applyAlignment="1" pivotButton="0" quotePrefix="0" xfId="0">
      <alignment horizontal="center"/>
    </xf>
    <xf numFmtId="164" fontId="12" fillId="12" borderId="7" applyAlignment="1" pivotButton="0" quotePrefix="0" xfId="0">
      <alignment vertical="center"/>
    </xf>
    <xf numFmtId="164" fontId="12" fillId="9" borderId="5" applyAlignment="1" pivotButton="0" quotePrefix="0" xfId="0">
      <alignment vertical="center"/>
    </xf>
    <xf numFmtId="164" fontId="12" fillId="10" borderId="6" applyAlignment="1" pivotButton="0" quotePrefix="0" xfId="0">
      <alignment vertical="center"/>
    </xf>
    <xf numFmtId="164" fontId="12" fillId="10" borderId="5" applyAlignment="1" pivotButton="0" quotePrefix="0" xfId="0">
      <alignment vertical="center"/>
    </xf>
    <xf numFmtId="164" fontId="12" fillId="11" borderId="6" applyAlignment="1" pivotButton="0" quotePrefix="0" xfId="0">
      <alignment vertical="center"/>
    </xf>
    <xf numFmtId="164" fontId="12" fillId="11" borderId="5" applyAlignment="1" pivotButton="0" quotePrefix="0" xfId="0">
      <alignment vertical="center"/>
    </xf>
    <xf numFmtId="164" fontId="12" fillId="12" borderId="6" applyAlignment="1" pivotButton="0" quotePrefix="0" xfId="0">
      <alignment vertical="center"/>
    </xf>
    <xf numFmtId="0" fontId="14" fillId="2" borderId="12" applyAlignment="1" pivotButton="0" quotePrefix="0" xfId="0">
      <alignment horizontal="right" vertical="center"/>
    </xf>
    <xf numFmtId="164" fontId="15" fillId="16" borderId="12" applyAlignment="1" pivotButton="0" quotePrefix="0" xfId="0">
      <alignment vertical="center"/>
    </xf>
    <xf numFmtId="164" fontId="15" fillId="17" borderId="13" applyAlignment="1" pivotButton="0" quotePrefix="0" xfId="0">
      <alignment vertical="center"/>
    </xf>
    <xf numFmtId="164" fontId="15" fillId="17" borderId="12" applyAlignment="1" pivotButton="0" quotePrefix="0" xfId="0">
      <alignment vertical="center"/>
    </xf>
    <xf numFmtId="164" fontId="15" fillId="18" borderId="13" applyAlignment="1" pivotButton="0" quotePrefix="0" xfId="0">
      <alignment vertical="center"/>
    </xf>
    <xf numFmtId="164" fontId="15" fillId="18" borderId="12" applyAlignment="1" pivotButton="0" quotePrefix="0" xfId="0">
      <alignment vertical="center"/>
    </xf>
    <xf numFmtId="164" fontId="15" fillId="19" borderId="13" applyAlignment="1" pivotButton="0" quotePrefix="0" xfId="0">
      <alignment vertical="center"/>
    </xf>
    <xf numFmtId="164" fontId="15" fillId="19" borderId="12" applyAlignment="1" pivotButton="0" quotePrefix="0" xfId="0">
      <alignment vertical="center"/>
    </xf>
    <xf numFmtId="164" fontId="15" fillId="19" borderId="14" applyAlignment="1" pivotButton="0" quotePrefix="0" xfId="0">
      <alignment vertical="center"/>
    </xf>
    <xf numFmtId="164" fontId="14" fillId="20" borderId="15" applyAlignment="1" pivotButton="0" quotePrefix="0" xfId="0">
      <alignment vertical="center"/>
    </xf>
    <xf numFmtId="164" fontId="1" fillId="0" borderId="0" applyAlignment="1" pivotButton="0" quotePrefix="0" xfId="0">
      <alignment wrapText="1"/>
    </xf>
    <xf numFmtId="10" fontId="1" fillId="0" borderId="0" pivotButton="0" quotePrefix="0" xfId="0"/>
    <xf numFmtId="0" fontId="18" fillId="0" borderId="0" applyAlignment="1" pivotButton="0" quotePrefix="0" xfId="0">
      <alignment horizontal="center" vertical="center"/>
    </xf>
    <xf numFmtId="0" fontId="19" fillId="0" borderId="2" applyAlignment="1" pivotButton="0" quotePrefix="0" xfId="0">
      <alignment horizontal="center" vertical="center"/>
    </xf>
    <xf numFmtId="0" fontId="1" fillId="0" borderId="2" pivotButton="0" quotePrefix="0" xfId="0"/>
    <xf numFmtId="0" fontId="20" fillId="0" borderId="2" applyAlignment="1" pivotButton="0" quotePrefix="0" xfId="0">
      <alignment horizontal="left" vertical="center"/>
    </xf>
    <xf numFmtId="164" fontId="3" fillId="0" borderId="0" pivotButton="0" quotePrefix="0" xfId="0"/>
    <xf numFmtId="164" fontId="3" fillId="0" borderId="2" pivotButton="0" quotePrefix="0" xfId="0"/>
    <xf numFmtId="164" fontId="1" fillId="0" borderId="0" pivotButton="0" quotePrefix="0" xfId="0"/>
    <xf numFmtId="0" fontId="3" fillId="0" borderId="0" applyAlignment="1" pivotButton="0" quotePrefix="0" xfId="0">
      <alignment horizontal="left"/>
    </xf>
    <xf numFmtId="164" fontId="3" fillId="0" borderId="0" applyAlignment="1" pivotButton="0" quotePrefix="0" xfId="0">
      <alignment horizontal="left"/>
    </xf>
    <xf numFmtId="14" fontId="3" fillId="0" borderId="0" applyAlignment="1" pivotButton="0" quotePrefix="0" xfId="0">
      <alignment horizontal="left"/>
    </xf>
    <xf numFmtId="14" fontId="1" fillId="0" borderId="0" pivotButton="0" quotePrefix="0" xfId="0"/>
    <xf numFmtId="166" fontId="1" fillId="0" borderId="0" pivotButton="0" quotePrefix="0" xfId="0"/>
    <xf numFmtId="167" fontId="1" fillId="0" borderId="0" pivotButton="0" quotePrefix="0" xfId="0"/>
    <xf numFmtId="0" fontId="3" fillId="0" borderId="16" pivotButton="0" quotePrefix="0" xfId="0"/>
    <xf numFmtId="164" fontId="3" fillId="0" borderId="16" pivotButton="0" quotePrefix="0" xfId="0"/>
    <xf numFmtId="14" fontId="1" fillId="0" borderId="16" pivotButton="0" quotePrefix="0" xfId="0"/>
    <xf numFmtId="0" fontId="1" fillId="0" borderId="16" pivotButton="0" quotePrefix="0" xfId="0"/>
    <xf numFmtId="0" fontId="1" fillId="0" borderId="17" pivotButton="0" quotePrefix="0" xfId="0"/>
    <xf numFmtId="164" fontId="1" fillId="0" borderId="17" pivotButton="0" quotePrefix="0" xfId="0"/>
    <xf numFmtId="14" fontId="1" fillId="0" borderId="17" pivotButton="0" quotePrefix="0" xfId="0"/>
    <xf numFmtId="0" fontId="1" fillId="0" borderId="0" applyAlignment="1" pivotButton="0" quotePrefix="0" xfId="0">
      <alignment wrapText="1"/>
    </xf>
    <xf numFmtId="168" fontId="1" fillId="0" borderId="0" pivotButton="0" quotePrefix="0" xfId="0"/>
    <xf numFmtId="0" fontId="1" fillId="0" borderId="0" applyAlignment="1" pivotButton="0" quotePrefix="0" xfId="0">
      <alignment horizontal="left" vertical="center"/>
    </xf>
    <xf numFmtId="9" fontId="1" fillId="0" borderId="0" pivotButton="0" quotePrefix="0" xfId="0"/>
    <xf numFmtId="0" fontId="21" fillId="0" borderId="0" pivotButton="0" quotePrefix="0" xfId="0"/>
    <xf numFmtId="0" fontId="3" fillId="0" borderId="0" applyAlignment="1" pivotButton="0" quotePrefix="0" xfId="0">
      <alignment horizontal="left" vertical="center"/>
    </xf>
    <xf numFmtId="9" fontId="3" fillId="0" borderId="0" applyAlignment="1" pivotButton="0" quotePrefix="0" xfId="0">
      <alignment horizontal="left"/>
    </xf>
    <xf numFmtId="164" fontId="1" fillId="0" borderId="0" applyAlignment="1" pivotButton="0" quotePrefix="0" xfId="0">
      <alignment horizontal="right" vertical="center"/>
    </xf>
    <xf numFmtId="164" fontId="3" fillId="21" borderId="18" pivotButton="0" quotePrefix="0" xfId="0"/>
    <xf numFmtId="1" fontId="1" fillId="0" borderId="0" pivotButton="0" quotePrefix="0" xfId="0"/>
    <xf numFmtId="168" fontId="3" fillId="0" borderId="0" pivotButton="0" quotePrefix="0" xfId="0"/>
    <xf numFmtId="0" fontId="1" fillId="0" borderId="0" applyAlignment="1" pivotButton="0" quotePrefix="0" xfId="0">
      <alignment horizontal="left"/>
    </xf>
    <xf numFmtId="164" fontId="1" fillId="0" borderId="0" applyAlignment="1" pivotButton="0" quotePrefix="0" xfId="0">
      <alignment horizontal="left"/>
    </xf>
    <xf numFmtId="14" fontId="1" fillId="0" borderId="0" applyAlignment="1" pivotButton="0" quotePrefix="0" xfId="0">
      <alignment horizontal="left"/>
    </xf>
    <xf numFmtId="164" fontId="1" fillId="0" borderId="0"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horizontal="center"/>
    </xf>
    <xf numFmtId="0" fontId="3" fillId="0" borderId="17" pivotButton="0" quotePrefix="0" xfId="0"/>
    <xf numFmtId="0" fontId="1" fillId="0" borderId="17" applyAlignment="1" pivotButton="0" quotePrefix="0" xfId="0">
      <alignment horizontal="left" vertical="center"/>
    </xf>
    <xf numFmtId="9" fontId="1" fillId="0" borderId="17" pivotButton="0" quotePrefix="0" xfId="0"/>
    <xf numFmtId="0" fontId="2" fillId="0" borderId="0" pivotButton="0" quotePrefix="0" xfId="0"/>
    <xf numFmtId="0" fontId="21" fillId="0" borderId="19" applyAlignment="1" pivotButton="0" quotePrefix="0" xfId="0">
      <alignment horizontal="center"/>
    </xf>
    <xf numFmtId="0" fontId="7" fillId="0" borderId="19" pivotButton="0" quotePrefix="0" xfId="0"/>
    <xf numFmtId="164" fontId="23" fillId="0" borderId="0" pivotButton="0" quotePrefix="0" xfId="0"/>
    <xf numFmtId="169" fontId="1" fillId="0" borderId="0" pivotButton="0" quotePrefix="0" xfId="0"/>
    <xf numFmtId="169" fontId="3" fillId="0" borderId="0" pivotButton="0" quotePrefix="0" xfId="0"/>
    <xf numFmtId="0" fontId="10" fillId="7" borderId="5" applyAlignment="1" pivotButton="0" quotePrefix="0" xfId="0">
      <alignment horizontal="left" vertical="center"/>
    </xf>
    <xf numFmtId="0" fontId="3" fillId="0" borderId="20" pivotButton="0" quotePrefix="0" xfId="0"/>
    <xf numFmtId="0" fontId="1" fillId="0" borderId="21" pivotButton="0" quotePrefix="0" xfId="0"/>
    <xf numFmtId="168" fontId="1" fillId="22" borderId="22" pivotButton="0" quotePrefix="0" xfId="0"/>
    <xf numFmtId="168" fontId="1" fillId="0" borderId="23" pivotButton="0" quotePrefix="0" xfId="0"/>
    <xf numFmtId="0" fontId="1" fillId="0" borderId="23" pivotButton="0" quotePrefix="0" xfId="0"/>
    <xf numFmtId="0" fontId="3" fillId="0" borderId="1" pivotButton="0" quotePrefix="0" xfId="0"/>
    <xf numFmtId="0" fontId="1" fillId="0" borderId="24" pivotButton="0" quotePrefix="0" xfId="0"/>
    <xf numFmtId="0" fontId="1" fillId="0" borderId="25" pivotButton="0" quotePrefix="0" xfId="0"/>
    <xf numFmtId="0" fontId="0" fillId="0" borderId="0" pivotButton="0" quotePrefix="0" xfId="0"/>
    <xf numFmtId="164" fontId="24" fillId="0" borderId="0" pivotButton="0" quotePrefix="0" xfId="0"/>
    <xf numFmtId="164" fontId="24" fillId="24" borderId="0" pivotButton="0" quotePrefix="0" xfId="0"/>
    <xf numFmtId="0" fontId="0" fillId="0" borderId="0" applyAlignment="1" pivotButton="0" quotePrefix="0" xfId="0">
      <alignment wrapText="1"/>
    </xf>
    <xf numFmtId="0" fontId="0" fillId="0" borderId="4" pivotButton="0" quotePrefix="0" xfId="0"/>
    <xf numFmtId="164" fontId="12" fillId="23" borderId="5" applyAlignment="1" pivotButton="0" quotePrefix="0" xfId="0">
      <alignment vertical="center"/>
    </xf>
    <xf numFmtId="164" fontId="12" fillId="23" borderId="6" applyAlignment="1" pivotButton="0" quotePrefix="0" xfId="0">
      <alignment vertical="center"/>
    </xf>
    <xf numFmtId="164" fontId="17" fillId="23" borderId="0" applyAlignment="1" pivotButton="0" quotePrefix="0" xfId="0">
      <alignment horizontal="center"/>
    </xf>
    <xf numFmtId="164" fontId="12" fillId="23" borderId="7" applyAlignment="1" pivotButton="0" quotePrefix="0" xfId="0">
      <alignment vertical="center"/>
    </xf>
    <xf numFmtId="0" fontId="24" fillId="0" borderId="5" applyAlignment="1" pivotButton="0" quotePrefix="0" xfId="0">
      <alignment horizontal="left" vertical="center"/>
    </xf>
    <xf numFmtId="164" fontId="12" fillId="24" borderId="5" applyAlignment="1" pivotButton="0" quotePrefix="0" xfId="0">
      <alignment vertical="center"/>
    </xf>
    <xf numFmtId="164" fontId="12" fillId="24" borderId="6" applyAlignment="1" pivotButton="0" quotePrefix="0" xfId="0">
      <alignment vertical="center"/>
    </xf>
    <xf numFmtId="0" fontId="3" fillId="0" borderId="0" applyAlignment="1" pivotButton="0" quotePrefix="0" xfId="0">
      <alignment wrapText="1"/>
    </xf>
    <xf numFmtId="0" fontId="2" fillId="0" borderId="0" applyAlignment="1" pivotButton="0" quotePrefix="0" xfId="0">
      <alignment wrapText="1"/>
    </xf>
    <xf numFmtId="0" fontId="25" fillId="0" borderId="0" applyAlignment="1" pivotButton="0" quotePrefix="0" xfId="0">
      <alignment horizontal="center" vertical="center"/>
    </xf>
    <xf numFmtId="164" fontId="1" fillId="23" borderId="0" pivotButton="0" quotePrefix="0" xfId="0"/>
    <xf numFmtId="164" fontId="0" fillId="0" borderId="0" pivotButton="0" quotePrefix="0" xfId="0"/>
    <xf numFmtId="164" fontId="1" fillId="24" borderId="0" applyAlignment="1" pivotButton="0" quotePrefix="0" xfId="0">
      <alignment horizontal="left"/>
    </xf>
    <xf numFmtId="164" fontId="1" fillId="23" borderId="0" applyAlignment="1" pivotButton="0" quotePrefix="0" xfId="0">
      <alignment horizontal="left"/>
    </xf>
    <xf numFmtId="0" fontId="27" fillId="0" borderId="0" pivotButton="0" quotePrefix="0" xfId="0"/>
    <xf numFmtId="164" fontId="0" fillId="24" borderId="0" pivotButton="0" quotePrefix="0" xfId="0"/>
    <xf numFmtId="0" fontId="0" fillId="0" borderId="19" pivotButton="0" quotePrefix="0" xfId="0"/>
    <xf numFmtId="0" fontId="26" fillId="0" borderId="0" pivotButton="0" quotePrefix="0" xfId="0"/>
    <xf numFmtId="164" fontId="0" fillId="23" borderId="0" pivotButton="0" quotePrefix="0" xfId="0"/>
    <xf numFmtId="0" fontId="28" fillId="0" borderId="26" pivotButton="0" quotePrefix="0" xfId="0"/>
    <xf numFmtId="0" fontId="29" fillId="25" borderId="26" pivotButton="0" quotePrefix="0" xfId="0"/>
    <xf numFmtId="0" fontId="29" fillId="24" borderId="26" pivotButton="0" quotePrefix="0" xfId="0"/>
    <xf numFmtId="0" fontId="30" fillId="26" borderId="26" pivotButton="0" quotePrefix="0" xfId="0"/>
    <xf numFmtId="0" fontId="31" fillId="27" borderId="26" pivotButton="0" quotePrefix="0" xfId="0"/>
    <xf numFmtId="2" fontId="29" fillId="0" borderId="26" pivotButton="0" quotePrefix="0" xfId="0"/>
    <xf numFmtId="2" fontId="29" fillId="26" borderId="26" pivotButton="0" quotePrefix="0" xfId="0"/>
    <xf numFmtId="0" fontId="30" fillId="0" borderId="26" pivotButton="0" quotePrefix="0" xfId="0"/>
    <xf numFmtId="165" fontId="30" fillId="26" borderId="26" pivotButton="0" quotePrefix="0" xfId="0"/>
    <xf numFmtId="0" fontId="29" fillId="0" borderId="26" applyAlignment="1" pivotButton="0" quotePrefix="0" xfId="0">
      <alignment wrapText="1"/>
    </xf>
    <xf numFmtId="0" fontId="32" fillId="0" borderId="26" pivotButton="0" quotePrefix="0" xfId="0"/>
    <xf numFmtId="0" fontId="29" fillId="28" borderId="26" applyAlignment="1" pivotButton="0" quotePrefix="0" xfId="0">
      <alignment vertical="center" wrapText="1"/>
    </xf>
    <xf numFmtId="165" fontId="29" fillId="28" borderId="26" applyAlignment="1" pivotButton="0" quotePrefix="0" xfId="0">
      <alignment vertical="center" wrapText="1"/>
    </xf>
    <xf numFmtId="0" fontId="29" fillId="28" borderId="26" pivotButton="0" quotePrefix="0" xfId="0"/>
    <xf numFmtId="165" fontId="29" fillId="28" borderId="26" pivotButton="0" quotePrefix="0" xfId="0"/>
    <xf numFmtId="0" fontId="27" fillId="0" borderId="0" applyAlignment="1" pivotButton="0" quotePrefix="0" xfId="0">
      <alignment vertical="top" wrapText="1"/>
    </xf>
    <xf numFmtId="0" fontId="33" fillId="27" borderId="0" applyAlignment="1" pivotButton="0" quotePrefix="0" xfId="0">
      <alignment vertical="center" wrapText="1"/>
    </xf>
    <xf numFmtId="0" fontId="24" fillId="0" borderId="0" pivotButton="0" quotePrefix="0" xfId="0"/>
    <xf numFmtId="164" fontId="24" fillId="30" borderId="0" pivotButton="0" quotePrefix="0" xfId="0"/>
    <xf numFmtId="0" fontId="24" fillId="29" borderId="0" pivotButton="0" quotePrefix="0" xfId="0"/>
    <xf numFmtId="0" fontId="24" fillId="28" borderId="0" pivotButton="0" quotePrefix="0" xfId="0"/>
    <xf numFmtId="0" fontId="24" fillId="0" borderId="0" applyAlignment="1" pivotButton="0" quotePrefix="0" xfId="0">
      <alignment vertical="top" wrapText="1"/>
    </xf>
    <xf numFmtId="164" fontId="24" fillId="28" borderId="0" pivotButton="0" quotePrefix="0" xfId="0"/>
    <xf numFmtId="0" fontId="24" fillId="23" borderId="0" pivotButton="0" quotePrefix="0" xfId="0"/>
    <xf numFmtId="0" fontId="24" fillId="24" borderId="0" pivotButton="0" quotePrefix="0" xfId="0"/>
    <xf numFmtId="0" fontId="24" fillId="30" borderId="0" pivotButton="0" quotePrefix="0" xfId="0"/>
    <xf numFmtId="0" fontId="24" fillId="26" borderId="0" pivotButton="0" quotePrefix="0" xfId="0"/>
    <xf numFmtId="0" fontId="33" fillId="27" borderId="0" pivotButton="0" quotePrefix="0" xfId="0"/>
    <xf numFmtId="0" fontId="27" fillId="24" borderId="0" applyAlignment="1" pivotButton="0" quotePrefix="0" xfId="0">
      <alignment vertical="top" wrapText="1"/>
    </xf>
    <xf numFmtId="0" fontId="24" fillId="24" borderId="0" applyAlignment="1" pivotButton="0" quotePrefix="0" xfId="0">
      <alignment vertical="top" wrapText="1"/>
    </xf>
    <xf numFmtId="0" fontId="0" fillId="0" borderId="0" applyAlignment="1" pivotButton="0" quotePrefix="0" xfId="0">
      <alignment vertical="top" wrapText="1"/>
    </xf>
    <xf numFmtId="164" fontId="24" fillId="23" borderId="0" pivotButton="0" quotePrefix="0" xfId="0"/>
    <xf numFmtId="164" fontId="2" fillId="0" borderId="0" pivotButton="0" quotePrefix="0" xfId="0"/>
    <xf numFmtId="164" fontId="1" fillId="30" borderId="0" pivotButton="0" quotePrefix="0" xfId="0"/>
    <xf numFmtId="164" fontId="1" fillId="28" borderId="0" pivotButton="0" quotePrefix="0" xfId="0"/>
    <xf numFmtId="170" fontId="1" fillId="28" borderId="0" applyAlignment="1" pivotButton="0" quotePrefix="0" xfId="0">
      <alignment horizontal="left"/>
    </xf>
    <xf numFmtId="164" fontId="1" fillId="28" borderId="0" applyAlignment="1" pivotButton="0" quotePrefix="0" xfId="0">
      <alignment horizontal="left"/>
    </xf>
    <xf numFmtId="170" fontId="1" fillId="0" borderId="0" applyAlignment="1" pivotButton="0" quotePrefix="0" xfId="0">
      <alignment horizontal="left"/>
    </xf>
    <xf numFmtId="0" fontId="0" fillId="28" borderId="0" applyAlignment="1" pivotButton="0" quotePrefix="0" xfId="0">
      <alignment vertical="top" wrapText="1"/>
    </xf>
    <xf numFmtId="0" fontId="0" fillId="24" borderId="0" pivotButton="0" quotePrefix="0" xfId="0"/>
    <xf numFmtId="0" fontId="27" fillId="28" borderId="0" pivotButton="0" quotePrefix="0" xfId="0"/>
    <xf numFmtId="0" fontId="0" fillId="28" borderId="0" pivotButton="0" quotePrefix="0" xfId="0"/>
    <xf numFmtId="164" fontId="0" fillId="28" borderId="0" pivotButton="0" quotePrefix="0" xfId="0"/>
    <xf numFmtId="0" fontId="27" fillId="24" borderId="0" pivotButton="0" quotePrefix="0" xfId="0"/>
    <xf numFmtId="164" fontId="24" fillId="2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externalLink" Target="/xl/externalLinks/externalLink1.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None</author>
  </authors>
  <commentList>
    <comment ref="A5" authorId="0" shapeId="0">
      <text>
        <t>======
ID#AAABfvHoPEA
Jacob Coley    (2025-03-13 17:55:52)
In-laws currently assisting with the mortage and utilities.</t>
      </text>
    </comment>
  </commentList>
</comments>
</file>

<file path=xl/comments/comment2.xml><?xml version="1.0" encoding="utf-8"?>
<comments xmlns="http://schemas.openxmlformats.org/spreadsheetml/2006/main">
  <authors>
    <author>None</author>
  </authors>
  <commentList>
    <comment ref="B12" authorId="0" shapeId="0">
      <text>
        <t>======
ID#AAABfvHoPD4
Jacob Coley    (2025-03-13 17:55:52)
AirBnB and VRBO service fees</t>
      </text>
    </comment>
    <comment ref="B13" authorId="0" shapeId="0">
      <text>
        <t>======
ID#AAABfvHoPCo
Jacob Coley    (2025-03-13 17:55:52)
Jacob Coley:</t>
      </text>
    </comment>
    <comment ref="B14" authorId="0" shapeId="0">
      <text>
        <t>======
ID#AAABq_4fwJY
Jacob Coley    (2025-09-10 15:31:12)
INCLUDES UNIT 1 AND 2</t>
      </text>
    </comment>
    <comment ref="B17" authorId="0" shapeId="0">
      <text>
        <t>======
ID#AAABfvHoPDY
Jacob Coley    (2025-03-13 17:55:52)
Includes both units 1 &amp; 2</t>
      </text>
    </comment>
    <comment ref="B20" authorId="0" shapeId="0">
      <text>
        <t>======
ID#AAABq_4fwJU
Jacob Coley    (2025-09-10 15:30:51)
FOR BOTH UNIT 1 AND 2</t>
      </text>
    </comment>
    <comment ref="B22" authorId="0" shapeId="0">
      <text>
        <t>======
ID#AAABfvHoPCs
Jacob Coley    (2025-03-13 17:55:52)
Gia Benline</t>
      </text>
    </comment>
    <comment ref="P24" authorId="0" shapeId="0">
      <text>
        <t>======
ID#AAABfvHoPDg
Jacob Coley    (2025-03-13 17:55:52)
filter</t>
      </text>
    </comment>
    <comment ref="Q24" authorId="0" shapeId="0">
      <text>
        <t>======
ID#AAABfvHoPC4
Jacob Coley    (2025-03-13 17:55:52)
vaccum</t>
      </text>
    </comment>
    <comment ref="R24" authorId="0" shapeId="0">
      <text>
        <t>======
ID#AAABfvHoPB8
Jacob Coley    (2025-03-13 17:55:52)
bed sheet</t>
      </text>
    </comment>
    <comment ref="S24" authorId="0" shapeId="0">
      <text>
        <t>======
ID#AAABfvHoPB0
Jacob Coley    (2025-03-13 17:55:52)
bed sheet 2</t>
      </text>
    </comment>
    <comment ref="T24" authorId="0" shapeId="0">
      <text>
        <t>======
ID#AAABfvHoPCA
Jacob Coley    (2025-03-13 17:55:52)
bed sheets 3</t>
      </text>
    </comment>
    <comment ref="U24" authorId="0" shapeId="0">
      <text>
        <t>======
ID#AAABfvHoPCQ
Jacob Coley    (2025-03-13 17:55:52)
Carpet Clearner and Stain vaccum</t>
      </text>
    </comment>
    <comment ref="B33" authorId="0" shapeId="0">
      <text>
        <t>======
ID#AAABfvHoPD8
Jacob Coley    (2025-03-13 17:55:52)
TrueGreen</t>
      </text>
    </comment>
  </commentList>
</comments>
</file>

<file path=xl/comments/comment3.xml><?xml version="1.0" encoding="utf-8"?>
<comments xmlns="http://schemas.openxmlformats.org/spreadsheetml/2006/main">
  <authors>
    <author>None</author>
  </authors>
  <commentList>
    <comment ref="P15" authorId="0" shapeId="0">
      <text>
        <t>======
ID#AAABfvHoPC0
Jacob Coley    (2025-03-13 17:55:52)
painting</t>
      </text>
    </comment>
    <comment ref="T16" authorId="0" shapeId="0">
      <text>
        <t>======
ID#AAABfvHoPBw
Jacob Coley    (2025-03-13 17:55:52)
self repair</t>
      </text>
    </comment>
    <comment ref="U16" authorId="0" shapeId="0">
      <text>
        <t>======
ID#AAABfvHoPDI
Jacob Coley    (2025-03-13 17:55:52)
electrical work</t>
      </text>
    </comment>
    <comment ref="Z16" authorId="0" shapeId="0">
      <text>
        <t>======
ID#AAABfvHoPDQ
Jacob Coley    (2025-03-13 17:55:52)
pluming</t>
      </text>
    </comment>
    <comment ref="P29" authorId="0" shapeId="0">
      <text>
        <t>======
ID#AAABfvHoPCw
Jacob Coley    (2025-03-13 17:55:52)
Washer/Dryer</t>
      </text>
    </comment>
  </commentList>
</comments>
</file>

<file path=xl/comments/comment4.xml><?xml version="1.0" encoding="utf-8"?>
<comments xmlns="http://schemas.openxmlformats.org/spreadsheetml/2006/main">
  <authors>
    <author>None</author>
  </authors>
  <commentList>
    <comment ref="A9" authorId="0" shapeId="0">
      <text>
        <t>======
ID#AAABfvHoPDs
Jacob Coley    (2025-03-13 17:55:52)
Sabri: drywall, electrical, garage, etc.</t>
      </text>
    </comment>
    <comment ref="A10" authorId="0" shapeId="0">
      <text>
        <t>======
ID#AAABfvHoPDc
Jacob Coley    (2025-03-13 17:55:52)
shelving, paint supplies, soft mat, storage tubs</t>
      </text>
    </comment>
    <comment ref="A11" authorId="0" shapeId="0">
      <text>
        <t>======
ID#AAABfvHoPBs
Jacob Coley    (2025-03-13 17:55:52)
sofa, rug = , space heater 82.68, Shelving</t>
      </text>
    </comment>
    <comment ref="A13" authorId="0" shapeId="0">
      <text>
        <t>======
ID#AAABfvHoPCE
Jacob Coley    (2025-03-13 17:55:52)
Instagram Ads</t>
      </text>
    </comment>
    <comment ref="A15" authorId="0" shapeId="0">
      <text>
        <t>======
ID#AAABfvHoPCg
Jacob Coley    (2025-03-13 17:55:52)
wire transfer fees 20, tax filing ?, LLC annual renewal with tailor brands $228</t>
      </text>
    </comment>
    <comment ref="A17" authorId="0" shapeId="0">
      <text>
        <t>======
ID#AAABfvHoPDM
Jacob Coley    (2025-03-13 17:55:52)
website = $18, cloud storage google $2, cloud storage apple = $10, ChatGPT = $19.99, Videoleap = $3</t>
      </text>
    </comment>
    <comment ref="A18" authorId="0" shapeId="0">
      <text>
        <t>======
ID#AAABfvHoPEE
Jacob Coley    (2025-03-13 17:55:52)
extender for internet = 77.16
security cameras = 384</t>
      </text>
    </comment>
    <comment ref="A36" authorId="0" shapeId="0">
      <text>
        <t>======
ID#AAABfvHoPCY
Jacob Coley    (2025-03-13 17:55:52)
standing desk</t>
      </text>
    </comment>
    <comment ref="A38" authorId="0" shapeId="0">
      <text>
        <t>======
ID#AAABfvHoPEc
Jacob Coley    (2025-03-13 17:55:52)
Instagram Ads</t>
      </text>
    </comment>
    <comment ref="A40" authorId="0" shapeId="0">
      <text>
        <t>======
ID#AAABfvHoPDU
Jacob Coley    (2025-03-13 17:55:52)
wire transfer fees, tax filing ?, LLC annual renewal with tailor brands ?, Register LLC with tailor brands?</t>
      </text>
    </comment>
    <comment ref="A42" authorId="0" shapeId="0">
      <text>
        <t>======
ID#AAABfvHoPDA
Jacob Coley    (2025-03-13 17:55:52)
website = $18, cloud storage google $2, cloud storage apple = $10, ChatGPT = $19.99, Videoleap = $3</t>
      </text>
    </comment>
    <comment ref="A43" authorId="0" shapeId="0">
      <text>
        <t>======
ID#AAABfvHoPDw
Jacob Coley    (2025-03-13 17:55:52)
Ipad = ?
Iphone = ?</t>
      </text>
    </comment>
    <comment ref="I44" authorId="0" shapeId="0">
      <text>
        <t>======
ID#AAABfvHoPBg
Jacob Coley    (2025-03-13 17:55:52)
Website Developer</t>
      </text>
    </comment>
    <comment ref="J44" authorId="0" shapeId="0">
      <text>
        <t>======
ID#AAABfvHoPC8
Jacob Coley    (2025-03-13 17:55:52)
Website Developer</t>
      </text>
    </comment>
  </commentList>
</comments>
</file>

<file path=xl/comments/comment5.xml><?xml version="1.0" encoding="utf-8"?>
<comments xmlns="http://schemas.openxmlformats.org/spreadsheetml/2006/main">
  <authors>
    <author>None</author>
  </authors>
  <commentList>
    <comment ref="C3" authorId="0" shapeId="0">
      <text>
        <t>======
ID#AAABfvHoPCM
tc={0B907F11-759F-478A-9E28-697196A96E08}    (2025-03-13 17:55:52)
[Threaded comment]
Your version of Excel allows you to read this threaded comment; however, any edits to it will get removed if the file is opened in a newer version of Excel. Learn more: https://go.microsoft.com/fwlink/?linkid=870924
Comment:
    Includes taxes and shipping</t>
      </text>
    </comment>
    <comment ref="E12" authorId="0" shapeId="0">
      <text>
        <t>======
ID#AAABfvHoPEU
Jacob Coley    (2025-03-13 17:55:52)
International</t>
      </text>
    </comment>
    <comment ref="E13" authorId="0" shapeId="0">
      <text>
        <t>======
ID#AAABfvHoPBk
Jacob Coley    (2025-03-13 17:55:52)
International</t>
      </text>
    </comment>
    <comment ref="A18" authorId="0" shapeId="0">
      <text>
        <t>======
ID#AAABfvHoPCI
Jacob Coley    (2025-03-13 17:55:52)
Ex. collection Carlo Gay, purchased from the Metropolitan Museum of Art, 1950’s and 1960’s. Found in the 20th century by Metropolitan expeditions and subsequently sold from the museum shop. Ex. Robin Oliver Gay, 11/12/98. Ex-Fred Schultz</t>
      </text>
    </comment>
    <comment ref="A43" authorId="0" shapeId="0">
      <text>
        <t>======
ID#AAABfvHoPEI
Jacob Coley    (2025-03-13 17:55:52)
middle man</t>
      </text>
    </comment>
    <comment ref="A44" authorId="0" shapeId="0">
      <text>
        <t>======
ID#AAABfvHoPCc
Jacob Coley    (2025-03-13 17:55:52)
Co-purchase</t>
      </text>
    </comment>
    <comment ref="A73" authorId="0" shapeId="0">
      <text>
        <t>======
ID#AAABfvHoPBc
Jacob Coley    (2025-03-13 17:55:52)
Finders Fee</t>
      </text>
    </comment>
    <comment ref="A74" authorId="0" shapeId="0">
      <text>
        <t>======
ID#AAABfvHoPEM
Jacob Coley    (2025-03-13 17:55:52)
Finders Fee</t>
      </text>
    </comment>
    <comment ref="C80" authorId="0" shapeId="0">
      <text>
        <t>======
ID#AAABsxbhmK0
Jacob Coley    (2025-10-30 02:56:34)
2,000 for collection and 2,005
to Amyas for mount making</t>
      </text>
    </comment>
    <comment ref="C98" authorId="0" shapeId="0">
      <text>
        <t>======
ID#AAABfvHoPDk
Jacob Coley    (2025-03-13 17:55:52)
Jacob Coley: $795
plus framing: 536.41</t>
      </text>
    </comment>
  </commentList>
</comments>
</file>

<file path=xl/comments/comment6.xml><?xml version="1.0" encoding="utf-8"?>
<comments xmlns="http://schemas.openxmlformats.org/spreadsheetml/2006/main">
  <authors>
    <author>None</author>
  </authors>
  <commentList>
    <comment ref="A4" authorId="0" shapeId="0">
      <text>
        <t>======
ID#AAABfvHoPBo
Jacob Coley    (2025-03-13 17:55:52)
Megan is on maternity leave and contract will expire at the end of the year. Will have a better idea of her 2023 projection soon.</t>
      </text>
    </comment>
    <comment ref="A11" authorId="0" shapeId="0">
      <text>
        <t>======
ID#AAABfvHoPDo
Jacob Coley    (2025-03-13 17:55:52)
Megan is on maternity leave and contract will expire at the end of the year. Will have a better idea of her 2023 projection soon.</t>
      </text>
    </comment>
  </commentList>
</comments>
</file>

<file path=xl/comments/comment7.xml><?xml version="1.0" encoding="utf-8"?>
<comments xmlns="http://schemas.openxmlformats.org/spreadsheetml/2006/main">
  <authors>
    <author>None</author>
  </authors>
  <commentList>
    <comment ref="A11" authorId="0" shapeId="0">
      <text>
        <t>======
ID#AAABfvHoPCU
Jacob Coley    (2025-03-13 17:55:52)
Megan is on maternity leave and contract will expire at the end of the year. Will have a better idea of her 2023 projection soon.</t>
      </text>
    </comment>
    <comment ref="A17" authorId="0" shapeId="0">
      <text>
        <t>======
ID#AAABfvHoPCk
Jacob Coley    (2025-03-13 17:55:52)
Megan is on maternity leave and contract will expire at the end of the year. Will have a better idea of her 2023 projection soon.</t>
      </text>
    </comment>
  </commentList>
</comments>
</file>

<file path=xl/comments/comment8.xml><?xml version="1.0" encoding="utf-8"?>
<comments xmlns="http://schemas.openxmlformats.org/spreadsheetml/2006/main">
  <authors>
    <author>None</author>
  </authors>
  <commentList>
    <comment ref="B14" authorId="0" shapeId="0">
      <text>
        <t>======
ID#AAABfvHoPEY
Jacob Coley    (2025-03-13 17:55:52)
For both units</t>
      </text>
    </comment>
    <comment ref="J16" authorId="0" shapeId="0">
      <text>
        <t>======
ID#AAABfvHoPD0
Jacob Coley    (2025-03-13 17:55:52)
Primary Bedroom Capret</t>
      </text>
    </comment>
    <comment ref="B21" authorId="0" shapeId="0">
      <text>
        <t>======
ID#AAABfvHoPEQ
Jacob Coley    (2025-03-13 17:55:52)
Includes both units 1 &amp; 2</t>
      </text>
    </comment>
    <comment ref="J28" authorId="0" shapeId="0">
      <text>
        <t>======
ID#AAABfvHoPDE
Jacob Coley    (2025-03-13 17:55:52)
Washer and Dryer, Stove,</t>
      </text>
    </comment>
    <comment ref="B68" authorId="0" shapeId="0">
      <text>
        <t>======
ID#AAABfvHoPB4
Jacob Coley    (2025-03-13 17:55:52)
1. Can we run the property at a loss?
2. What can be deducted?
3. LLC or SP?
4. Tax write off vs. Tax Free Annual Gifting
5. First-Time Homebuyers Tax Credit?
6. Can we write-off closing costs?</t>
      </text>
    </comment>
  </commentList>
</comments>
</file>

<file path=xl/externalLinks/_rels/externalLink1.xml.rels><Relationships xmlns="http://schemas.openxmlformats.org/package/2006/relationships"><Relationship Type="http://schemas.openxmlformats.org/officeDocument/2006/relationships/externalLinkPath" Target="file:///C:\Users\jacobcoley\Downloads\IC-Property-Management-Spreadsheet-907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Property Management Overview"/>
      <sheetName val="Property 1"/>
      <sheetName val="Property 2"/>
      <sheetName val="Property 3"/>
      <sheetName val="Property 4"/>
      <sheetName val="Property 5"/>
      <sheetName val="Property 6"/>
      <sheetName val="Property 7"/>
      <sheetName val="Property 8"/>
      <sheetName val="Property 9"/>
      <sheetName val="Property 10"/>
      <sheetName val="Property 11"/>
      <sheetName val="Property 12"/>
      <sheetName val="- Disclaimer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tabColor rgb="FFFF0000"/>
    <outlinePr summaryBelow="1" summaryRight="1"/>
    <pageSetUpPr/>
  </sheetPr>
  <dimension ref="A1:I12"/>
  <sheetViews>
    <sheetView workbookViewId="0">
      <selection activeCell="A1" sqref="A1"/>
    </sheetView>
  </sheetViews>
  <sheetFormatPr baseColWidth="8" defaultColWidth="14.43" defaultRowHeight="15" customHeight="1"/>
  <cols>
    <col width="19.57" customWidth="1" style="137" min="1" max="1"/>
    <col width="16.71" customWidth="1" style="137" min="2" max="2"/>
    <col width="16.86" customWidth="1" style="137" min="3" max="3"/>
    <col width="12.71" customWidth="1" style="137" min="4" max="4"/>
    <col width="12.14" customWidth="1" style="137" min="5" max="5"/>
    <col width="8.710000000000001" customWidth="1" style="137" min="6" max="6"/>
    <col width="11.14" customWidth="1" style="137" min="7" max="7"/>
    <col width="14" customWidth="1" style="137" min="8" max="26"/>
    <col width="14" customWidth="1" style="137" min="9" max="9"/>
  </cols>
  <sheetData>
    <row r="1" ht="14.25" customHeight="1" s="137">
      <c r="B1" s="1" t="n">
        <v>2022</v>
      </c>
      <c r="C1" s="122" t="n">
        <v>2022</v>
      </c>
      <c r="D1" s="3" t="n">
        <v>2023</v>
      </c>
      <c r="E1" s="122" t="n">
        <v>2023</v>
      </c>
      <c r="F1" s="3" t="n">
        <v>2024</v>
      </c>
      <c r="G1" s="122" t="n">
        <v>2024</v>
      </c>
      <c r="H1" s="3" t="n">
        <v>2025</v>
      </c>
      <c r="I1" s="3" t="n">
        <v>2025</v>
      </c>
    </row>
    <row r="2" ht="14.25" customHeight="1" s="137">
      <c r="B2" s="88" t="inlineStr">
        <is>
          <t xml:space="preserve">Projected </t>
        </is>
      </c>
      <c r="C2" s="122" t="inlineStr">
        <is>
          <t>Actual</t>
        </is>
      </c>
      <c r="D2" s="3" t="inlineStr">
        <is>
          <t xml:space="preserve">Projected </t>
        </is>
      </c>
      <c r="E2" s="122" t="inlineStr">
        <is>
          <t>Actual</t>
        </is>
      </c>
      <c r="F2" s="3" t="inlineStr">
        <is>
          <t>Projected</t>
        </is>
      </c>
      <c r="G2" s="122" t="inlineStr">
        <is>
          <t>Actual</t>
        </is>
      </c>
      <c r="H2" s="3" t="inlineStr">
        <is>
          <t>Projected</t>
        </is>
      </c>
      <c r="I2" s="122" t="inlineStr">
        <is>
          <t>Actual</t>
        </is>
      </c>
    </row>
    <row r="3" ht="14.25" customHeight="1" s="137">
      <c r="A3" s="5" t="inlineStr">
        <is>
          <t>Income</t>
        </is>
      </c>
      <c r="B3" s="88" t="n"/>
      <c r="D3" s="3" t="n"/>
      <c r="F3" s="3" t="n"/>
    </row>
    <row r="4" ht="14.25" customHeight="1" s="137">
      <c r="A4" s="122" t="inlineStr">
        <is>
          <t xml:space="preserve">Hindman </t>
        </is>
      </c>
      <c r="B4" s="88" t="n">
        <v>92000</v>
      </c>
      <c r="C4" s="88" t="n">
        <v>97876.85000000001</v>
      </c>
      <c r="D4" s="6" t="n">
        <v>110000</v>
      </c>
      <c r="E4" s="88" t="n">
        <v>115000</v>
      </c>
      <c r="F4" s="11" t="n">
        <v>110000</v>
      </c>
      <c r="G4" s="9" t="n"/>
      <c r="H4" s="138" t="n">
        <v>110000</v>
      </c>
      <c r="I4" s="139" t="n">
        <v>70618</v>
      </c>
    </row>
    <row r="5" ht="14.25" customHeight="1" s="137">
      <c r="A5" s="122" t="inlineStr">
        <is>
          <t>216 N. Oak Park Ave</t>
        </is>
      </c>
      <c r="B5" s="88" t="n">
        <v>0</v>
      </c>
      <c r="C5" s="88" t="n">
        <v>125</v>
      </c>
      <c r="D5" s="6" t="n">
        <v>1500</v>
      </c>
      <c r="E5" s="88" t="n"/>
      <c r="F5" s="11" t="n">
        <v>1500</v>
      </c>
      <c r="G5" s="9" t="n"/>
      <c r="H5" s="138" t="n">
        <v>19500</v>
      </c>
      <c r="I5" s="138" t="n">
        <v>19500</v>
      </c>
    </row>
    <row r="6" ht="14.25" customHeight="1" s="137">
      <c r="A6" s="122" t="inlineStr">
        <is>
          <t>524 Ferdinand Ave #2</t>
        </is>
      </c>
      <c r="B6" s="88" t="n"/>
      <c r="C6" s="88" t="n"/>
      <c r="D6" s="6" t="n"/>
      <c r="E6" s="88" t="n"/>
      <c r="F6" s="11" t="n">
        <v>20000</v>
      </c>
      <c r="G6" s="9" t="n"/>
      <c r="H6" s="138" t="n">
        <v>17000</v>
      </c>
      <c r="I6" s="138" t="n">
        <v>17086.94</v>
      </c>
    </row>
    <row r="7" ht="14.25" customHeight="1" s="137">
      <c r="A7" s="122" t="inlineStr">
        <is>
          <t>GCM Boards</t>
        </is>
      </c>
      <c r="B7" s="88" t="n">
        <v>14000</v>
      </c>
      <c r="C7" s="88" t="n">
        <v>25875</v>
      </c>
      <c r="D7" s="6" t="n">
        <v>14700</v>
      </c>
      <c r="E7" s="88" t="n">
        <v>14700</v>
      </c>
      <c r="F7" s="11" t="n">
        <v>16000</v>
      </c>
      <c r="G7" s="10" t="n"/>
      <c r="H7" s="138" t="n">
        <v>21500</v>
      </c>
      <c r="I7" s="138" t="n">
        <v>21500</v>
      </c>
    </row>
    <row r="8" ht="14.25" customHeight="1" s="137">
      <c r="A8" s="122" t="inlineStr">
        <is>
          <t>Art Sales</t>
        </is>
      </c>
      <c r="B8" s="88" t="n">
        <v>10000</v>
      </c>
      <c r="C8" s="88" t="n">
        <v>15000</v>
      </c>
      <c r="D8" s="6" t="n">
        <v>15000</v>
      </c>
      <c r="E8" s="88" t="n">
        <v>54777.25</v>
      </c>
      <c r="F8" s="11" t="n">
        <v>20000</v>
      </c>
      <c r="G8" s="9" t="n"/>
      <c r="H8" s="138" t="n">
        <v>20000</v>
      </c>
      <c r="I8" s="139" t="n">
        <v>23055.06</v>
      </c>
    </row>
    <row r="9" ht="14.25" customHeight="1" s="137">
      <c r="A9" s="122" t="inlineStr">
        <is>
          <t>Megan's Income</t>
        </is>
      </c>
      <c r="B9" s="88" t="n">
        <v>67000</v>
      </c>
      <c r="C9" s="88" t="n">
        <v>67000</v>
      </c>
      <c r="D9" s="6" t="n">
        <v>74000</v>
      </c>
      <c r="E9" s="88" t="n"/>
      <c r="F9" s="11" t="n">
        <v>0</v>
      </c>
      <c r="G9" s="9" t="n"/>
      <c r="H9" s="138" t="n">
        <v>0</v>
      </c>
      <c r="I9" s="138" t="n">
        <v>0</v>
      </c>
    </row>
    <row r="10" ht="14.25" customHeight="1" s="137">
      <c r="A10" s="12" t="inlineStr">
        <is>
          <t>EBITDA</t>
        </is>
      </c>
      <c r="B10" s="13">
        <f>SUM(B4:B9)</f>
        <v/>
      </c>
      <c r="C10" s="13">
        <f>SUM(C4:C9)</f>
        <v/>
      </c>
      <c r="D10" s="13">
        <f>SUM(D4:D9)</f>
        <v/>
      </c>
      <c r="E10" s="13">
        <f>SUM(E4:E9)</f>
        <v/>
      </c>
      <c r="F10" s="14">
        <f>SUM(F4:F9)</f>
        <v/>
      </c>
      <c r="G10" s="15">
        <f>SUM(G4:G9)</f>
        <v/>
      </c>
      <c r="H10" s="14">
        <f>SUM(H4:H9)</f>
        <v/>
      </c>
      <c r="I10" s="14">
        <f>SUM(I4:I9)</f>
        <v/>
      </c>
    </row>
    <row r="11" ht="14.25" customHeight="1" s="137">
      <c r="A11" s="5" t="n"/>
      <c r="B11" s="88" t="n"/>
    </row>
    <row r="12" ht="48" customHeight="1" s="137">
      <c r="A12" s="191" t="inlineStr">
        <is>
          <t>2025 Actual: I4 Monarch paycheck cash ≠ W-2 Box 1. I5 216 LTR cash $19,500. I6 524 #2 STR platform net LOCKED. I7 GCM 1099-NEC $21,500. I8 Art net $23,055.06 = MATCHED Mercury deals only (Berk lots $30,000 − $22,944.94 Cost) + seals $1,000 + mosaics $15,000. Excludes Sale 6428 $11,000 until Cost, David Aaron $13,595 (proposed), Erdal/Aysel/EOEB/L5 ASK. Not tax advice.</t>
        </is>
      </c>
      <c r="B12" s="88" t="n"/>
    </row>
    <row r="13" ht="14.25" customHeight="1" s="137"/>
    <row r="14" ht="14.25" customHeight="1" s="137"/>
    <row r="15" ht="14.25" customHeight="1" s="137"/>
    <row r="16" ht="14.25" customHeight="1" s="137"/>
    <row r="17" ht="14.25" customHeight="1" s="137"/>
    <row r="18" ht="14.25" customHeight="1" s="137"/>
    <row r="19" ht="14.25" customHeight="1" s="137"/>
    <row r="20" ht="14.25" customHeight="1" s="137"/>
    <row r="21" ht="14.25" customHeight="1" s="137"/>
    <row r="22" ht="14.25" customHeight="1" s="137"/>
    <row r="23" ht="14.25" customHeight="1" s="137"/>
    <row r="24" ht="14.25" customHeight="1" s="137"/>
    <row r="25" ht="14.25" customHeight="1" s="137"/>
    <row r="26" ht="14.25" customHeight="1" s="137"/>
    <row r="27" ht="14.25" customHeight="1" s="137"/>
    <row r="28" ht="14.25" customHeight="1" s="137"/>
    <row r="29" ht="14.25" customHeight="1" s="137"/>
    <row r="30" ht="14.25" customHeight="1" s="137"/>
    <row r="31" ht="14.25" customHeight="1" s="137"/>
    <row r="32" ht="14.25" customHeight="1" s="137"/>
    <row r="33" ht="14.25" customHeight="1" s="137"/>
    <row r="34" ht="14.25" customHeight="1" s="137"/>
    <row r="35" ht="14.25" customHeight="1" s="137"/>
    <row r="36" ht="14.25" customHeight="1" s="137"/>
    <row r="37" ht="14.25" customHeight="1" s="137"/>
    <row r="38" ht="14.25" customHeight="1" s="137"/>
    <row r="39" ht="14.25" customHeight="1" s="137"/>
    <row r="40" ht="14.25" customHeight="1" s="137"/>
    <row r="41" ht="14.25" customHeight="1" s="137"/>
    <row r="42" ht="14.25" customHeight="1" s="137"/>
    <row r="43" ht="14.25" customHeight="1" s="137"/>
    <row r="44" ht="14.25" customHeight="1" s="137"/>
    <row r="45" ht="14.25" customHeight="1" s="137"/>
    <row r="46" ht="14.25" customHeight="1" s="137"/>
    <row r="47" ht="14.25" customHeight="1" s="137"/>
    <row r="48" ht="14.25" customHeight="1" s="137"/>
    <row r="49" ht="14.25" customHeight="1" s="137"/>
    <row r="50" ht="14.25" customHeight="1" s="137"/>
    <row r="51" ht="14.25" customHeight="1" s="137"/>
    <row r="52" ht="14.25" customHeight="1" s="137"/>
    <row r="53" ht="14.25" customHeight="1" s="137"/>
    <row r="54" ht="14.25" customHeight="1" s="137"/>
    <row r="55" ht="14.25" customHeight="1" s="137"/>
    <row r="56" ht="14.25" customHeight="1" s="137"/>
    <row r="57" ht="14.25" customHeight="1" s="137"/>
    <row r="58" ht="14.25" customHeight="1" s="137"/>
    <row r="59" ht="14.25" customHeight="1" s="137"/>
    <row r="60" ht="14.25" customHeight="1" s="137"/>
    <row r="61" ht="14.25" customHeight="1" s="137"/>
    <row r="62" ht="14.25" customHeight="1" s="137"/>
    <row r="63" ht="14.25" customHeight="1" s="137"/>
    <row r="64" ht="14.25" customHeight="1" s="137"/>
    <row r="65" ht="14.25" customHeight="1" s="137"/>
    <row r="66" ht="14.25" customHeight="1" s="137"/>
    <row r="67" ht="14.25" customHeight="1" s="137"/>
    <row r="68" ht="14.25" customHeight="1" s="137"/>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1" summaryRight="1"/>
    <pageSetUpPr/>
  </sheetPr>
  <dimension ref="A1:AO39"/>
  <sheetViews>
    <sheetView workbookViewId="0">
      <selection activeCell="A1" sqref="A1"/>
    </sheetView>
  </sheetViews>
  <sheetFormatPr baseColWidth="8" defaultColWidth="14.43" defaultRowHeight="15" customHeight="1"/>
  <cols>
    <col width="4.57" customWidth="1" style="137" min="1" max="1"/>
    <col width="50" customWidth="1" style="137" min="2" max="2"/>
    <col hidden="1" width="12.57" customWidth="1" style="137" min="3" max="3"/>
    <col hidden="1" width="10" customWidth="1" style="137" min="4" max="11"/>
    <col hidden="1" width="11.14" customWidth="1" style="137" min="12" max="12"/>
    <col hidden="1" width="10" customWidth="1" style="137" min="13" max="14"/>
    <col hidden="1" width="16.57" customWidth="1" style="137" min="15" max="15"/>
    <col width="8.710000000000001" customWidth="1" style="137" min="16" max="26"/>
    <col width="13" customWidth="1" style="137" min="17" max="17"/>
    <col width="13" customWidth="1" style="137" min="18" max="18"/>
    <col width="13" customWidth="1" style="137" min="19" max="19"/>
    <col width="13" customWidth="1" style="137" min="20" max="20"/>
    <col width="13" customWidth="1" style="137" min="21" max="21"/>
    <col width="13" customWidth="1" style="137" min="22" max="22"/>
    <col width="13" customWidth="1" style="137" min="23" max="23"/>
    <col width="13" customWidth="1" style="137" min="24" max="24"/>
    <col width="13" customWidth="1" style="137" min="25" max="25"/>
    <col width="13" customWidth="1" style="137" min="26" max="26"/>
    <col width="11.14" customWidth="1" style="137" min="27" max="27"/>
    <col width="16.57" customWidth="1" style="137" min="28" max="28"/>
    <col width="8.710000000000001" customWidth="1" style="137" min="29" max="29"/>
    <col width="13" customWidth="1" style="137" min="30" max="30"/>
    <col width="13" customWidth="1" style="137" min="31" max="31"/>
    <col width="13" customWidth="1" style="137" min="32" max="32"/>
    <col width="13" customWidth="1" style="137" min="33" max="33"/>
    <col width="13" customWidth="1" style="137" min="34" max="34"/>
    <col width="13" customWidth="1" style="137" min="35" max="35"/>
    <col width="13" customWidth="1" style="137" min="36" max="36"/>
    <col width="13" customWidth="1" style="137" min="37" max="37"/>
    <col width="13" customWidth="1" style="137" min="38" max="38"/>
    <col width="13" customWidth="1" style="137" min="39" max="39"/>
    <col width="11.14" customWidth="1" style="137" min="40" max="40"/>
    <col width="16.57" customWidth="1" style="137" min="41" max="41"/>
  </cols>
  <sheetData>
    <row r="1" ht="14.25" customHeight="1" s="137">
      <c r="A1" s="16" t="n"/>
      <c r="B1" s="17" t="inlineStr">
        <is>
          <t>PROPERTY ADDRESS</t>
        </is>
      </c>
      <c r="C1" s="18" t="inlineStr">
        <is>
          <t>524 Ferdinand Avenue, Unit 2</t>
        </is>
      </c>
      <c r="D1" s="141" t="n"/>
      <c r="E1" s="141" t="n"/>
      <c r="F1" s="141" t="n"/>
      <c r="G1" s="141" t="n"/>
      <c r="H1" s="141" t="n"/>
      <c r="I1" s="141" t="n"/>
      <c r="J1" s="141" t="n"/>
      <c r="K1" s="141" t="n"/>
      <c r="L1" s="141" t="n"/>
      <c r="M1" s="141" t="n"/>
      <c r="N1" s="141" t="n"/>
      <c r="O1" s="141" t="n"/>
      <c r="P1" s="18" t="inlineStr">
        <is>
          <t>524 Ferdinand Avenue, Unit 2</t>
        </is>
      </c>
      <c r="Q1" s="141" t="n"/>
      <c r="R1" s="141" t="n"/>
      <c r="S1" s="141" t="n"/>
      <c r="T1" s="141" t="n"/>
      <c r="U1" s="141" t="n"/>
      <c r="V1" s="141" t="n"/>
      <c r="W1" s="141" t="n"/>
      <c r="X1" s="141" t="n"/>
      <c r="Y1" s="141" t="n"/>
      <c r="Z1" s="141" t="n"/>
      <c r="AA1" s="141" t="n"/>
      <c r="AB1" s="141" t="n"/>
      <c r="AC1" s="18" t="inlineStr">
        <is>
          <t>524 Ferdinand Avenue, Unit 2</t>
        </is>
      </c>
      <c r="AD1" s="141" t="n"/>
      <c r="AE1" s="141" t="n"/>
      <c r="AF1" s="141" t="n"/>
      <c r="AG1" s="141" t="n"/>
      <c r="AH1" s="141" t="n"/>
      <c r="AI1" s="141" t="n"/>
      <c r="AJ1" s="141" t="n"/>
      <c r="AK1" s="141" t="n"/>
      <c r="AL1" s="141" t="n"/>
      <c r="AM1" s="141" t="n"/>
      <c r="AN1" s="141" t="n"/>
      <c r="AO1" s="141" t="n"/>
    </row>
    <row r="2" ht="14.25" customHeight="1" s="137">
      <c r="A2" s="20" t="n"/>
      <c r="B2" s="21" t="inlineStr">
        <is>
          <t>INCOME</t>
        </is>
      </c>
      <c r="C2" s="22" t="inlineStr">
        <is>
          <t>JAN</t>
        </is>
      </c>
      <c r="D2" s="22" t="inlineStr">
        <is>
          <t>FEB</t>
        </is>
      </c>
      <c r="E2" s="22" t="inlineStr">
        <is>
          <t>MAR</t>
        </is>
      </c>
      <c r="F2" s="23" t="inlineStr">
        <is>
          <t>APR</t>
        </is>
      </c>
      <c r="G2" s="24" t="inlineStr">
        <is>
          <t>MAY</t>
        </is>
      </c>
      <c r="H2" s="24" t="inlineStr">
        <is>
          <t>JUN</t>
        </is>
      </c>
      <c r="I2" s="25" t="inlineStr">
        <is>
          <t>JUL</t>
        </is>
      </c>
      <c r="J2" s="26" t="inlineStr">
        <is>
          <t>AUG</t>
        </is>
      </c>
      <c r="K2" s="26" t="inlineStr">
        <is>
          <t>SEPT</t>
        </is>
      </c>
      <c r="L2" s="27" t="inlineStr">
        <is>
          <t>OCT</t>
        </is>
      </c>
      <c r="M2" s="28" t="inlineStr">
        <is>
          <t>NOV</t>
        </is>
      </c>
      <c r="N2" s="29" t="inlineStr">
        <is>
          <t>DEC</t>
        </is>
      </c>
      <c r="O2" s="30" t="inlineStr">
        <is>
          <t>2023 YR TOTAL</t>
        </is>
      </c>
      <c r="P2" s="22" t="inlineStr">
        <is>
          <t>JAN</t>
        </is>
      </c>
      <c r="Q2" s="22" t="inlineStr">
        <is>
          <t>FEB</t>
        </is>
      </c>
      <c r="R2" s="22" t="inlineStr">
        <is>
          <t>MAR</t>
        </is>
      </c>
      <c r="S2" s="23" t="inlineStr">
        <is>
          <t>APR</t>
        </is>
      </c>
      <c r="T2" s="24" t="inlineStr">
        <is>
          <t>MAY</t>
        </is>
      </c>
      <c r="U2" s="24" t="inlineStr">
        <is>
          <t>JUN</t>
        </is>
      </c>
      <c r="V2" s="25" t="inlineStr">
        <is>
          <t>JUL</t>
        </is>
      </c>
      <c r="W2" s="26" t="inlineStr">
        <is>
          <t>AUG</t>
        </is>
      </c>
      <c r="X2" s="26" t="inlineStr">
        <is>
          <t>SEPT</t>
        </is>
      </c>
      <c r="Y2" s="27" t="inlineStr">
        <is>
          <t>OCT</t>
        </is>
      </c>
      <c r="Z2" s="28" t="inlineStr">
        <is>
          <t>NOV</t>
        </is>
      </c>
      <c r="AA2" s="29" t="inlineStr">
        <is>
          <t>DEC</t>
        </is>
      </c>
      <c r="AB2" s="30" t="inlineStr">
        <is>
          <t>2024 YR TOTAL</t>
        </is>
      </c>
      <c r="AC2" s="22" t="inlineStr">
        <is>
          <t>JAN</t>
        </is>
      </c>
      <c r="AD2" s="22" t="inlineStr">
        <is>
          <t>FEB</t>
        </is>
      </c>
      <c r="AE2" s="22" t="inlineStr">
        <is>
          <t>MAR</t>
        </is>
      </c>
      <c r="AF2" s="23" t="inlineStr">
        <is>
          <t>APR</t>
        </is>
      </c>
      <c r="AG2" s="24" t="inlineStr">
        <is>
          <t>MAY</t>
        </is>
      </c>
      <c r="AH2" s="24" t="inlineStr">
        <is>
          <t>JUN</t>
        </is>
      </c>
      <c r="AI2" s="25" t="inlineStr">
        <is>
          <t>JUL</t>
        </is>
      </c>
      <c r="AJ2" s="26" t="inlineStr">
        <is>
          <t>AUG</t>
        </is>
      </c>
      <c r="AK2" s="26" t="inlineStr">
        <is>
          <t>SEPT</t>
        </is>
      </c>
      <c r="AL2" s="27" t="inlineStr">
        <is>
          <t>OCT</t>
        </is>
      </c>
      <c r="AM2" s="28" t="inlineStr">
        <is>
          <t>NOV</t>
        </is>
      </c>
      <c r="AN2" s="29" t="inlineStr">
        <is>
          <t>DEC</t>
        </is>
      </c>
      <c r="AO2" s="30" t="inlineStr">
        <is>
          <t>2025 YR TOTAL</t>
        </is>
      </c>
    </row>
    <row r="3" ht="14.25" customHeight="1" s="137">
      <c r="B3" s="128" t="inlineStr">
        <is>
          <t>MULTI-PROPERTY INCOME OVERVIEW</t>
        </is>
      </c>
      <c r="C3" s="32" t="n"/>
      <c r="D3" s="32" t="n"/>
      <c r="E3" s="32" t="n"/>
      <c r="F3" s="33" t="n"/>
      <c r="G3" s="32" t="n"/>
      <c r="H3" s="32" t="n"/>
      <c r="I3" s="33" t="n"/>
      <c r="J3" s="32" t="n"/>
      <c r="K3" s="32" t="n"/>
      <c r="L3" s="33" t="n"/>
      <c r="M3" s="32" t="n"/>
      <c r="N3" s="34" t="n"/>
      <c r="O3" s="35" t="n"/>
      <c r="P3" s="32" t="n"/>
      <c r="Q3" s="32" t="n"/>
      <c r="R3" s="32" t="n"/>
      <c r="S3" s="33" t="n"/>
      <c r="T3" s="32" t="n"/>
      <c r="U3" s="32" t="n"/>
      <c r="V3" s="33" t="n"/>
      <c r="W3" s="32" t="n"/>
      <c r="X3" s="32" t="n"/>
      <c r="Y3" s="33" t="n"/>
      <c r="Z3" s="32" t="n"/>
      <c r="AA3" s="34" t="n"/>
      <c r="AB3" s="35" t="n"/>
      <c r="AC3" s="32" t="n"/>
      <c r="AD3" s="32" t="n"/>
      <c r="AE3" s="32" t="n"/>
      <c r="AF3" s="33" t="n"/>
      <c r="AG3" s="32" t="n"/>
      <c r="AH3" s="32" t="n"/>
      <c r="AI3" s="33" t="n"/>
      <c r="AJ3" s="32" t="n"/>
      <c r="AK3" s="32" t="n"/>
      <c r="AL3" s="33" t="n"/>
      <c r="AM3" s="32" t="n"/>
      <c r="AN3" s="34" t="n"/>
      <c r="AO3" s="35" t="n"/>
    </row>
    <row r="4" ht="14.25" customHeight="1" s="137">
      <c r="B4" s="57" t="inlineStr">
        <is>
          <t>MULTI-PROPERTY INCOME OVERVIEW</t>
        </is>
      </c>
      <c r="C4" s="64" t="n">
        <v>0</v>
      </c>
      <c r="D4" s="64" t="n">
        <v>0</v>
      </c>
      <c r="E4" s="64" t="n">
        <v>0</v>
      </c>
      <c r="F4" s="65" t="n">
        <v>0</v>
      </c>
      <c r="G4" s="66" t="n">
        <v>0</v>
      </c>
      <c r="H4" s="66" t="n">
        <v>0</v>
      </c>
      <c r="I4" s="67" t="n">
        <v>0</v>
      </c>
      <c r="J4" s="68" t="n">
        <v>0</v>
      </c>
      <c r="K4" s="68" t="n">
        <v>0</v>
      </c>
      <c r="L4" s="69" t="n">
        <v>0</v>
      </c>
      <c r="M4" s="59" t="n">
        <v>0</v>
      </c>
      <c r="N4" s="63" t="n">
        <v>0</v>
      </c>
      <c r="O4" s="61">
        <f>SUM(C4:N4)</f>
        <v/>
      </c>
      <c r="P4" s="64" t="n">
        <v>0</v>
      </c>
      <c r="Q4" s="64" t="n">
        <v>0</v>
      </c>
      <c r="R4" s="64" t="n">
        <v>0</v>
      </c>
      <c r="S4" s="65" t="n">
        <v>0</v>
      </c>
      <c r="T4" s="66" t="n">
        <v>0</v>
      </c>
      <c r="U4" s="66" t="n">
        <v>0</v>
      </c>
      <c r="V4" s="67" t="n">
        <v>0</v>
      </c>
      <c r="W4" s="68" t="n">
        <v>0</v>
      </c>
      <c r="X4" s="68" t="n">
        <v>0</v>
      </c>
      <c r="Y4" s="69" t="n">
        <v>0</v>
      </c>
      <c r="Z4" s="59" t="n">
        <v>0</v>
      </c>
      <c r="AA4" s="63" t="n">
        <v>0</v>
      </c>
      <c r="AB4" s="61">
        <f>SUM(P4:AA4)</f>
        <v/>
      </c>
      <c r="AC4" s="64" t="n">
        <v>0</v>
      </c>
      <c r="AD4" s="64" t="n">
        <v>0</v>
      </c>
      <c r="AE4" s="64" t="n">
        <v>0</v>
      </c>
      <c r="AF4" s="65" t="n">
        <v>0</v>
      </c>
      <c r="AG4" s="66" t="n">
        <v>0</v>
      </c>
      <c r="AH4" s="66" t="n">
        <v>0</v>
      </c>
      <c r="AI4" s="67" t="n">
        <v>0</v>
      </c>
      <c r="AJ4" s="68" t="n">
        <v>0</v>
      </c>
      <c r="AK4" s="68" t="n">
        <v>0</v>
      </c>
      <c r="AL4" s="69" t="n">
        <v>0</v>
      </c>
      <c r="AM4" s="59" t="n">
        <v>0</v>
      </c>
      <c r="AN4" s="63" t="n">
        <v>0</v>
      </c>
      <c r="AO4" s="61">
        <f>SUM(AC4:AN4)</f>
        <v/>
      </c>
    </row>
    <row r="5" ht="14.25" customHeight="1" s="137">
      <c r="B5" s="57" t="inlineStr">
        <is>
          <t>RENTAL INCOME</t>
        </is>
      </c>
      <c r="C5" s="64" t="n"/>
      <c r="D5" s="64" t="n"/>
      <c r="E5" s="64" t="n"/>
      <c r="F5" s="46" t="n"/>
      <c r="G5" s="46" t="n"/>
      <c r="H5" s="46" t="n"/>
      <c r="I5" s="68" t="n"/>
      <c r="J5" s="68" t="n"/>
      <c r="K5" s="68" t="n"/>
      <c r="L5" s="59" t="n"/>
      <c r="M5" s="59" t="n">
        <v>600</v>
      </c>
      <c r="N5" s="59" t="n">
        <v>450</v>
      </c>
      <c r="O5" s="61">
        <f>SUM(C5:N5)</f>
        <v/>
      </c>
      <c r="P5" s="64" t="n"/>
      <c r="Q5" s="64" t="n"/>
      <c r="R5" s="64" t="n"/>
      <c r="S5" s="46" t="n"/>
      <c r="T5" s="46" t="n"/>
      <c r="U5" s="46" t="n"/>
      <c r="V5" s="68" t="n"/>
      <c r="W5" s="68" t="n"/>
      <c r="X5" s="68" t="n"/>
      <c r="Y5" s="59" t="n"/>
      <c r="Z5" s="59" t="n"/>
      <c r="AA5" s="59" t="n">
        <v>22705</v>
      </c>
      <c r="AB5" s="61">
        <f>SUM(P5:AA5)</f>
        <v/>
      </c>
      <c r="AC5" s="64" t="n">
        <v>0</v>
      </c>
      <c r="AD5" s="64" t="n">
        <v>0</v>
      </c>
      <c r="AE5" s="64" t="n">
        <v>0</v>
      </c>
      <c r="AF5" s="46" t="n">
        <v>0</v>
      </c>
      <c r="AG5" s="46" t="n">
        <v>0</v>
      </c>
      <c r="AH5" s="142" t="n">
        <v>3479.6</v>
      </c>
      <c r="AI5" s="142" t="n">
        <v>3180.81</v>
      </c>
      <c r="AJ5" s="142" t="n">
        <v>1757.5</v>
      </c>
      <c r="AK5" s="142" t="n">
        <v>2690.16</v>
      </c>
      <c r="AL5" s="142" t="n">
        <v>1261.64</v>
      </c>
      <c r="AM5" s="142" t="n">
        <v>1509.84</v>
      </c>
      <c r="AN5" s="59" t="n">
        <v>0</v>
      </c>
      <c r="AO5" s="61">
        <f>SUM(AC5:AN5)</f>
        <v/>
      </c>
    </row>
    <row r="6" ht="14.25" customHeight="1" s="137">
      <c r="B6" s="47" t="inlineStr">
        <is>
          <t>GROSS RENTAL INCOME</t>
        </is>
      </c>
      <c r="C6" s="48">
        <f>SUM(C4:C5)</f>
        <v/>
      </c>
      <c r="D6" s="48">
        <f>SUM(D4:D5)</f>
        <v/>
      </c>
      <c r="E6" s="48">
        <f>SUM(E4:E5)</f>
        <v/>
      </c>
      <c r="F6" s="49">
        <f>SUM(F4:F5)</f>
        <v/>
      </c>
      <c r="G6" s="50">
        <f>SUM(G4:G5)</f>
        <v/>
      </c>
      <c r="H6" s="50">
        <f>SUM(H4:H5)</f>
        <v/>
      </c>
      <c r="I6" s="51">
        <f>SUM(I4:I5)</f>
        <v/>
      </c>
      <c r="J6" s="52">
        <f>SUM(J4:J5)</f>
        <v/>
      </c>
      <c r="K6" s="52">
        <f>SUM(K4:K5)</f>
        <v/>
      </c>
      <c r="L6" s="53">
        <f>SUM(L4:L5)</f>
        <v/>
      </c>
      <c r="M6" s="54">
        <f>SUM(M4:M5)</f>
        <v/>
      </c>
      <c r="N6" s="55">
        <f>SUM(N4:N5)</f>
        <v/>
      </c>
      <c r="O6" s="56">
        <f>SUM(C6:N6)</f>
        <v/>
      </c>
      <c r="P6" s="48">
        <f>SUM(P4:P5)</f>
        <v/>
      </c>
      <c r="Q6" s="48">
        <f>SUM(Q4:Q5)</f>
        <v/>
      </c>
      <c r="R6" s="48">
        <f>SUM(R4:R5)</f>
        <v/>
      </c>
      <c r="S6" s="49">
        <f>SUM(S4:S5)</f>
        <v/>
      </c>
      <c r="T6" s="50">
        <f>SUM(T4:T5)</f>
        <v/>
      </c>
      <c r="U6" s="50">
        <f>SUM(U4:U5)</f>
        <v/>
      </c>
      <c r="V6" s="51">
        <f>SUM(V4:V5)</f>
        <v/>
      </c>
      <c r="W6" s="52">
        <f>SUM(W4:W5)</f>
        <v/>
      </c>
      <c r="X6" s="52">
        <f>SUM(X4:X5)</f>
        <v/>
      </c>
      <c r="Y6" s="53">
        <f>SUM(Y4:Y5)</f>
        <v/>
      </c>
      <c r="Z6" s="54">
        <f>SUM(Z4:Z5)</f>
        <v/>
      </c>
      <c r="AA6" s="55">
        <f>SUM(AA4:AA5)</f>
        <v/>
      </c>
      <c r="AB6" s="56">
        <f>SUM(P6:AA6)</f>
        <v/>
      </c>
      <c r="AC6" s="48">
        <f>SUM(AC4:AC5)</f>
        <v/>
      </c>
      <c r="AD6" s="48">
        <f>SUM(AD4:AD5)</f>
        <v/>
      </c>
      <c r="AE6" s="48">
        <f>SUM(AE4:AE5)</f>
        <v/>
      </c>
      <c r="AF6" s="49">
        <f>SUM(AF4:AF5)</f>
        <v/>
      </c>
      <c r="AG6" s="50">
        <f>SUM(AG4:AG5)</f>
        <v/>
      </c>
      <c r="AH6" s="50">
        <f>SUM(AH4:AH5)</f>
        <v/>
      </c>
      <c r="AI6" s="51">
        <f>SUM(AI4:AI5)</f>
        <v/>
      </c>
      <c r="AJ6" s="52">
        <f>SUM(AJ4:AJ5)</f>
        <v/>
      </c>
      <c r="AK6" s="52">
        <f>SUM(AK4:AK5)</f>
        <v/>
      </c>
      <c r="AL6" s="53">
        <f>SUM(AL4:AL5)</f>
        <v/>
      </c>
      <c r="AM6" s="54">
        <f>SUM(AM4:AM5)</f>
        <v/>
      </c>
      <c r="AN6" s="55">
        <f>SUM(AN4:AN5)</f>
        <v/>
      </c>
      <c r="AO6" s="56">
        <f>SUM(AC6:AN6)</f>
        <v/>
      </c>
    </row>
    <row r="7" ht="14.25" customHeight="1" s="137"/>
    <row r="8" ht="14.25" customHeight="1" s="137">
      <c r="A8" s="20" t="n"/>
      <c r="B8" s="21" t="inlineStr">
        <is>
          <t>EXPENSES</t>
        </is>
      </c>
      <c r="C8" s="22" t="inlineStr">
        <is>
          <t>JAN</t>
        </is>
      </c>
      <c r="D8" s="22" t="inlineStr">
        <is>
          <t>FEB</t>
        </is>
      </c>
      <c r="E8" s="22" t="inlineStr">
        <is>
          <t>MAR</t>
        </is>
      </c>
      <c r="F8" s="23" t="inlineStr">
        <is>
          <t>APR</t>
        </is>
      </c>
      <c r="G8" s="24" t="inlineStr">
        <is>
          <t>MAY</t>
        </is>
      </c>
      <c r="H8" s="24" t="inlineStr">
        <is>
          <t>JUN</t>
        </is>
      </c>
      <c r="I8" s="25" t="inlineStr">
        <is>
          <t>JUL</t>
        </is>
      </c>
      <c r="J8" s="26" t="inlineStr">
        <is>
          <t>AUG</t>
        </is>
      </c>
      <c r="K8" s="26" t="inlineStr">
        <is>
          <t>SEPT</t>
        </is>
      </c>
      <c r="L8" s="27" t="inlineStr">
        <is>
          <t>OCT</t>
        </is>
      </c>
      <c r="M8" s="28" t="inlineStr">
        <is>
          <t>NOV</t>
        </is>
      </c>
      <c r="N8" s="29" t="inlineStr">
        <is>
          <t>DEC</t>
        </is>
      </c>
      <c r="O8" s="30" t="inlineStr">
        <is>
          <t>YR TOTAL</t>
        </is>
      </c>
      <c r="P8" s="22" t="inlineStr">
        <is>
          <t>JAN</t>
        </is>
      </c>
      <c r="Q8" s="22" t="inlineStr">
        <is>
          <t>FEB</t>
        </is>
      </c>
      <c r="R8" s="22" t="inlineStr">
        <is>
          <t>MAR</t>
        </is>
      </c>
      <c r="S8" s="23" t="inlineStr">
        <is>
          <t>APR</t>
        </is>
      </c>
      <c r="T8" s="24" t="inlineStr">
        <is>
          <t>MAY</t>
        </is>
      </c>
      <c r="U8" s="24" t="inlineStr">
        <is>
          <t>JUN</t>
        </is>
      </c>
      <c r="V8" s="25" t="inlineStr">
        <is>
          <t>JUL</t>
        </is>
      </c>
      <c r="W8" s="26" t="inlineStr">
        <is>
          <t>AUG</t>
        </is>
      </c>
      <c r="X8" s="26" t="inlineStr">
        <is>
          <t>SEPT</t>
        </is>
      </c>
      <c r="Y8" s="27" t="inlineStr">
        <is>
          <t>OCT</t>
        </is>
      </c>
      <c r="Z8" s="28" t="inlineStr">
        <is>
          <t>NOV</t>
        </is>
      </c>
      <c r="AA8" s="29" t="inlineStr">
        <is>
          <t>DEC</t>
        </is>
      </c>
      <c r="AB8" s="30" t="inlineStr">
        <is>
          <t>YR TOTAL</t>
        </is>
      </c>
      <c r="AC8" s="22" t="inlineStr">
        <is>
          <t>JAN</t>
        </is>
      </c>
      <c r="AD8" s="22" t="inlineStr">
        <is>
          <t>FEB</t>
        </is>
      </c>
      <c r="AE8" s="22" t="inlineStr">
        <is>
          <t>MAR</t>
        </is>
      </c>
      <c r="AF8" s="23" t="inlineStr">
        <is>
          <t>APR</t>
        </is>
      </c>
      <c r="AG8" s="24" t="inlineStr">
        <is>
          <t>MAY</t>
        </is>
      </c>
      <c r="AH8" s="24" t="inlineStr">
        <is>
          <t>JUN</t>
        </is>
      </c>
      <c r="AI8" s="25" t="inlineStr">
        <is>
          <t>JUL</t>
        </is>
      </c>
      <c r="AJ8" s="26" t="inlineStr">
        <is>
          <t>AUG</t>
        </is>
      </c>
      <c r="AK8" s="26" t="inlineStr">
        <is>
          <t>SEPT</t>
        </is>
      </c>
      <c r="AL8" s="27" t="inlineStr">
        <is>
          <t>OCT</t>
        </is>
      </c>
      <c r="AM8" s="28" t="inlineStr">
        <is>
          <t>NOV</t>
        </is>
      </c>
      <c r="AN8" s="29" t="inlineStr">
        <is>
          <t>DEC</t>
        </is>
      </c>
      <c r="AO8" s="30" t="inlineStr">
        <is>
          <t>YR TOTAL</t>
        </is>
      </c>
    </row>
    <row r="9" ht="14.25" customHeight="1" s="137">
      <c r="B9" s="128" t="n"/>
      <c r="C9" s="32" t="n"/>
      <c r="D9" s="32" t="n"/>
      <c r="E9" s="32" t="n"/>
      <c r="F9" s="33" t="n"/>
      <c r="G9" s="32" t="n"/>
      <c r="H9" s="32" t="n"/>
      <c r="I9" s="33" t="n"/>
      <c r="J9" s="32" t="n"/>
      <c r="K9" s="32" t="n"/>
      <c r="L9" s="33" t="n"/>
      <c r="M9" s="32" t="n"/>
      <c r="N9" s="34" t="n"/>
      <c r="O9" s="35" t="n"/>
      <c r="P9" s="32" t="n"/>
      <c r="Q9" s="32" t="n"/>
      <c r="R9" s="32" t="n"/>
      <c r="S9" s="33" t="n"/>
      <c r="T9" s="32" t="n"/>
      <c r="U9" s="32" t="n"/>
      <c r="V9" s="33" t="n"/>
      <c r="W9" s="32" t="n"/>
      <c r="X9" s="32" t="n"/>
      <c r="Y9" s="33" t="n"/>
      <c r="Z9" s="32" t="n"/>
      <c r="AA9" s="34" t="n"/>
      <c r="AB9" s="35" t="n"/>
      <c r="AC9" s="32" t="n"/>
      <c r="AD9" s="32" t="n"/>
      <c r="AE9" s="32" t="n"/>
      <c r="AF9" s="33" t="n"/>
      <c r="AG9" s="32" t="n"/>
      <c r="AH9" s="32" t="n"/>
      <c r="AI9" s="33" t="n"/>
      <c r="AJ9" s="32" t="n"/>
      <c r="AK9" s="32" t="n"/>
      <c r="AL9" s="33" t="n"/>
      <c r="AM9" s="32" t="n"/>
      <c r="AN9" s="34" t="n"/>
      <c r="AO9" s="35" t="n"/>
    </row>
    <row r="10" ht="14.25" customHeight="1" s="137">
      <c r="B10" s="57" t="inlineStr">
        <is>
          <t>MULTI-PROPERTY EXPENSES OVERVIEW</t>
        </is>
      </c>
      <c r="C10" s="64" t="n">
        <v>0</v>
      </c>
      <c r="D10" s="64" t="n">
        <v>0</v>
      </c>
      <c r="E10" s="64" t="n">
        <v>0</v>
      </c>
      <c r="F10" s="65" t="n">
        <v>0</v>
      </c>
      <c r="G10" s="66" t="n">
        <v>0</v>
      </c>
      <c r="H10" s="66" t="n">
        <v>0</v>
      </c>
      <c r="I10" s="67" t="n">
        <v>0</v>
      </c>
      <c r="J10" s="68" t="n">
        <v>0</v>
      </c>
      <c r="K10" s="68" t="n">
        <v>0</v>
      </c>
      <c r="L10" s="69" t="n">
        <v>0</v>
      </c>
      <c r="M10" s="59" t="n">
        <v>0</v>
      </c>
      <c r="N10" s="63" t="n">
        <v>0</v>
      </c>
      <c r="O10" s="61">
        <f>SUM(C10:N10)</f>
        <v/>
      </c>
      <c r="P10" s="64" t="n">
        <v>0</v>
      </c>
      <c r="Q10" s="64" t="n">
        <v>0</v>
      </c>
      <c r="R10" s="64" t="n">
        <v>0</v>
      </c>
      <c r="S10" s="65" t="n">
        <v>0</v>
      </c>
      <c r="T10" s="66" t="n">
        <v>0</v>
      </c>
      <c r="U10" s="66" t="n">
        <v>0</v>
      </c>
      <c r="V10" s="67" t="n">
        <v>0</v>
      </c>
      <c r="W10" s="68" t="n">
        <v>0</v>
      </c>
      <c r="X10" s="68" t="n">
        <v>0</v>
      </c>
      <c r="Y10" s="69" t="n">
        <v>0</v>
      </c>
      <c r="Z10" s="59" t="n">
        <v>0</v>
      </c>
      <c r="AA10" s="63" t="n">
        <v>0</v>
      </c>
      <c r="AB10" s="61">
        <f>SUM(P10:AA10)</f>
        <v/>
      </c>
      <c r="AC10" s="64" t="n">
        <v>0</v>
      </c>
      <c r="AD10" s="64" t="n">
        <v>0</v>
      </c>
      <c r="AE10" s="64" t="n">
        <v>0</v>
      </c>
      <c r="AF10" s="65" t="n">
        <v>0</v>
      </c>
      <c r="AG10" s="66" t="n">
        <v>0</v>
      </c>
      <c r="AH10" s="66" t="n">
        <v>0</v>
      </c>
      <c r="AI10" s="67" t="n">
        <v>0</v>
      </c>
      <c r="AJ10" s="68" t="n">
        <v>0</v>
      </c>
      <c r="AK10" s="68" t="n">
        <v>0</v>
      </c>
      <c r="AL10" s="69" t="n">
        <v>0</v>
      </c>
      <c r="AM10" s="59" t="n">
        <v>0</v>
      </c>
      <c r="AN10" s="63" t="n">
        <v>0</v>
      </c>
      <c r="AO10" s="61">
        <f>SUM(AC10:AN10)</f>
        <v/>
      </c>
    </row>
    <row r="11" ht="14.25" customHeight="1" s="137">
      <c r="B11" s="57" t="inlineStr">
        <is>
          <t>MARKETING / ADVERTISING</t>
        </is>
      </c>
      <c r="C11" s="64" t="n">
        <v>0</v>
      </c>
      <c r="D11" s="64" t="n">
        <v>0</v>
      </c>
      <c r="E11" s="64" t="n">
        <v>0</v>
      </c>
      <c r="F11" s="65" t="n">
        <v>0</v>
      </c>
      <c r="G11" s="66" t="n">
        <v>0</v>
      </c>
      <c r="H11" s="66" t="n">
        <v>0</v>
      </c>
      <c r="I11" s="67" t="n">
        <v>0</v>
      </c>
      <c r="J11" s="68" t="n">
        <v>0</v>
      </c>
      <c r="K11" s="68" t="n">
        <v>0</v>
      </c>
      <c r="L11" s="69" t="n">
        <v>0</v>
      </c>
      <c r="M11" s="59" t="n">
        <v>0</v>
      </c>
      <c r="N11" s="63" t="n">
        <v>0</v>
      </c>
      <c r="O11" s="61">
        <f>SUM(C11:N11)</f>
        <v/>
      </c>
      <c r="P11" s="64" t="n">
        <v>0</v>
      </c>
      <c r="Q11" s="64" t="n">
        <v>0</v>
      </c>
      <c r="R11" s="64" t="n">
        <v>0</v>
      </c>
      <c r="S11" s="65" t="n">
        <v>0</v>
      </c>
      <c r="T11" s="66" t="n">
        <v>0</v>
      </c>
      <c r="U11" s="66" t="n">
        <v>0</v>
      </c>
      <c r="V11" s="67" t="n">
        <v>0</v>
      </c>
      <c r="W11" s="68" t="n">
        <v>0</v>
      </c>
      <c r="X11" s="68" t="n">
        <v>0</v>
      </c>
      <c r="Y11" s="69" t="n">
        <v>0</v>
      </c>
      <c r="Z11" s="59" t="n">
        <v>0</v>
      </c>
      <c r="AA11" s="63" t="n">
        <v>0</v>
      </c>
      <c r="AB11" s="61">
        <f>SUM(P11:AA11)</f>
        <v/>
      </c>
      <c r="AC11" s="64" t="n">
        <v>0</v>
      </c>
      <c r="AD11" s="64" t="n">
        <v>0</v>
      </c>
      <c r="AE11" s="64" t="n">
        <v>0</v>
      </c>
      <c r="AF11" s="65" t="n">
        <v>0</v>
      </c>
      <c r="AG11" s="66" t="n">
        <v>0</v>
      </c>
      <c r="AH11" s="66" t="n">
        <v>0</v>
      </c>
      <c r="AI11" s="67" t="n">
        <v>0</v>
      </c>
      <c r="AJ11" s="68" t="n">
        <v>0</v>
      </c>
      <c r="AK11" s="68" t="n">
        <v>0</v>
      </c>
      <c r="AL11" s="69" t="n">
        <v>0</v>
      </c>
      <c r="AM11" s="59" t="n">
        <v>0</v>
      </c>
      <c r="AN11" s="63" t="n">
        <v>0</v>
      </c>
      <c r="AO11" s="61">
        <f>SUM(AC11:AN11)</f>
        <v/>
      </c>
    </row>
    <row r="12" ht="14.25" customHeight="1" s="137">
      <c r="B12" s="57" t="inlineStr">
        <is>
          <t>SERVICE FEES</t>
        </is>
      </c>
      <c r="C12" s="64" t="n">
        <v>0</v>
      </c>
      <c r="D12" s="64" t="n">
        <v>0</v>
      </c>
      <c r="E12" s="64" t="n">
        <v>0</v>
      </c>
      <c r="F12" s="65" t="n">
        <v>0</v>
      </c>
      <c r="G12" s="66" t="n">
        <v>0</v>
      </c>
      <c r="H12" s="66" t="n">
        <v>0</v>
      </c>
      <c r="I12" s="67" t="n">
        <v>0</v>
      </c>
      <c r="J12" s="68" t="n">
        <v>0</v>
      </c>
      <c r="K12" s="68" t="n">
        <v>0</v>
      </c>
      <c r="L12" s="69" t="n">
        <v>0</v>
      </c>
      <c r="M12" s="59" t="n">
        <v>0</v>
      </c>
      <c r="N12" s="63" t="n">
        <v>0</v>
      </c>
      <c r="O12" s="61">
        <f>SUM(C12:N12)</f>
        <v/>
      </c>
      <c r="P12" s="64" t="n">
        <v>0</v>
      </c>
      <c r="Q12" s="64" t="n">
        <v>0</v>
      </c>
      <c r="R12" s="64" t="n">
        <v>0</v>
      </c>
      <c r="S12" s="65" t="n">
        <v>0</v>
      </c>
      <c r="T12" s="66" t="n">
        <v>0</v>
      </c>
      <c r="U12" s="66" t="n">
        <v>0</v>
      </c>
      <c r="V12" s="67" t="n">
        <v>0</v>
      </c>
      <c r="W12" s="68" t="n">
        <v>0</v>
      </c>
      <c r="X12" s="68" t="n">
        <v>0</v>
      </c>
      <c r="Y12" s="69" t="n">
        <v>0</v>
      </c>
      <c r="Z12" s="59" t="n">
        <v>0</v>
      </c>
      <c r="AA12" s="63" t="n">
        <v>950.6</v>
      </c>
      <c r="AB12" s="61">
        <f>SUM(P12:AA12)</f>
        <v/>
      </c>
      <c r="AC12" s="64" t="n">
        <v>0</v>
      </c>
      <c r="AD12" s="64" t="n">
        <v>0</v>
      </c>
      <c r="AE12" s="64" t="n">
        <v>0</v>
      </c>
      <c r="AF12" s="65" t="n">
        <v>0</v>
      </c>
      <c r="AG12" s="66" t="n">
        <v>0</v>
      </c>
      <c r="AH12" s="66" t="n">
        <v>0</v>
      </c>
      <c r="AI12" s="67" t="n">
        <v>0</v>
      </c>
      <c r="AJ12" s="68" t="n">
        <v>0</v>
      </c>
      <c r="AK12" s="68" t="n">
        <v>0</v>
      </c>
      <c r="AL12" s="69" t="n">
        <v>0</v>
      </c>
      <c r="AM12" s="59" t="n">
        <v>0</v>
      </c>
      <c r="AN12" s="63" t="n">
        <v>0</v>
      </c>
      <c r="AO12" s="61">
        <f>SUM(AC12:AN12)</f>
        <v/>
      </c>
    </row>
    <row r="13" ht="14.25" customHeight="1" s="137">
      <c r="B13" s="57" t="inlineStr">
        <is>
          <t>REMITTED TAX</t>
        </is>
      </c>
      <c r="C13" s="64" t="n">
        <v>0</v>
      </c>
      <c r="D13" s="64" t="n">
        <v>0</v>
      </c>
      <c r="E13" s="64" t="n">
        <v>0</v>
      </c>
      <c r="F13" s="65" t="n">
        <v>0</v>
      </c>
      <c r="G13" s="66" t="n">
        <v>0</v>
      </c>
      <c r="H13" s="66" t="n">
        <v>0</v>
      </c>
      <c r="I13" s="67" t="n">
        <v>0</v>
      </c>
      <c r="J13" s="68" t="n">
        <v>0</v>
      </c>
      <c r="K13" s="68" t="n">
        <v>0</v>
      </c>
      <c r="L13" s="69" t="n">
        <v>0</v>
      </c>
      <c r="M13" s="59" t="n">
        <v>0</v>
      </c>
      <c r="N13" s="63" t="n">
        <v>0</v>
      </c>
      <c r="O13" s="61">
        <f>SUM(C13:N13)</f>
        <v/>
      </c>
      <c r="P13" s="64" t="n">
        <v>0</v>
      </c>
      <c r="Q13" s="64" t="n">
        <v>0</v>
      </c>
      <c r="R13" s="64" t="n">
        <v>0</v>
      </c>
      <c r="S13" s="65" t="n">
        <v>0</v>
      </c>
      <c r="T13" s="66" t="n">
        <v>0</v>
      </c>
      <c r="U13" s="66" t="n">
        <v>0</v>
      </c>
      <c r="V13" s="67" t="n">
        <v>0</v>
      </c>
      <c r="W13" s="68" t="n">
        <v>0</v>
      </c>
      <c r="X13" s="68" t="n">
        <v>0</v>
      </c>
      <c r="Y13" s="69" t="n">
        <v>0</v>
      </c>
      <c r="Z13" s="59" t="n">
        <v>0</v>
      </c>
      <c r="AA13" s="63" t="n">
        <v>0</v>
      </c>
      <c r="AB13" s="61">
        <f>SUM(P13:AA13)</f>
        <v/>
      </c>
      <c r="AC13" s="64" t="n">
        <v>0</v>
      </c>
      <c r="AD13" s="64" t="n">
        <v>0</v>
      </c>
      <c r="AE13" s="64" t="n">
        <v>0</v>
      </c>
      <c r="AF13" s="65" t="n">
        <v>0</v>
      </c>
      <c r="AG13" s="66" t="n">
        <v>0</v>
      </c>
      <c r="AH13" s="66" t="n">
        <v>0</v>
      </c>
      <c r="AI13" s="67" t="n">
        <v>0</v>
      </c>
      <c r="AJ13" s="68" t="n">
        <v>0</v>
      </c>
      <c r="AK13" s="68" t="n">
        <v>0</v>
      </c>
      <c r="AL13" s="69" t="n">
        <v>0</v>
      </c>
      <c r="AM13" s="59" t="n">
        <v>0</v>
      </c>
      <c r="AN13" s="63" t="n">
        <v>0</v>
      </c>
      <c r="AO13" s="61">
        <f>SUM(AC13:AN13)</f>
        <v/>
      </c>
    </row>
    <row r="14" ht="14.25" customHeight="1" s="137">
      <c r="B14" s="58" t="inlineStr">
        <is>
          <t>INSURANCE</t>
        </is>
      </c>
      <c r="C14" s="64" t="n"/>
      <c r="D14" s="64" t="n"/>
      <c r="E14" s="64" t="n"/>
      <c r="F14" s="66" t="n"/>
      <c r="G14" s="66" t="n"/>
      <c r="H14" s="66" t="n"/>
      <c r="I14" s="68" t="n"/>
      <c r="J14" s="68" t="n"/>
      <c r="K14" s="68" t="n"/>
      <c r="L14" s="59" t="n"/>
      <c r="M14" s="59" t="n"/>
      <c r="N14" s="59" t="n"/>
      <c r="O14" s="61">
        <f>SUM(C14:N14)</f>
        <v/>
      </c>
      <c r="P14" s="64" t="n"/>
      <c r="Q14" s="64" t="n"/>
      <c r="R14" s="64" t="n"/>
      <c r="S14" s="66" t="n"/>
      <c r="T14" s="66" t="n"/>
      <c r="U14" s="66" t="n"/>
      <c r="V14" s="68" t="n"/>
      <c r="W14" s="68" t="n"/>
      <c r="X14" s="68" t="n"/>
      <c r="Y14" s="59" t="n"/>
      <c r="Z14" s="59" t="n"/>
      <c r="AA14" s="59" t="n">
        <v>1455.09</v>
      </c>
      <c r="AB14" s="61">
        <f>SUM(P14:AA14)</f>
        <v/>
      </c>
      <c r="AC14" s="64" t="n">
        <v>0</v>
      </c>
      <c r="AD14" s="142" t="n">
        <v>78.77</v>
      </c>
      <c r="AE14" s="142" t="n">
        <v>78.76000000000001</v>
      </c>
      <c r="AF14" s="142" t="n">
        <v>78.76000000000001</v>
      </c>
      <c r="AG14" s="142" t="n">
        <v>78.76000000000001</v>
      </c>
      <c r="AH14" s="142" t="n">
        <v>78.76000000000001</v>
      </c>
      <c r="AI14" s="142" t="n">
        <v>78.76000000000001</v>
      </c>
      <c r="AJ14" s="142" t="n">
        <v>80.19</v>
      </c>
      <c r="AK14" s="68" t="n">
        <v>0</v>
      </c>
      <c r="AL14" s="59" t="n">
        <v>0</v>
      </c>
      <c r="AM14" s="59" t="n">
        <v>0</v>
      </c>
      <c r="AN14" s="59" t="n">
        <v>0</v>
      </c>
      <c r="AO14" s="61">
        <f>SUM(AC14:AN14)</f>
        <v/>
      </c>
    </row>
    <row r="15" ht="14.25" customHeight="1" s="137">
      <c r="B15" s="57" t="inlineStr">
        <is>
          <t>INTERIOR MAINTENANCE</t>
        </is>
      </c>
      <c r="C15" s="64" t="n">
        <v>0</v>
      </c>
      <c r="D15" s="64" t="n">
        <v>0</v>
      </c>
      <c r="E15" s="64" t="n">
        <v>0</v>
      </c>
      <c r="F15" s="65" t="n">
        <v>0</v>
      </c>
      <c r="G15" s="66" t="n">
        <v>0</v>
      </c>
      <c r="H15" s="66" t="n">
        <v>0</v>
      </c>
      <c r="I15" s="67" t="n">
        <v>0</v>
      </c>
      <c r="J15" s="68" t="n">
        <v>0</v>
      </c>
      <c r="K15" s="68" t="n">
        <v>0</v>
      </c>
      <c r="L15" s="69" t="n">
        <v>0</v>
      </c>
      <c r="M15" s="59" t="n">
        <v>0</v>
      </c>
      <c r="N15" s="63" t="n">
        <v>0</v>
      </c>
      <c r="O15" s="61">
        <f>SUM(C15:N15)</f>
        <v/>
      </c>
      <c r="P15" s="64" t="n">
        <v>0</v>
      </c>
      <c r="Q15" s="64" t="n">
        <v>0</v>
      </c>
      <c r="R15" s="64" t="n">
        <v>0</v>
      </c>
      <c r="S15" s="65" t="n">
        <v>0</v>
      </c>
      <c r="T15" s="66" t="n">
        <v>0</v>
      </c>
      <c r="U15" s="66" t="n">
        <v>0</v>
      </c>
      <c r="V15" s="67" t="n">
        <v>0</v>
      </c>
      <c r="W15" s="68" t="n">
        <v>0</v>
      </c>
      <c r="X15" s="68" t="n">
        <v>0</v>
      </c>
      <c r="Y15" s="69" t="n">
        <v>0</v>
      </c>
      <c r="Z15" s="59" t="n">
        <v>0</v>
      </c>
      <c r="AA15" s="63" t="n">
        <v>0</v>
      </c>
      <c r="AB15" s="61">
        <f>SUM(P15:AA15)</f>
        <v/>
      </c>
      <c r="AC15" s="142" t="n">
        <v>7.46</v>
      </c>
      <c r="AD15" s="64" t="n">
        <v>0</v>
      </c>
      <c r="AE15" s="142" t="n">
        <v>52.78</v>
      </c>
      <c r="AF15" s="143" t="n">
        <v>131.4</v>
      </c>
      <c r="AG15" s="66" t="n">
        <v>0</v>
      </c>
      <c r="AH15" s="66" t="n">
        <v>0</v>
      </c>
      <c r="AI15" s="67" t="n">
        <v>0</v>
      </c>
      <c r="AJ15" s="68" t="n">
        <v>0</v>
      </c>
      <c r="AK15" s="68" t="n">
        <v>0</v>
      </c>
      <c r="AL15" s="143" t="n">
        <v>45.6</v>
      </c>
      <c r="AM15" s="142" t="n">
        <v>12.63</v>
      </c>
      <c r="AN15" s="63" t="n">
        <v>0</v>
      </c>
      <c r="AO15" s="61">
        <f>SUM(AC15:AN15)</f>
        <v/>
      </c>
    </row>
    <row r="16" ht="14.25" customHeight="1" s="137">
      <c r="B16" s="57" t="inlineStr">
        <is>
          <t>EXTERIOR REPAIRS</t>
        </is>
      </c>
      <c r="C16" s="64" t="n">
        <v>0</v>
      </c>
      <c r="D16" s="64" t="n">
        <v>0</v>
      </c>
      <c r="E16" s="64" t="n">
        <v>0</v>
      </c>
      <c r="F16" s="65" t="n">
        <v>0</v>
      </c>
      <c r="G16" s="66" t="n">
        <v>0</v>
      </c>
      <c r="H16" s="66" t="n">
        <v>0</v>
      </c>
      <c r="I16" s="67" t="n">
        <v>0</v>
      </c>
      <c r="J16" s="68" t="n">
        <v>0</v>
      </c>
      <c r="K16" s="68" t="n">
        <v>0</v>
      </c>
      <c r="L16" s="69" t="n">
        <v>0</v>
      </c>
      <c r="M16" s="59" t="n">
        <v>0</v>
      </c>
      <c r="N16" s="63" t="n">
        <v>0</v>
      </c>
      <c r="O16" s="61">
        <f>SUM(C16:N16)</f>
        <v/>
      </c>
      <c r="P16" s="64" t="n">
        <v>0</v>
      </c>
      <c r="Q16" s="64" t="n">
        <v>0</v>
      </c>
      <c r="R16" s="64" t="n">
        <v>0</v>
      </c>
      <c r="S16" s="65" t="n">
        <v>0</v>
      </c>
      <c r="T16" s="66" t="n">
        <v>0</v>
      </c>
      <c r="U16" s="66" t="n">
        <v>0</v>
      </c>
      <c r="V16" s="67" t="n">
        <v>0</v>
      </c>
      <c r="W16" s="68" t="n">
        <v>0</v>
      </c>
      <c r="X16" s="68" t="n">
        <v>0</v>
      </c>
      <c r="Y16" s="69" t="n">
        <v>0</v>
      </c>
      <c r="Z16" s="59" t="n">
        <v>0</v>
      </c>
      <c r="AA16" s="63" t="n">
        <v>0</v>
      </c>
      <c r="AB16" s="61">
        <f>SUM(P16:AA16)</f>
        <v/>
      </c>
      <c r="AC16" s="64" t="n">
        <v>0</v>
      </c>
      <c r="AD16" s="142" t="n">
        <v>66.56999999999999</v>
      </c>
      <c r="AE16" s="142" t="n">
        <v>700.77</v>
      </c>
      <c r="AF16" s="143" t="n">
        <v>39.58</v>
      </c>
      <c r="AG16" s="66" t="n">
        <v>0</v>
      </c>
      <c r="AH16" s="66" t="n">
        <v>0</v>
      </c>
      <c r="AI16" s="143" t="n">
        <v>150.06</v>
      </c>
      <c r="AJ16" s="142" t="n">
        <v>16.54</v>
      </c>
      <c r="AK16" s="142" t="n">
        <v>34.87</v>
      </c>
      <c r="AL16" s="143" t="n">
        <v>76.23999999999999</v>
      </c>
      <c r="AM16" s="142" t="n">
        <v>32.33</v>
      </c>
      <c r="AN16" s="63" t="n">
        <v>0</v>
      </c>
      <c r="AO16" s="61">
        <f>SUM(AC16:AN16)</f>
        <v/>
      </c>
    </row>
    <row r="17" ht="14.25" customHeight="1" s="137">
      <c r="B17" s="60" t="inlineStr">
        <is>
          <t>VILLAGE WATER AND REFUSE</t>
        </is>
      </c>
      <c r="C17" s="64" t="n">
        <v>0</v>
      </c>
      <c r="D17" s="64" t="n">
        <v>0</v>
      </c>
      <c r="E17" s="64" t="n">
        <v>0</v>
      </c>
      <c r="F17" s="65" t="n">
        <v>0</v>
      </c>
      <c r="G17" s="66" t="n">
        <v>0</v>
      </c>
      <c r="H17" s="66" t="n">
        <v>0</v>
      </c>
      <c r="I17" s="67" t="n">
        <v>0</v>
      </c>
      <c r="J17" s="68" t="n">
        <v>0</v>
      </c>
      <c r="K17" s="68" t="n">
        <v>0</v>
      </c>
      <c r="L17" s="69" t="n">
        <v>0</v>
      </c>
      <c r="M17" s="59" t="n">
        <v>0</v>
      </c>
      <c r="N17" s="63" t="n">
        <v>0</v>
      </c>
      <c r="O17" s="61">
        <f>SUM(C17:N17)</f>
        <v/>
      </c>
      <c r="P17" s="64" t="n">
        <v>0</v>
      </c>
      <c r="Q17" s="64" t="n">
        <v>0</v>
      </c>
      <c r="R17" s="64" t="n">
        <v>0</v>
      </c>
      <c r="S17" s="65" t="n">
        <v>0</v>
      </c>
      <c r="T17" s="66" t="n">
        <v>0</v>
      </c>
      <c r="U17" s="66" t="n">
        <v>0</v>
      </c>
      <c r="V17" s="67" t="n">
        <v>0</v>
      </c>
      <c r="W17" s="68" t="n">
        <v>0</v>
      </c>
      <c r="X17" s="68" t="n">
        <v>0</v>
      </c>
      <c r="Y17" s="69" t="n">
        <v>0</v>
      </c>
      <c r="Z17" s="59" t="n">
        <v>0</v>
      </c>
      <c r="AA17" s="63" t="n">
        <v>0</v>
      </c>
      <c r="AB17" s="61" t="n">
        <v>1769.42</v>
      </c>
      <c r="AC17" s="64" t="n">
        <v>0</v>
      </c>
      <c r="AD17" s="142" t="n">
        <v>100.56</v>
      </c>
      <c r="AE17" s="64" t="n">
        <v>0</v>
      </c>
      <c r="AF17" s="143" t="n">
        <v>90.68000000000001</v>
      </c>
      <c r="AG17" s="66" t="n">
        <v>0</v>
      </c>
      <c r="AH17" s="142" t="n">
        <v>112.84</v>
      </c>
      <c r="AI17" s="67" t="n">
        <v>0</v>
      </c>
      <c r="AJ17" s="142" t="n">
        <v>137.64</v>
      </c>
      <c r="AK17" s="68" t="n">
        <v>0</v>
      </c>
      <c r="AL17" s="143" t="n">
        <v>132.77</v>
      </c>
      <c r="AM17" s="59" t="n">
        <v>0</v>
      </c>
      <c r="AN17" s="63" t="n">
        <v>0</v>
      </c>
      <c r="AO17" s="61" t="n">
        <v>0</v>
      </c>
    </row>
    <row r="18" ht="14.25" customHeight="1" s="137">
      <c r="B18" s="57" t="inlineStr">
        <is>
          <t>GAS</t>
        </is>
      </c>
      <c r="C18" s="64" t="n">
        <v>0</v>
      </c>
      <c r="D18" s="64" t="n">
        <v>0</v>
      </c>
      <c r="E18" s="64" t="n">
        <v>0</v>
      </c>
      <c r="F18" s="65" t="n">
        <v>0</v>
      </c>
      <c r="G18" s="66" t="n">
        <v>0</v>
      </c>
      <c r="H18" s="66" t="n">
        <v>0</v>
      </c>
      <c r="I18" s="67" t="n">
        <v>0</v>
      </c>
      <c r="J18" s="68" t="n">
        <v>26.02</v>
      </c>
      <c r="K18" s="68" t="n">
        <v>110.08</v>
      </c>
      <c r="L18" s="69" t="n">
        <v>137.34</v>
      </c>
      <c r="M18" s="59" t="n">
        <v>31.56</v>
      </c>
      <c r="N18" s="63" t="n">
        <v>62.3</v>
      </c>
      <c r="O18" s="61">
        <f>SUM(C18:N18)</f>
        <v/>
      </c>
      <c r="P18" s="62" t="n">
        <v>62.3</v>
      </c>
      <c r="Q18" s="62" t="n">
        <v>37.13</v>
      </c>
      <c r="R18" s="62" t="n">
        <v>25.46</v>
      </c>
      <c r="S18" s="62" t="n">
        <v>28.11</v>
      </c>
      <c r="T18" s="62" t="n">
        <v>21.2</v>
      </c>
      <c r="U18" s="62" t="n">
        <v>20.5</v>
      </c>
      <c r="V18" s="62" t="n">
        <v>22.27</v>
      </c>
      <c r="W18" s="62" t="n">
        <v>21.6</v>
      </c>
      <c r="X18" s="62" t="n">
        <v>21.6</v>
      </c>
      <c r="Y18" s="62" t="n">
        <v>21.65</v>
      </c>
      <c r="Z18" s="62" t="n">
        <v>24.34</v>
      </c>
      <c r="AA18" s="62" t="n">
        <v>30.76</v>
      </c>
      <c r="AB18" s="61">
        <f>SUM(P18:AA18)</f>
        <v/>
      </c>
      <c r="AC18" s="144" t="n">
        <v>39.7</v>
      </c>
      <c r="AD18" s="144" t="n">
        <v>31.37</v>
      </c>
      <c r="AE18" s="144" t="n">
        <v>32.09</v>
      </c>
      <c r="AF18" s="144" t="n">
        <v>26.31</v>
      </c>
      <c r="AG18" s="144" t="n">
        <v>25.41</v>
      </c>
      <c r="AH18" s="144" t="n">
        <v>24.17</v>
      </c>
      <c r="AI18" s="144" t="n">
        <v>23.53</v>
      </c>
      <c r="AJ18" s="144" t="n">
        <v>22.7</v>
      </c>
      <c r="AK18" s="144" t="n">
        <v>22.71</v>
      </c>
      <c r="AL18" s="144" t="n">
        <v>22.72</v>
      </c>
      <c r="AM18" s="62" t="n">
        <v>0</v>
      </c>
      <c r="AN18" s="144" t="n">
        <v>53.71</v>
      </c>
      <c r="AO18" s="61">
        <f>SUM(AC18:AN18)</f>
        <v/>
      </c>
    </row>
    <row r="19" ht="14.25" customHeight="1" s="137">
      <c r="B19" s="57" t="inlineStr">
        <is>
          <t>ELECTRIC</t>
        </is>
      </c>
      <c r="C19" s="64" t="n">
        <v>0</v>
      </c>
      <c r="D19" s="64" t="n">
        <v>0</v>
      </c>
      <c r="E19" s="64" t="n">
        <v>0</v>
      </c>
      <c r="F19" s="65" t="n">
        <v>0</v>
      </c>
      <c r="G19" s="66" t="n">
        <v>0</v>
      </c>
      <c r="H19" s="66" t="n">
        <v>0</v>
      </c>
      <c r="I19" s="67" t="n">
        <v>0</v>
      </c>
      <c r="J19" s="68" t="n">
        <v>36.38</v>
      </c>
      <c r="K19" s="68" t="n">
        <v>36.47</v>
      </c>
      <c r="L19" s="69" t="n">
        <v>34.52</v>
      </c>
      <c r="M19" s="59" t="n">
        <v>32.21</v>
      </c>
      <c r="N19" s="63" t="n">
        <v>45.6</v>
      </c>
      <c r="O19" s="61">
        <f>SUM(C19:N19)</f>
        <v/>
      </c>
      <c r="P19" s="64" t="n">
        <v>0</v>
      </c>
      <c r="Q19" s="64" t="n">
        <v>0</v>
      </c>
      <c r="R19" s="64" t="n">
        <v>0</v>
      </c>
      <c r="S19" s="65" t="n">
        <v>0</v>
      </c>
      <c r="T19" s="66" t="n">
        <v>0</v>
      </c>
      <c r="U19" s="66" t="n">
        <v>0</v>
      </c>
      <c r="V19" s="67" t="n">
        <v>0</v>
      </c>
      <c r="W19" s="68" t="n"/>
      <c r="X19" s="68" t="n"/>
      <c r="Y19" s="69" t="n"/>
      <c r="Z19" s="59" t="n"/>
      <c r="AA19" s="63" t="n">
        <v>806.46</v>
      </c>
      <c r="AB19" s="61">
        <f>SUM(P19:AA19)</f>
        <v/>
      </c>
      <c r="AC19" s="142" t="n">
        <v>59.04</v>
      </c>
      <c r="AD19" s="142" t="n">
        <v>57.47</v>
      </c>
      <c r="AE19" s="142" t="n">
        <v>49.15</v>
      </c>
      <c r="AF19" s="143" t="n">
        <v>54.52</v>
      </c>
      <c r="AG19" s="142" t="n">
        <v>49.73</v>
      </c>
      <c r="AH19" s="142" t="n">
        <v>57.54</v>
      </c>
      <c r="AI19" s="143" t="n">
        <v>109</v>
      </c>
      <c r="AJ19" s="142" t="n">
        <v>123.54</v>
      </c>
      <c r="AK19" s="142" t="n">
        <v>106.93</v>
      </c>
      <c r="AL19" s="143" t="n">
        <v>62.88</v>
      </c>
      <c r="AM19" s="142" t="n">
        <v>46.47</v>
      </c>
      <c r="AN19" s="145" t="n">
        <v>52.88</v>
      </c>
      <c r="AO19" s="61">
        <f>SUM(AC19:AN19)</f>
        <v/>
      </c>
    </row>
    <row r="20" ht="14.25" customHeight="1" s="137">
      <c r="B20" s="58" t="inlineStr">
        <is>
          <t>INTERNET</t>
        </is>
      </c>
      <c r="C20" s="64" t="n">
        <v>0</v>
      </c>
      <c r="D20" s="64" t="n">
        <v>0</v>
      </c>
      <c r="E20" s="64" t="n">
        <v>0</v>
      </c>
      <c r="F20" s="65" t="n">
        <v>0</v>
      </c>
      <c r="G20" s="66" t="n">
        <v>0</v>
      </c>
      <c r="H20" s="66" t="n">
        <v>0</v>
      </c>
      <c r="I20" s="67" t="n">
        <v>0</v>
      </c>
      <c r="J20" s="68" t="n">
        <v>0</v>
      </c>
      <c r="K20" s="68" t="n">
        <v>0</v>
      </c>
      <c r="L20" s="69" t="n">
        <v>0</v>
      </c>
      <c r="M20" s="59" t="n">
        <v>0</v>
      </c>
      <c r="N20" s="63" t="n">
        <v>0</v>
      </c>
      <c r="O20" s="61">
        <f>SUM(C20:N20)</f>
        <v/>
      </c>
      <c r="P20" s="64" t="n">
        <v>50</v>
      </c>
      <c r="Q20" s="64" t="n">
        <v>50</v>
      </c>
      <c r="R20" s="64" t="n">
        <v>50</v>
      </c>
      <c r="S20" s="65" t="n">
        <v>50</v>
      </c>
      <c r="T20" s="66" t="n">
        <v>50</v>
      </c>
      <c r="U20" s="66" t="n">
        <v>50</v>
      </c>
      <c r="V20" s="67" t="n">
        <v>50</v>
      </c>
      <c r="W20" s="68" t="n">
        <v>50</v>
      </c>
      <c r="X20" s="68" t="n">
        <v>50</v>
      </c>
      <c r="Y20" s="69" t="n">
        <v>50</v>
      </c>
      <c r="Z20" s="59" t="n">
        <v>50</v>
      </c>
      <c r="AA20" s="63" t="n">
        <v>50</v>
      </c>
      <c r="AB20" s="61">
        <f>SUM(P20:AA20)</f>
        <v/>
      </c>
      <c r="AC20" s="142" t="n">
        <v>45</v>
      </c>
      <c r="AD20" s="142" t="n">
        <v>45</v>
      </c>
      <c r="AE20" s="142" t="n">
        <v>45</v>
      </c>
      <c r="AF20" s="143" t="n">
        <v>45</v>
      </c>
      <c r="AG20" s="142" t="n">
        <v>50</v>
      </c>
      <c r="AH20" s="142" t="n">
        <v>50</v>
      </c>
      <c r="AI20" s="143" t="n">
        <v>50</v>
      </c>
      <c r="AJ20" s="142" t="n">
        <v>50</v>
      </c>
      <c r="AK20" s="142" t="n">
        <v>50</v>
      </c>
      <c r="AL20" s="143" t="n">
        <v>50</v>
      </c>
      <c r="AM20" s="142" t="n">
        <v>50</v>
      </c>
      <c r="AN20" s="63" t="n">
        <v>0</v>
      </c>
      <c r="AO20" s="61">
        <f>SUM(AC20:AN20)</f>
        <v/>
      </c>
    </row>
    <row r="21" ht="14.25" customHeight="1" s="137">
      <c r="B21" s="57" t="inlineStr">
        <is>
          <t>CORRESPONDENCE</t>
        </is>
      </c>
      <c r="C21" s="64" t="n">
        <v>0</v>
      </c>
      <c r="D21" s="64" t="n">
        <v>0</v>
      </c>
      <c r="E21" s="64" t="n">
        <v>0</v>
      </c>
      <c r="F21" s="65" t="n">
        <v>0</v>
      </c>
      <c r="G21" s="66" t="n">
        <v>0</v>
      </c>
      <c r="H21" s="66" t="n">
        <v>0</v>
      </c>
      <c r="I21" s="67" t="n">
        <v>0</v>
      </c>
      <c r="J21" s="68" t="n">
        <v>0</v>
      </c>
      <c r="K21" s="68" t="n">
        <v>0</v>
      </c>
      <c r="L21" s="69" t="n">
        <v>0</v>
      </c>
      <c r="M21" s="59" t="n">
        <v>0</v>
      </c>
      <c r="N21" s="63" t="n">
        <v>0</v>
      </c>
      <c r="O21" s="61">
        <f>SUM(C21:N21)</f>
        <v/>
      </c>
      <c r="P21" s="64" t="n">
        <v>0</v>
      </c>
      <c r="Q21" s="64" t="n">
        <v>0</v>
      </c>
      <c r="R21" s="64" t="n">
        <v>0</v>
      </c>
      <c r="S21" s="65" t="n">
        <v>0</v>
      </c>
      <c r="T21" s="66" t="n">
        <v>0</v>
      </c>
      <c r="U21" s="66" t="n">
        <v>0</v>
      </c>
      <c r="V21" s="67" t="n">
        <v>0</v>
      </c>
      <c r="W21" s="68" t="n">
        <v>0</v>
      </c>
      <c r="X21" s="68" t="n">
        <v>0</v>
      </c>
      <c r="Y21" s="69" t="n">
        <v>0</v>
      </c>
      <c r="Z21" s="59" t="n">
        <v>0</v>
      </c>
      <c r="AA21" s="63" t="n">
        <v>0</v>
      </c>
      <c r="AB21" s="61">
        <f>SUM(P21:AA21)</f>
        <v/>
      </c>
      <c r="AC21" s="64" t="n">
        <v>0</v>
      </c>
      <c r="AD21" s="64" t="n">
        <v>0</v>
      </c>
      <c r="AE21" s="64" t="n">
        <v>0</v>
      </c>
      <c r="AF21" s="65" t="n">
        <v>0</v>
      </c>
      <c r="AG21" s="66" t="n">
        <v>0</v>
      </c>
      <c r="AH21" s="66" t="n">
        <v>0</v>
      </c>
      <c r="AI21" s="67" t="n">
        <v>0</v>
      </c>
      <c r="AJ21" s="68" t="n">
        <v>0</v>
      </c>
      <c r="AK21" s="68" t="n">
        <v>0</v>
      </c>
      <c r="AL21" s="69" t="n">
        <v>0</v>
      </c>
      <c r="AM21" s="59" t="n">
        <v>0</v>
      </c>
      <c r="AN21" s="63" t="n">
        <v>0</v>
      </c>
      <c r="AO21" s="61">
        <f>SUM(AC21:AN21)</f>
        <v/>
      </c>
    </row>
    <row r="22" ht="14.25" customHeight="1" s="137">
      <c r="B22" s="57" t="inlineStr">
        <is>
          <t>INTERIOR DESIGNER/ ORGANIZER FEES</t>
        </is>
      </c>
      <c r="C22" s="64" t="n">
        <v>0</v>
      </c>
      <c r="D22" s="64" t="n">
        <v>0</v>
      </c>
      <c r="E22" s="64" t="n">
        <v>0</v>
      </c>
      <c r="F22" s="65" t="n">
        <v>0</v>
      </c>
      <c r="G22" s="66" t="n">
        <v>0</v>
      </c>
      <c r="H22" s="66" t="n">
        <v>0</v>
      </c>
      <c r="I22" s="67" t="n">
        <v>0</v>
      </c>
      <c r="J22" s="68" t="n">
        <v>0</v>
      </c>
      <c r="K22" s="68" t="n">
        <v>720</v>
      </c>
      <c r="L22" s="69" t="n">
        <v>690</v>
      </c>
      <c r="M22" s="59" t="n">
        <v>240</v>
      </c>
      <c r="N22" s="63" t="n">
        <v>240</v>
      </c>
      <c r="O22" s="61">
        <f>SUM(C22:N22)</f>
        <v/>
      </c>
      <c r="P22" s="64" t="n">
        <v>0</v>
      </c>
      <c r="Q22" s="64" t="n">
        <v>0</v>
      </c>
      <c r="R22" s="64" t="n">
        <v>0</v>
      </c>
      <c r="S22" s="65" t="n">
        <v>0</v>
      </c>
      <c r="T22" s="66" t="n">
        <v>0</v>
      </c>
      <c r="U22" s="66" t="n">
        <v>0</v>
      </c>
      <c r="V22" s="67" t="n">
        <v>0</v>
      </c>
      <c r="W22" s="68" t="n">
        <v>0</v>
      </c>
      <c r="X22" s="68" t="n"/>
      <c r="Y22" s="69" t="n"/>
      <c r="Z22" s="59" t="n"/>
      <c r="AA22" s="63" t="n"/>
      <c r="AB22" s="61">
        <f>SUM(P22:AA22)</f>
        <v/>
      </c>
      <c r="AC22" s="64" t="n">
        <v>0</v>
      </c>
      <c r="AD22" s="64" t="n">
        <v>0</v>
      </c>
      <c r="AE22" s="64" t="n">
        <v>0</v>
      </c>
      <c r="AF22" s="65" t="n">
        <v>0</v>
      </c>
      <c r="AG22" s="66" t="n">
        <v>0</v>
      </c>
      <c r="AH22" s="66" t="n">
        <v>0</v>
      </c>
      <c r="AI22" s="67" t="n">
        <v>0</v>
      </c>
      <c r="AJ22" s="68" t="n">
        <v>0</v>
      </c>
      <c r="AK22" s="68" t="n"/>
      <c r="AL22" s="69" t="n"/>
      <c r="AM22" s="59" t="n"/>
      <c r="AN22" s="63" t="n"/>
      <c r="AO22" s="61">
        <f>SUM(AC22:AN22)</f>
        <v/>
      </c>
    </row>
    <row r="23" ht="14.25" customHeight="1" s="137">
      <c r="B23" s="57" t="inlineStr">
        <is>
          <t>TRAVEL EXPENSES</t>
        </is>
      </c>
      <c r="C23" s="64" t="n">
        <v>0</v>
      </c>
      <c r="D23" s="64" t="n">
        <v>0</v>
      </c>
      <c r="E23" s="64" t="n">
        <v>0</v>
      </c>
      <c r="F23" s="65" t="n">
        <v>0</v>
      </c>
      <c r="G23" s="66" t="n">
        <v>0</v>
      </c>
      <c r="H23" s="66" t="n">
        <v>0</v>
      </c>
      <c r="I23" s="67" t="n">
        <v>0</v>
      </c>
      <c r="J23" s="68" t="n">
        <v>0</v>
      </c>
      <c r="K23" s="68" t="n">
        <v>0</v>
      </c>
      <c r="L23" s="69" t="n">
        <v>0</v>
      </c>
      <c r="M23" s="59" t="n">
        <v>0</v>
      </c>
      <c r="N23" s="63" t="n">
        <v>0</v>
      </c>
      <c r="O23" s="61">
        <f>SUM(C23:N23)</f>
        <v/>
      </c>
      <c r="P23" s="64" t="n">
        <v>0</v>
      </c>
      <c r="Q23" s="64" t="n">
        <v>0</v>
      </c>
      <c r="R23" s="64" t="n">
        <v>0</v>
      </c>
      <c r="S23" s="65" t="n">
        <v>0</v>
      </c>
      <c r="T23" s="66" t="n">
        <v>0</v>
      </c>
      <c r="U23" s="66" t="n">
        <v>0</v>
      </c>
      <c r="V23" s="67" t="n">
        <v>0</v>
      </c>
      <c r="W23" s="68" t="n">
        <v>0</v>
      </c>
      <c r="X23" s="68" t="n">
        <v>0</v>
      </c>
      <c r="Y23" s="69" t="n">
        <v>0</v>
      </c>
      <c r="Z23" s="59" t="n">
        <v>0</v>
      </c>
      <c r="AA23" s="63" t="n">
        <v>0</v>
      </c>
      <c r="AB23" s="61">
        <f>SUM(P23:AA23)</f>
        <v/>
      </c>
      <c r="AC23" s="64" t="n">
        <v>0</v>
      </c>
      <c r="AD23" s="64" t="n">
        <v>0</v>
      </c>
      <c r="AE23" s="64" t="n">
        <v>0</v>
      </c>
      <c r="AF23" s="65" t="n">
        <v>0</v>
      </c>
      <c r="AG23" s="66" t="n">
        <v>0</v>
      </c>
      <c r="AH23" s="66" t="n">
        <v>0</v>
      </c>
      <c r="AI23" s="67" t="n">
        <v>0</v>
      </c>
      <c r="AJ23" s="68" t="n">
        <v>0</v>
      </c>
      <c r="AK23" s="68" t="n">
        <v>0</v>
      </c>
      <c r="AL23" s="69" t="n">
        <v>0</v>
      </c>
      <c r="AM23" s="59" t="n">
        <v>0</v>
      </c>
      <c r="AN23" s="63" t="n">
        <v>0</v>
      </c>
      <c r="AO23" s="61">
        <f>SUM(AC23:AN23)</f>
        <v/>
      </c>
    </row>
    <row r="24" ht="14.25" customHeight="1" s="137">
      <c r="B24" s="57" t="inlineStr">
        <is>
          <t>EQUIPMENT/APPLIANCE PURCHASES</t>
        </is>
      </c>
      <c r="C24" s="64" t="n">
        <v>0</v>
      </c>
      <c r="D24" s="64" t="n">
        <v>20</v>
      </c>
      <c r="E24" s="64" t="n">
        <v>0</v>
      </c>
      <c r="F24" s="65" t="n">
        <v>0</v>
      </c>
      <c r="G24" s="66" t="n">
        <v>0</v>
      </c>
      <c r="H24" s="66" t="n">
        <v>0</v>
      </c>
      <c r="I24" s="67" t="n">
        <v>0</v>
      </c>
      <c r="J24" s="68" t="n">
        <v>0</v>
      </c>
      <c r="K24" s="68" t="n">
        <v>0</v>
      </c>
      <c r="L24" s="69" t="n">
        <v>0</v>
      </c>
      <c r="M24" s="59" t="n">
        <v>0</v>
      </c>
      <c r="N24" s="63" t="n">
        <v>220</v>
      </c>
      <c r="O24" s="61">
        <f>SUM(C24:N24)</f>
        <v/>
      </c>
      <c r="P24" s="64" t="n">
        <v>63.42</v>
      </c>
      <c r="Q24" s="64" t="n">
        <v>281.27</v>
      </c>
      <c r="R24" s="64" t="n">
        <v>60.49</v>
      </c>
      <c r="S24" s="65" t="n">
        <v>49.49</v>
      </c>
      <c r="T24" s="66" t="n">
        <v>76.98</v>
      </c>
      <c r="U24" s="66" t="n">
        <v>98</v>
      </c>
      <c r="V24" s="67" t="n">
        <v>0</v>
      </c>
      <c r="W24" s="68" t="n">
        <v>0</v>
      </c>
      <c r="X24" s="68" t="n">
        <v>0</v>
      </c>
      <c r="Y24" s="69" t="n">
        <v>0</v>
      </c>
      <c r="Z24" s="59" t="n">
        <v>0</v>
      </c>
      <c r="AA24" s="63" t="n"/>
      <c r="AB24" s="61">
        <f>SUM(P24:AA24)</f>
        <v/>
      </c>
      <c r="AC24" s="64" t="n">
        <v>0</v>
      </c>
      <c r="AD24" s="64" t="n">
        <v>0</v>
      </c>
      <c r="AE24" s="142" t="n">
        <v>73.23999999999999</v>
      </c>
      <c r="AF24" s="65" t="n">
        <v>0</v>
      </c>
      <c r="AG24" s="66" t="n">
        <v>0</v>
      </c>
      <c r="AH24" s="66" t="n">
        <v>0</v>
      </c>
      <c r="AI24" s="67" t="n">
        <v>0</v>
      </c>
      <c r="AJ24" s="68" t="n">
        <v>0</v>
      </c>
      <c r="AK24" s="142" t="n">
        <v>82.27</v>
      </c>
      <c r="AL24" s="69" t="n">
        <v>0</v>
      </c>
      <c r="AM24" s="59" t="n">
        <v>0</v>
      </c>
      <c r="AN24" s="63" t="n">
        <v>0</v>
      </c>
      <c r="AO24" s="61">
        <f>SUM(AC24:AN24)</f>
        <v/>
      </c>
    </row>
    <row r="25" ht="14.25" customHeight="1" s="137">
      <c r="B25" s="57" t="inlineStr">
        <is>
          <t>EQUIPMENT/APPLIANCE RENTAL FEES</t>
        </is>
      </c>
      <c r="C25" s="64" t="n">
        <v>0</v>
      </c>
      <c r="D25" s="64" t="n">
        <v>0</v>
      </c>
      <c r="E25" s="64" t="n">
        <v>0</v>
      </c>
      <c r="F25" s="65" t="n">
        <v>0</v>
      </c>
      <c r="G25" s="66" t="n">
        <v>0</v>
      </c>
      <c r="H25" s="66" t="n">
        <v>0</v>
      </c>
      <c r="I25" s="67" t="n">
        <v>0</v>
      </c>
      <c r="J25" s="68" t="n">
        <v>0</v>
      </c>
      <c r="K25" s="68" t="n">
        <v>0</v>
      </c>
      <c r="L25" s="69" t="n">
        <v>0</v>
      </c>
      <c r="M25" s="59" t="n">
        <v>0</v>
      </c>
      <c r="N25" s="63" t="n">
        <v>0</v>
      </c>
      <c r="O25" s="61">
        <f>SUM(C25:N25)</f>
        <v/>
      </c>
      <c r="P25" s="64" t="n">
        <v>0</v>
      </c>
      <c r="Q25" s="64" t="n">
        <v>0</v>
      </c>
      <c r="R25" s="64" t="n">
        <v>0</v>
      </c>
      <c r="S25" s="65" t="n">
        <v>0</v>
      </c>
      <c r="T25" s="66" t="n">
        <v>0</v>
      </c>
      <c r="U25" s="66" t="n">
        <v>0</v>
      </c>
      <c r="V25" s="67" t="n">
        <v>0</v>
      </c>
      <c r="W25" s="68" t="n">
        <v>0</v>
      </c>
      <c r="X25" s="68" t="n">
        <v>0</v>
      </c>
      <c r="Y25" s="69" t="n">
        <v>0</v>
      </c>
      <c r="Z25" s="59" t="n">
        <v>0</v>
      </c>
      <c r="AA25" s="63" t="n">
        <v>0</v>
      </c>
      <c r="AB25" s="61">
        <f>SUM(P25:AA25)</f>
        <v/>
      </c>
      <c r="AC25" s="64" t="n">
        <v>0</v>
      </c>
      <c r="AD25" s="64" t="n">
        <v>0</v>
      </c>
      <c r="AE25" s="64" t="n">
        <v>0</v>
      </c>
      <c r="AF25" s="65" t="n">
        <v>0</v>
      </c>
      <c r="AG25" s="66" t="n">
        <v>0</v>
      </c>
      <c r="AH25" s="66" t="n">
        <v>0</v>
      </c>
      <c r="AI25" s="67" t="n">
        <v>0</v>
      </c>
      <c r="AJ25" s="68" t="n">
        <v>0</v>
      </c>
      <c r="AK25" s="68" t="n">
        <v>0</v>
      </c>
      <c r="AL25" s="69" t="n">
        <v>0</v>
      </c>
      <c r="AM25" s="59" t="n">
        <v>0</v>
      </c>
      <c r="AN25" s="63" t="n">
        <v>0</v>
      </c>
      <c r="AO25" s="61">
        <f>SUM(AC25:AN25)</f>
        <v/>
      </c>
    </row>
    <row r="26" ht="14.25" customHeight="1" s="137">
      <c r="B26" s="57" t="inlineStr">
        <is>
          <t>LAND TAX</t>
        </is>
      </c>
      <c r="C26" s="64" t="n">
        <v>0</v>
      </c>
      <c r="D26" s="64" t="n">
        <v>0</v>
      </c>
      <c r="E26" s="64" t="n">
        <v>0</v>
      </c>
      <c r="F26" s="65" t="n">
        <v>0</v>
      </c>
      <c r="G26" s="66" t="n">
        <v>0</v>
      </c>
      <c r="H26" s="66" t="n">
        <v>0</v>
      </c>
      <c r="I26" s="67" t="n">
        <v>0</v>
      </c>
      <c r="J26" s="68" t="n">
        <v>0</v>
      </c>
      <c r="K26" s="68" t="n">
        <v>0</v>
      </c>
      <c r="L26" s="69" t="n">
        <v>0</v>
      </c>
      <c r="M26" s="59" t="n">
        <v>0</v>
      </c>
      <c r="N26" s="63" t="n">
        <v>0</v>
      </c>
      <c r="O26" s="61">
        <f>SUM(C26:N26)</f>
        <v/>
      </c>
      <c r="P26" s="64" t="n">
        <v>0</v>
      </c>
      <c r="Q26" s="64" t="n">
        <v>0</v>
      </c>
      <c r="R26" s="64" t="n">
        <v>0</v>
      </c>
      <c r="S26" s="65" t="n">
        <v>0</v>
      </c>
      <c r="T26" s="66" t="n">
        <v>0</v>
      </c>
      <c r="U26" s="66" t="n">
        <v>0</v>
      </c>
      <c r="V26" s="67" t="n">
        <v>0</v>
      </c>
      <c r="W26" s="68" t="n">
        <v>0</v>
      </c>
      <c r="X26" s="68" t="n">
        <v>0</v>
      </c>
      <c r="Y26" s="69" t="n">
        <v>0</v>
      </c>
      <c r="Z26" s="59" t="n">
        <v>0</v>
      </c>
      <c r="AA26" s="63" t="n">
        <v>0</v>
      </c>
      <c r="AB26" s="61">
        <f>SUM(P26:AA26)</f>
        <v/>
      </c>
      <c r="AC26" s="64" t="n">
        <v>0</v>
      </c>
      <c r="AD26" s="64" t="n">
        <v>0</v>
      </c>
      <c r="AE26" s="64" t="n">
        <v>0</v>
      </c>
      <c r="AF26" s="65" t="n">
        <v>0</v>
      </c>
      <c r="AG26" s="66" t="n">
        <v>0</v>
      </c>
      <c r="AH26" s="66" t="n">
        <v>0</v>
      </c>
      <c r="AI26" s="67" t="n">
        <v>0</v>
      </c>
      <c r="AJ26" s="68" t="n">
        <v>0</v>
      </c>
      <c r="AK26" s="68" t="n">
        <v>0</v>
      </c>
      <c r="AL26" s="69" t="n">
        <v>0</v>
      </c>
      <c r="AM26" s="59" t="n">
        <v>0</v>
      </c>
      <c r="AN26" s="63" t="n">
        <v>0</v>
      </c>
      <c r="AO26" s="61">
        <f>SUM(AC26:AN26)</f>
        <v/>
      </c>
    </row>
    <row r="27" ht="14.25" customHeight="1" s="137">
      <c r="B27" s="57" t="inlineStr">
        <is>
          <t>BORROWING EXPENSES</t>
        </is>
      </c>
      <c r="C27" s="64" t="n">
        <v>0</v>
      </c>
      <c r="D27" s="64" t="n">
        <v>0</v>
      </c>
      <c r="E27" s="64" t="n">
        <v>0</v>
      </c>
      <c r="F27" s="65" t="n">
        <v>0</v>
      </c>
      <c r="G27" s="66" t="n">
        <v>0</v>
      </c>
      <c r="H27" s="66" t="n">
        <v>0</v>
      </c>
      <c r="I27" s="67" t="n">
        <v>0</v>
      </c>
      <c r="J27" s="68" t="n">
        <v>0</v>
      </c>
      <c r="K27" s="68" t="n">
        <v>0</v>
      </c>
      <c r="L27" s="69" t="n">
        <v>0</v>
      </c>
      <c r="M27" s="59" t="n">
        <v>0</v>
      </c>
      <c r="N27" s="63" t="n">
        <v>0</v>
      </c>
      <c r="O27" s="61">
        <f>SUM(C27:N27)</f>
        <v/>
      </c>
      <c r="P27" s="64" t="n">
        <v>0</v>
      </c>
      <c r="Q27" s="64" t="n">
        <v>0</v>
      </c>
      <c r="R27" s="64" t="n">
        <v>0</v>
      </c>
      <c r="S27" s="65" t="n">
        <v>0</v>
      </c>
      <c r="T27" s="66" t="n">
        <v>0</v>
      </c>
      <c r="U27" s="66" t="n">
        <v>0</v>
      </c>
      <c r="V27" s="67" t="n">
        <v>0</v>
      </c>
      <c r="W27" s="68" t="n">
        <v>0</v>
      </c>
      <c r="X27" s="68" t="n">
        <v>0</v>
      </c>
      <c r="Y27" s="69" t="n">
        <v>0</v>
      </c>
      <c r="Z27" s="59" t="n">
        <v>0</v>
      </c>
      <c r="AA27" s="63" t="n">
        <v>0</v>
      </c>
      <c r="AB27" s="61">
        <f>SUM(P27:AA27)</f>
        <v/>
      </c>
      <c r="AC27" s="64" t="n">
        <v>0</v>
      </c>
      <c r="AD27" s="64" t="n">
        <v>0</v>
      </c>
      <c r="AE27" s="64" t="n">
        <v>0</v>
      </c>
      <c r="AF27" s="65" t="n">
        <v>0</v>
      </c>
      <c r="AG27" s="66" t="n">
        <v>0</v>
      </c>
      <c r="AH27" s="66" t="n">
        <v>0</v>
      </c>
      <c r="AI27" s="67" t="n">
        <v>0</v>
      </c>
      <c r="AJ27" s="68" t="n">
        <v>0</v>
      </c>
      <c r="AK27" s="68" t="n">
        <v>0</v>
      </c>
      <c r="AL27" s="69" t="n">
        <v>0</v>
      </c>
      <c r="AM27" s="59" t="n">
        <v>0</v>
      </c>
      <c r="AN27" s="63" t="n">
        <v>0</v>
      </c>
      <c r="AO27" s="61">
        <f>SUM(AC27:AN27)</f>
        <v/>
      </c>
    </row>
    <row r="28" ht="14.25" customHeight="1" s="137">
      <c r="B28" s="57" t="inlineStr">
        <is>
          <t>LOANS INTEREST</t>
        </is>
      </c>
      <c r="C28" s="64" t="n">
        <v>0</v>
      </c>
      <c r="D28" s="64" t="n">
        <v>0</v>
      </c>
      <c r="E28" s="64" t="n">
        <v>0</v>
      </c>
      <c r="F28" s="65" t="n">
        <v>0</v>
      </c>
      <c r="G28" s="66" t="n">
        <v>0</v>
      </c>
      <c r="H28" s="66" t="n">
        <v>0</v>
      </c>
      <c r="I28" s="67" t="n">
        <v>0</v>
      </c>
      <c r="J28" s="68" t="n">
        <v>0</v>
      </c>
      <c r="K28" s="68" t="n">
        <v>0</v>
      </c>
      <c r="L28" s="69" t="n">
        <v>0</v>
      </c>
      <c r="M28" s="59" t="n">
        <v>0</v>
      </c>
      <c r="N28" s="63" t="n">
        <v>0</v>
      </c>
      <c r="O28" s="61">
        <f>SUM(C28:N28)</f>
        <v/>
      </c>
      <c r="P28" s="64" t="n">
        <v>0</v>
      </c>
      <c r="Q28" s="64" t="n">
        <v>0</v>
      </c>
      <c r="R28" s="64" t="n">
        <v>0</v>
      </c>
      <c r="S28" s="65" t="n">
        <v>0</v>
      </c>
      <c r="T28" s="66" t="n">
        <v>0</v>
      </c>
      <c r="U28" s="66" t="n">
        <v>0</v>
      </c>
      <c r="V28" s="67" t="n">
        <v>0</v>
      </c>
      <c r="W28" s="68" t="n">
        <v>0</v>
      </c>
      <c r="X28" s="68" t="n">
        <v>0</v>
      </c>
      <c r="Y28" s="69" t="n">
        <v>0</v>
      </c>
      <c r="Z28" s="59" t="n">
        <v>0</v>
      </c>
      <c r="AA28" s="63" t="n">
        <v>0</v>
      </c>
      <c r="AB28" s="61">
        <f>SUM(P28:AA28)</f>
        <v/>
      </c>
      <c r="AC28" s="64" t="n">
        <v>0</v>
      </c>
      <c r="AD28" s="64" t="n">
        <v>0</v>
      </c>
      <c r="AE28" s="64" t="n">
        <v>0</v>
      </c>
      <c r="AF28" s="65" t="n">
        <v>0</v>
      </c>
      <c r="AG28" s="66" t="n">
        <v>0</v>
      </c>
      <c r="AH28" s="66" t="n">
        <v>0</v>
      </c>
      <c r="AI28" s="67" t="n">
        <v>0</v>
      </c>
      <c r="AJ28" s="68" t="n">
        <v>0</v>
      </c>
      <c r="AK28" s="68" t="n">
        <v>0</v>
      </c>
      <c r="AL28" s="69" t="n">
        <v>0</v>
      </c>
      <c r="AM28" s="59" t="n">
        <v>0</v>
      </c>
      <c r="AN28" s="63" t="n">
        <v>0</v>
      </c>
      <c r="AO28" s="61">
        <f>SUM(AC28:AN28)</f>
        <v/>
      </c>
    </row>
    <row r="29" ht="14.25" customHeight="1" s="137">
      <c r="B29" s="57" t="inlineStr">
        <is>
          <t>TRAVEL EXPENSES</t>
        </is>
      </c>
      <c r="C29" s="64" t="n">
        <v>0</v>
      </c>
      <c r="D29" s="64" t="n">
        <v>0</v>
      </c>
      <c r="E29" s="64" t="n">
        <v>0</v>
      </c>
      <c r="F29" s="65" t="n">
        <v>0</v>
      </c>
      <c r="G29" s="66" t="n">
        <v>0</v>
      </c>
      <c r="H29" s="66" t="n">
        <v>0</v>
      </c>
      <c r="I29" s="67" t="n">
        <v>0</v>
      </c>
      <c r="J29" s="68" t="n">
        <v>0</v>
      </c>
      <c r="K29" s="68" t="n">
        <v>0</v>
      </c>
      <c r="L29" s="69" t="n">
        <v>0</v>
      </c>
      <c r="M29" s="59" t="n">
        <v>0</v>
      </c>
      <c r="N29" s="63" t="n">
        <v>0</v>
      </c>
      <c r="O29" s="61">
        <f>SUM(C29:N29)</f>
        <v/>
      </c>
      <c r="P29" s="64" t="n">
        <v>0</v>
      </c>
      <c r="Q29" s="64" t="n">
        <v>0</v>
      </c>
      <c r="R29" s="64" t="n">
        <v>0</v>
      </c>
      <c r="S29" s="65" t="n">
        <v>0</v>
      </c>
      <c r="T29" s="66" t="n">
        <v>0</v>
      </c>
      <c r="U29" s="66" t="n">
        <v>0</v>
      </c>
      <c r="V29" s="67" t="n">
        <v>0</v>
      </c>
      <c r="W29" s="68" t="n">
        <v>0</v>
      </c>
      <c r="X29" s="68" t="n">
        <v>0</v>
      </c>
      <c r="Y29" s="69" t="n">
        <v>0</v>
      </c>
      <c r="Z29" s="59" t="n">
        <v>0</v>
      </c>
      <c r="AA29" s="63" t="n">
        <v>0</v>
      </c>
      <c r="AB29" s="61">
        <f>SUM(P29:AA29)</f>
        <v/>
      </c>
      <c r="AC29" s="64" t="n">
        <v>0</v>
      </c>
      <c r="AD29" s="64" t="n">
        <v>0</v>
      </c>
      <c r="AE29" s="64" t="n">
        <v>0</v>
      </c>
      <c r="AF29" s="65" t="n">
        <v>0</v>
      </c>
      <c r="AG29" s="66" t="n">
        <v>0</v>
      </c>
      <c r="AH29" s="66" t="n">
        <v>0</v>
      </c>
      <c r="AI29" s="67" t="n">
        <v>0</v>
      </c>
      <c r="AJ29" s="68" t="n">
        <v>0</v>
      </c>
      <c r="AK29" s="68" t="n">
        <v>0</v>
      </c>
      <c r="AL29" s="69" t="n">
        <v>0</v>
      </c>
      <c r="AM29" s="59" t="n">
        <v>0</v>
      </c>
      <c r="AN29" s="63" t="n">
        <v>0</v>
      </c>
      <c r="AO29" s="61">
        <f>SUM(AC29:AN29)</f>
        <v/>
      </c>
    </row>
    <row r="30" ht="14.25" customHeight="1" s="137">
      <c r="B30" s="57" t="inlineStr">
        <is>
          <t>YARD STARTUP CONSTRUCTION</t>
        </is>
      </c>
      <c r="C30" s="64" t="n">
        <v>0</v>
      </c>
      <c r="D30" s="64" t="n">
        <v>0</v>
      </c>
      <c r="E30" s="64" t="n">
        <v>0</v>
      </c>
      <c r="F30" s="65" t="n">
        <v>210.36</v>
      </c>
      <c r="G30" s="66" t="n">
        <v>0</v>
      </c>
      <c r="H30" s="66" t="n">
        <v>0</v>
      </c>
      <c r="I30" s="67" t="n">
        <v>0</v>
      </c>
      <c r="J30" s="68" t="n">
        <v>0</v>
      </c>
      <c r="K30" s="68" t="n">
        <v>0</v>
      </c>
      <c r="L30" s="69" t="n">
        <v>11713.94</v>
      </c>
      <c r="M30" s="59" t="n">
        <v>35.64</v>
      </c>
      <c r="N30" s="63" t="n">
        <v>0</v>
      </c>
      <c r="O30" s="61">
        <f>SUM(C30:N30)</f>
        <v/>
      </c>
      <c r="P30" s="64" t="n">
        <v>0</v>
      </c>
      <c r="Q30" s="64" t="n">
        <v>0</v>
      </c>
      <c r="R30" s="64" t="n">
        <v>0</v>
      </c>
      <c r="S30" s="65" t="n"/>
      <c r="T30" s="66" t="n">
        <v>0</v>
      </c>
      <c r="U30" s="66" t="n">
        <v>0</v>
      </c>
      <c r="V30" s="67" t="n">
        <v>0</v>
      </c>
      <c r="W30" s="68" t="n">
        <v>0</v>
      </c>
      <c r="X30" s="68" t="n">
        <v>0</v>
      </c>
      <c r="Y30" s="69" t="n"/>
      <c r="Z30" s="59" t="n"/>
      <c r="AA30" s="63" t="n">
        <v>0</v>
      </c>
      <c r="AB30" s="61">
        <f>SUM(P30:AA30)</f>
        <v/>
      </c>
      <c r="AC30" s="64" t="n">
        <v>0</v>
      </c>
      <c r="AD30" s="64" t="n">
        <v>0</v>
      </c>
      <c r="AE30" s="64" t="n">
        <v>0</v>
      </c>
      <c r="AF30" s="65" t="n"/>
      <c r="AG30" s="66" t="n">
        <v>0</v>
      </c>
      <c r="AH30" s="66" t="n">
        <v>0</v>
      </c>
      <c r="AI30" s="67" t="n">
        <v>0</v>
      </c>
      <c r="AJ30" s="68" t="n">
        <v>0</v>
      </c>
      <c r="AK30" s="68" t="n">
        <v>0</v>
      </c>
      <c r="AL30" s="69" t="n"/>
      <c r="AM30" s="59" t="n"/>
      <c r="AN30" s="63" t="n">
        <v>0</v>
      </c>
      <c r="AO30" s="61">
        <f>SUM(AC30:AN30)</f>
        <v/>
      </c>
    </row>
    <row r="31" ht="14.25" customHeight="1" s="137">
      <c r="B31" s="57" t="inlineStr">
        <is>
          <t>YARD EQUIPMENT</t>
        </is>
      </c>
      <c r="C31" s="64" t="n">
        <v>0</v>
      </c>
      <c r="D31" s="64" t="n">
        <v>0</v>
      </c>
      <c r="E31" s="64" t="n">
        <v>0</v>
      </c>
      <c r="F31" s="65" t="n">
        <v>0</v>
      </c>
      <c r="G31" s="66" t="n">
        <v>0</v>
      </c>
      <c r="H31" s="66" t="n">
        <v>0</v>
      </c>
      <c r="I31" s="67" t="n">
        <v>0</v>
      </c>
      <c r="J31" s="68" t="n">
        <v>0</v>
      </c>
      <c r="K31" s="68" t="n">
        <v>1440.43</v>
      </c>
      <c r="L31" s="69" t="n">
        <v>142.99</v>
      </c>
      <c r="M31" s="59" t="n">
        <v>0</v>
      </c>
      <c r="N31" s="63" t="n">
        <v>0</v>
      </c>
      <c r="O31" s="61">
        <f>SUM(C31:N31)</f>
        <v/>
      </c>
      <c r="P31" s="64" t="n">
        <v>0</v>
      </c>
      <c r="Q31" s="64" t="n">
        <v>0</v>
      </c>
      <c r="R31" s="64" t="n">
        <v>0</v>
      </c>
      <c r="S31" s="65" t="n">
        <v>328.9</v>
      </c>
      <c r="T31" s="66" t="n">
        <v>49.96</v>
      </c>
      <c r="U31" s="66" t="n">
        <v>54.17</v>
      </c>
      <c r="V31" s="67" t="n">
        <v>75.39</v>
      </c>
      <c r="W31" s="68" t="n">
        <v>72.59</v>
      </c>
      <c r="X31" s="68" t="n">
        <v>19.79</v>
      </c>
      <c r="Y31" s="69" t="n">
        <v>89.15000000000001</v>
      </c>
      <c r="Z31" s="59" t="n">
        <v>106.99</v>
      </c>
      <c r="AA31" s="63" t="n">
        <v>152.9</v>
      </c>
      <c r="AB31" s="61">
        <f>SUM(P31:AA31)</f>
        <v/>
      </c>
      <c r="AC31" s="64" t="n">
        <v>0</v>
      </c>
      <c r="AD31" s="64" t="n">
        <v>0</v>
      </c>
      <c r="AE31" s="64" t="n">
        <v>0</v>
      </c>
      <c r="AF31" s="65" t="n">
        <v>0</v>
      </c>
      <c r="AG31" s="66" t="n">
        <v>0</v>
      </c>
      <c r="AH31" s="66" t="n">
        <v>0</v>
      </c>
      <c r="AI31" s="67" t="n">
        <v>0</v>
      </c>
      <c r="AJ31" s="68" t="n">
        <v>0</v>
      </c>
      <c r="AK31" s="68" t="n">
        <v>0</v>
      </c>
      <c r="AL31" s="69" t="n">
        <v>0</v>
      </c>
      <c r="AM31" s="59" t="n">
        <v>0</v>
      </c>
      <c r="AN31" s="63" t="n">
        <v>0</v>
      </c>
      <c r="AO31" s="61">
        <f>SUM(AC31:AN31)</f>
        <v/>
      </c>
    </row>
    <row r="32" ht="14.25" customHeight="1" s="137">
      <c r="B32" s="57" t="inlineStr">
        <is>
          <t>YARD FURNITURE</t>
        </is>
      </c>
      <c r="C32" s="64" t="n">
        <v>0</v>
      </c>
      <c r="D32" s="64" t="n">
        <v>0</v>
      </c>
      <c r="E32" s="64" t="n">
        <v>0</v>
      </c>
      <c r="F32" s="65" t="n">
        <v>0</v>
      </c>
      <c r="G32" s="66" t="n">
        <v>0</v>
      </c>
      <c r="H32" s="66" t="n">
        <v>0</v>
      </c>
      <c r="I32" s="67" t="n">
        <v>0</v>
      </c>
      <c r="J32" s="68" t="n">
        <v>0</v>
      </c>
      <c r="K32" s="68" t="n">
        <v>0</v>
      </c>
      <c r="L32" s="69" t="n">
        <v>2225</v>
      </c>
      <c r="M32" s="59" t="n">
        <v>13</v>
      </c>
      <c r="N32" s="63" t="n">
        <v>215</v>
      </c>
      <c r="O32" s="61">
        <f>SUM(C32:N32)</f>
        <v/>
      </c>
      <c r="P32" s="64" t="n">
        <v>0</v>
      </c>
      <c r="Q32" s="64" t="n">
        <v>0</v>
      </c>
      <c r="R32" s="64" t="n">
        <v>0</v>
      </c>
      <c r="S32" s="65" t="n">
        <v>0</v>
      </c>
      <c r="T32" s="66" t="n">
        <v>0</v>
      </c>
      <c r="U32" s="66" t="n">
        <v>0</v>
      </c>
      <c r="V32" s="67" t="n">
        <v>0</v>
      </c>
      <c r="W32" s="68" t="n">
        <v>0</v>
      </c>
      <c r="X32" s="68" t="n">
        <v>0</v>
      </c>
      <c r="Y32" s="69" t="n"/>
      <c r="Z32" s="59" t="n"/>
      <c r="AA32" s="63" t="n"/>
      <c r="AB32" s="61">
        <f>SUM(P32:AA32)</f>
        <v/>
      </c>
      <c r="AC32" s="64" t="n">
        <v>0</v>
      </c>
      <c r="AD32" s="64" t="n">
        <v>0</v>
      </c>
      <c r="AE32" s="64" t="n">
        <v>0</v>
      </c>
      <c r="AF32" s="65" t="n">
        <v>0</v>
      </c>
      <c r="AG32" s="66" t="n">
        <v>0</v>
      </c>
      <c r="AH32" s="66" t="n">
        <v>0</v>
      </c>
      <c r="AI32" s="67" t="n">
        <v>0</v>
      </c>
      <c r="AJ32" s="68" t="n">
        <v>0</v>
      </c>
      <c r="AK32" s="68" t="n">
        <v>0</v>
      </c>
      <c r="AL32" s="69" t="n"/>
      <c r="AM32" s="59" t="n"/>
      <c r="AN32" s="63" t="n"/>
      <c r="AO32" s="61">
        <f>SUM(AC32:AN32)</f>
        <v/>
      </c>
    </row>
    <row r="33" ht="14.25" customHeight="1" s="137">
      <c r="B33" s="57" t="inlineStr">
        <is>
          <t>YARD SERVICE</t>
        </is>
      </c>
      <c r="C33" s="64" t="n">
        <v>0</v>
      </c>
      <c r="D33" s="64" t="n">
        <v>0</v>
      </c>
      <c r="E33" s="64" t="n">
        <v>0</v>
      </c>
      <c r="F33" s="65" t="n">
        <v>0</v>
      </c>
      <c r="G33" s="66" t="n">
        <v>0</v>
      </c>
      <c r="H33" s="66" t="n">
        <v>0</v>
      </c>
      <c r="I33" s="67" t="n">
        <v>0</v>
      </c>
      <c r="J33" s="68" t="n">
        <v>0</v>
      </c>
      <c r="K33" s="68" t="n">
        <v>0</v>
      </c>
      <c r="L33" s="69" t="n">
        <v>0</v>
      </c>
      <c r="M33" s="59" t="n">
        <v>0</v>
      </c>
      <c r="N33" s="63" t="n">
        <v>0</v>
      </c>
      <c r="O33" s="61">
        <f>SUM(C33:N33)</f>
        <v/>
      </c>
      <c r="P33" s="64" t="n">
        <v>0</v>
      </c>
      <c r="Q33" s="64" t="n">
        <v>0</v>
      </c>
      <c r="R33" s="64" t="n">
        <v>0</v>
      </c>
      <c r="S33" s="65" t="n">
        <v>318.47</v>
      </c>
      <c r="T33" s="66" t="n">
        <v>0</v>
      </c>
      <c r="U33" s="66" t="n">
        <v>0</v>
      </c>
      <c r="V33" s="67" t="n">
        <v>0</v>
      </c>
      <c r="W33" s="68" t="n">
        <v>236.55</v>
      </c>
      <c r="X33" s="68" t="n">
        <v>0</v>
      </c>
      <c r="Y33" s="69" t="n">
        <v>89.87</v>
      </c>
      <c r="Z33" s="59" t="n">
        <v>0</v>
      </c>
      <c r="AA33" s="63" t="n">
        <v>0</v>
      </c>
      <c r="AB33" s="61">
        <f>SUM(P33:AA33)</f>
        <v/>
      </c>
      <c r="AC33" s="64" t="n">
        <v>0</v>
      </c>
      <c r="AD33" s="64" t="n">
        <v>0</v>
      </c>
      <c r="AE33" s="142" t="n">
        <v>60.95</v>
      </c>
      <c r="AF33" s="143" t="n">
        <v>60.95</v>
      </c>
      <c r="AG33" s="142" t="n">
        <v>445.2</v>
      </c>
      <c r="AH33" s="142" t="n">
        <v>60.95</v>
      </c>
      <c r="AI33" s="143" t="n">
        <v>60.95</v>
      </c>
      <c r="AJ33" s="142" t="n">
        <v>60.95</v>
      </c>
      <c r="AK33" s="142" t="n">
        <v>249</v>
      </c>
      <c r="AL33" s="143" t="n">
        <v>60.95</v>
      </c>
      <c r="AM33" s="59" t="n">
        <v>0</v>
      </c>
      <c r="AN33" s="63" t="n">
        <v>0</v>
      </c>
      <c r="AO33" s="61">
        <f>SUM(AC33:AN33)</f>
        <v/>
      </c>
    </row>
    <row r="34" ht="14.25" customHeight="1" s="137">
      <c r="B34" s="146" t="inlineStr">
        <is>
          <t>SUPPLIES (Grove Collaborative)</t>
        </is>
      </c>
      <c r="C34" s="64" t="n">
        <v>0</v>
      </c>
      <c r="D34" s="64" t="n">
        <v>0</v>
      </c>
      <c r="E34" s="64" t="n">
        <v>0</v>
      </c>
      <c r="F34" s="65" t="n">
        <v>0</v>
      </c>
      <c r="G34" s="66" t="n">
        <v>0</v>
      </c>
      <c r="H34" s="66" t="n">
        <v>0</v>
      </c>
      <c r="I34" s="67" t="n">
        <v>0</v>
      </c>
      <c r="J34" s="68" t="n">
        <v>0</v>
      </c>
      <c r="K34" s="68" t="n">
        <v>0</v>
      </c>
      <c r="L34" s="69" t="n">
        <v>0</v>
      </c>
      <c r="M34" s="59" t="n">
        <v>0</v>
      </c>
      <c r="N34" s="63" t="n">
        <v>0</v>
      </c>
      <c r="O34" s="61">
        <f>SUM(C34:N34)</f>
        <v/>
      </c>
      <c r="P34" s="64" t="n">
        <v>0</v>
      </c>
      <c r="Q34" s="64" t="n">
        <v>0</v>
      </c>
      <c r="R34" s="64" t="n">
        <v>0</v>
      </c>
      <c r="S34" s="65" t="n">
        <v>0</v>
      </c>
      <c r="T34" s="66" t="n">
        <v>0</v>
      </c>
      <c r="U34" s="66" t="n">
        <v>0</v>
      </c>
      <c r="V34" s="67" t="n">
        <v>0</v>
      </c>
      <c r="W34" s="68" t="n">
        <v>0</v>
      </c>
      <c r="X34" s="68" t="n">
        <v>0</v>
      </c>
      <c r="Y34" s="69" t="n">
        <v>0</v>
      </c>
      <c r="Z34" s="59" t="n">
        <v>0</v>
      </c>
      <c r="AA34" s="63" t="n">
        <v>0</v>
      </c>
      <c r="AB34" s="61">
        <f>SUM(P34:AA34)</f>
        <v/>
      </c>
      <c r="AC34" s="142" t="n">
        <v>110.8</v>
      </c>
      <c r="AD34" s="64" t="n">
        <v>0</v>
      </c>
      <c r="AE34" s="142" t="n">
        <v>92.95999999999999</v>
      </c>
      <c r="AF34" s="143" t="n">
        <v>105.25</v>
      </c>
      <c r="AG34" s="66" t="n">
        <v>0</v>
      </c>
      <c r="AH34" s="142" t="n">
        <v>68.73</v>
      </c>
      <c r="AI34" s="143" t="n">
        <v>128.37</v>
      </c>
      <c r="AJ34" s="142" t="n">
        <v>176.17</v>
      </c>
      <c r="AK34" s="142" t="n">
        <v>108.93</v>
      </c>
      <c r="AL34" s="69" t="n">
        <v>0</v>
      </c>
      <c r="AM34" s="59" t="n">
        <v>0</v>
      </c>
      <c r="AN34" s="63" t="n">
        <v>0</v>
      </c>
      <c r="AO34" s="61">
        <f>SUM(AC34:AN34)</f>
        <v/>
      </c>
    </row>
    <row r="35" ht="14.25" customHeight="1" s="137">
      <c r="B35" s="47" t="inlineStr">
        <is>
          <t>TOTAL EXPENSES</t>
        </is>
      </c>
      <c r="C35" s="48">
        <f>SUM(C10:C34)</f>
        <v/>
      </c>
      <c r="D35" s="48">
        <f>SUM(D10:D34)</f>
        <v/>
      </c>
      <c r="E35" s="48">
        <f>SUM(E10:E34)</f>
        <v/>
      </c>
      <c r="F35" s="49">
        <f>SUM(F10:F34)</f>
        <v/>
      </c>
      <c r="G35" s="50">
        <f>SUM(G10:G34)</f>
        <v/>
      </c>
      <c r="H35" s="50">
        <f>SUM(H10:H34)</f>
        <v/>
      </c>
      <c r="I35" s="51">
        <f>SUM(I10:I34)</f>
        <v/>
      </c>
      <c r="J35" s="52">
        <f>SUM(J10:J34)</f>
        <v/>
      </c>
      <c r="K35" s="52">
        <f>SUM(K10:K34)</f>
        <v/>
      </c>
      <c r="L35" s="53">
        <f>SUM(L10:L34)</f>
        <v/>
      </c>
      <c r="M35" s="54">
        <f>SUM(M10:M34)</f>
        <v/>
      </c>
      <c r="N35" s="55">
        <f>SUM(N10:N34)</f>
        <v/>
      </c>
      <c r="O35" s="56">
        <f>SUM(C35:N35)</f>
        <v/>
      </c>
      <c r="P35" s="48">
        <f>SUM(P10:P34)</f>
        <v/>
      </c>
      <c r="Q35" s="48">
        <f>SUM(Q10:Q34)</f>
        <v/>
      </c>
      <c r="R35" s="48">
        <f>SUM(R10:R34)</f>
        <v/>
      </c>
      <c r="S35" s="49">
        <f>SUM(S10:S34)</f>
        <v/>
      </c>
      <c r="T35" s="50">
        <f>SUM(T10:T34)</f>
        <v/>
      </c>
      <c r="U35" s="50">
        <f>SUM(U10:U34)</f>
        <v/>
      </c>
      <c r="V35" s="51">
        <f>SUM(V10:V34)</f>
        <v/>
      </c>
      <c r="W35" s="52">
        <f>SUM(W10:W34)</f>
        <v/>
      </c>
      <c r="X35" s="52">
        <f>SUM(X10:X34)</f>
        <v/>
      </c>
      <c r="Y35" s="53">
        <f>SUM(Y10:Y34)</f>
        <v/>
      </c>
      <c r="Z35" s="54">
        <f>SUM(Z10:Z34)</f>
        <v/>
      </c>
      <c r="AA35" s="55">
        <f>SUM(AA10:AA34)</f>
        <v/>
      </c>
      <c r="AB35" s="56">
        <f>SUM(P35:AA35)</f>
        <v/>
      </c>
      <c r="AC35" s="48">
        <f>SUM(AC10:AC34)</f>
        <v/>
      </c>
      <c r="AD35" s="48">
        <f>SUM(AD10:AD34)</f>
        <v/>
      </c>
      <c r="AE35" s="48">
        <f>SUM(AE10:AE34)</f>
        <v/>
      </c>
      <c r="AF35" s="49">
        <f>SUM(AF10:AF34)</f>
        <v/>
      </c>
      <c r="AG35" s="50">
        <f>SUM(AG10:AG34)</f>
        <v/>
      </c>
      <c r="AH35" s="50">
        <f>SUM(AH10:AH34)</f>
        <v/>
      </c>
      <c r="AI35" s="51">
        <f>SUM(AI10:AI34)</f>
        <v/>
      </c>
      <c r="AJ35" s="52">
        <f>SUM(AJ10:AJ34)</f>
        <v/>
      </c>
      <c r="AK35" s="52">
        <f>SUM(AK10:AK34)</f>
        <v/>
      </c>
      <c r="AL35" s="53">
        <f>SUM(AL10:AL34)</f>
        <v/>
      </c>
      <c r="AM35" s="54">
        <f>SUM(AM10:AM34)</f>
        <v/>
      </c>
      <c r="AN35" s="55">
        <f>SUM(AN10:AN34)</f>
        <v/>
      </c>
      <c r="AO35" s="56">
        <f>SUM(AC35:AN35)</f>
        <v/>
      </c>
    </row>
    <row r="36" ht="14.25" customHeight="1" s="137"/>
    <row r="37" ht="14.25" customHeight="1" s="137">
      <c r="B37" s="70" t="inlineStr">
        <is>
          <t>YEAR-TO-DATE INCOME LESS EXPENSES</t>
        </is>
      </c>
      <c r="C37" s="71">
        <f>C6-C35</f>
        <v/>
      </c>
      <c r="D37" s="71">
        <f>D6-D35</f>
        <v/>
      </c>
      <c r="E37" s="71">
        <f>E6-E35</f>
        <v/>
      </c>
      <c r="F37" s="72">
        <f>F6-F35</f>
        <v/>
      </c>
      <c r="G37" s="73">
        <f>G6-G35</f>
        <v/>
      </c>
      <c r="H37" s="73">
        <f>H6-H35</f>
        <v/>
      </c>
      <c r="I37" s="74">
        <f>I6-I35</f>
        <v/>
      </c>
      <c r="J37" s="75">
        <f>J6-J35</f>
        <v/>
      </c>
      <c r="K37" s="75">
        <f>K6-K35</f>
        <v/>
      </c>
      <c r="L37" s="76">
        <f>L6-L35</f>
        <v/>
      </c>
      <c r="M37" s="77">
        <f>M6-M35</f>
        <v/>
      </c>
      <c r="N37" s="78">
        <f>N6-N35</f>
        <v/>
      </c>
      <c r="O37" s="79">
        <f>O6-O35</f>
        <v/>
      </c>
      <c r="P37" s="71">
        <f>P6-P35</f>
        <v/>
      </c>
      <c r="Q37" s="71">
        <f>Q6-Q35</f>
        <v/>
      </c>
      <c r="R37" s="71">
        <f>R6-R35</f>
        <v/>
      </c>
      <c r="S37" s="72">
        <f>S6-S35</f>
        <v/>
      </c>
      <c r="T37" s="73">
        <f>T6-T35</f>
        <v/>
      </c>
      <c r="U37" s="73">
        <f>U6-U35</f>
        <v/>
      </c>
      <c r="V37" s="74">
        <f>V6-V35</f>
        <v/>
      </c>
      <c r="W37" s="75">
        <f>W6-W35</f>
        <v/>
      </c>
      <c r="X37" s="75">
        <f>X6-X35</f>
        <v/>
      </c>
      <c r="Y37" s="76">
        <f>Y6-Y35</f>
        <v/>
      </c>
      <c r="Z37" s="77">
        <f>Z6-Z35</f>
        <v/>
      </c>
      <c r="AA37" s="78">
        <f>AA6-AA35</f>
        <v/>
      </c>
      <c r="AB37" s="79">
        <f>AB6-AB35</f>
        <v/>
      </c>
      <c r="AC37" s="71">
        <f>AC6-AC35</f>
        <v/>
      </c>
      <c r="AD37" s="71">
        <f>AD6-AD35</f>
        <v/>
      </c>
      <c r="AE37" s="71">
        <f>AE6-AE35</f>
        <v/>
      </c>
      <c r="AF37" s="72">
        <f>AF6-AF35</f>
        <v/>
      </c>
      <c r="AG37" s="73">
        <f>AG6-AG35</f>
        <v/>
      </c>
      <c r="AH37" s="73">
        <f>AH6-AH35</f>
        <v/>
      </c>
      <c r="AI37" s="74">
        <f>AI6-AI35</f>
        <v/>
      </c>
      <c r="AJ37" s="75">
        <f>AJ6-AJ35</f>
        <v/>
      </c>
      <c r="AK37" s="75">
        <f>AK6-AK35</f>
        <v/>
      </c>
      <c r="AL37" s="76">
        <f>AL6-AL35</f>
        <v/>
      </c>
      <c r="AM37" s="77">
        <f>AM6-AM35</f>
        <v/>
      </c>
      <c r="AN37" s="78">
        <f>AN6-AN35</f>
        <v/>
      </c>
      <c r="AO37" s="79">
        <f>AO6-AO35</f>
        <v/>
      </c>
    </row>
    <row r="38" ht="14.25" customHeight="1" s="137"/>
    <row r="39" ht="14.25" customHeight="1" s="137">
      <c r="A39" s="0" t="inlineStr">
        <is>
          <t>2025: platform STR net on RENTAL INCOME (Jun–Nov). TruGreen/Alsip on YARD SERVICE (same as 2024). Grove Collaborative on SUPPLIES. State Farm HOME share only on INSURANCE. ELECTRIC yellow — confirm ComEd with Megan. Not tax advice.</t>
        </is>
      </c>
    </row>
    <row r="40" ht="14.25" customHeight="1" s="137"/>
    <row r="41" ht="14.25" customHeight="1" s="137"/>
    <row r="42" ht="14.25" customHeight="1" s="137"/>
    <row r="43" ht="14.25" customHeight="1" s="137"/>
    <row r="44" ht="14.25" customHeight="1" s="137"/>
    <row r="45" ht="14.25" customHeight="1" s="137"/>
    <row r="46" ht="14.25" customHeight="1" s="137"/>
    <row r="47" ht="14.25" customHeight="1" s="137"/>
    <row r="48" ht="14.25" customHeight="1" s="137"/>
    <row r="49" ht="14.25" customHeight="1" s="137"/>
    <row r="50" ht="14.25" customHeight="1" s="137"/>
    <row r="51" ht="14.25" customHeight="1" s="137"/>
    <row r="52" ht="14.25" customHeight="1" s="137"/>
    <row r="53" ht="14.25" customHeight="1" s="137"/>
    <row r="54" ht="14.25" customHeight="1" s="137"/>
    <row r="55" ht="14.25" customHeight="1" s="137"/>
    <row r="56" ht="14.25" customHeight="1" s="137"/>
    <row r="57" ht="14.25" customHeight="1" s="137"/>
    <row r="58" ht="14.25" customHeight="1" s="137"/>
    <row r="59" ht="14.25" customHeight="1" s="137"/>
    <row r="60" ht="14.25" customHeight="1" s="137"/>
    <row r="61" ht="14.25" customHeight="1" s="137"/>
    <row r="62" ht="14.25" customHeight="1" s="137"/>
    <row r="63" ht="14.25" customHeight="1" s="137"/>
    <row r="64" ht="14.25" customHeight="1" s="137"/>
    <row r="65" ht="14.25" customHeight="1" s="137"/>
    <row r="66" ht="14.25" customHeight="1" s="137"/>
    <row r="67" ht="14.25" customHeight="1" s="137"/>
    <row r="68" ht="14.25" customHeight="1" s="137"/>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sheetData>
  <mergeCells count="2">
    <mergeCell ref="C1:O1"/>
    <mergeCell ref="P1:AB1"/>
  </mergeCells>
  <pageMargins left="0.7" right="0.7" top="0.75" bottom="0.75" header="0" footer="0"/>
  <pageSetup orientation="portrait"/>
  <legacyDrawing xmlns:r="http://schemas.openxmlformats.org/officeDocument/2006/relationships" r:id="anysvml"/>
</worksheet>
</file>

<file path=xl/worksheets/sheet3.xml><?xml version="1.0" encoding="utf-8"?>
<worksheet xmlns="http://schemas.openxmlformats.org/spreadsheetml/2006/main">
  <sheetPr>
    <tabColor rgb="FFFFC000"/>
    <outlinePr summaryBelow="1" summaryRight="1"/>
    <pageSetUpPr/>
  </sheetPr>
  <dimension ref="A1:AO68"/>
  <sheetViews>
    <sheetView workbookViewId="0">
      <selection activeCell="A1" sqref="A1"/>
    </sheetView>
  </sheetViews>
  <sheetFormatPr baseColWidth="8" defaultColWidth="14.43" defaultRowHeight="15" customHeight="1"/>
  <cols>
    <col width="4.57" customWidth="1" style="137" min="1" max="1"/>
    <col width="68" customWidth="1" style="137" min="2" max="2"/>
    <col hidden="1" width="12" customWidth="1" style="137" min="3" max="3"/>
    <col hidden="1" width="10.57" customWidth="1" style="137" min="4" max="11"/>
    <col hidden="1" width="10" customWidth="1" style="137" min="12" max="14"/>
    <col hidden="1" width="16.57" customWidth="1" style="137" min="15" max="15"/>
    <col width="10.14" customWidth="1" style="137" min="16" max="16"/>
    <col width="12.71" customWidth="1" style="137" min="17" max="17"/>
    <col width="8.710000000000001" customWidth="1" style="137" min="18" max="24"/>
    <col width="13" customWidth="1" style="137" min="19" max="19"/>
    <col width="13" customWidth="1" style="137" min="20" max="20"/>
    <col width="13" customWidth="1" style="137" min="21" max="21"/>
    <col width="13" customWidth="1" style="137" min="22" max="22"/>
    <col width="13" customWidth="1" style="137" min="23" max="23"/>
    <col width="13" customWidth="1" style="137" min="24" max="24"/>
    <col width="10.14" customWidth="1" style="137" min="25" max="25"/>
    <col width="8.710000000000001" customWidth="1" style="137" min="26" max="27"/>
    <col width="13" customWidth="1" style="137" min="27" max="27"/>
    <col width="19.57" customWidth="1" style="137" min="28" max="28"/>
    <col width="10.14" customWidth="1" style="137" min="29" max="29"/>
    <col width="12.71" customWidth="1" style="137" min="30" max="30"/>
    <col width="8.710000000000001" customWidth="1" style="137" min="31" max="31"/>
    <col width="13" customWidth="1" style="137" min="32" max="32"/>
    <col width="13" customWidth="1" style="137" min="33" max="33"/>
    <col width="13" customWidth="1" style="137" min="34" max="34"/>
    <col width="13" customWidth="1" style="137" min="35" max="35"/>
    <col width="13" customWidth="1" style="137" min="36" max="36"/>
    <col width="13" customWidth="1" style="137" min="37" max="37"/>
    <col width="10.14" customWidth="1" style="137" min="38" max="38"/>
    <col width="8.710000000000001" customWidth="1" style="137" min="39" max="39"/>
    <col width="13" customWidth="1" style="137" min="40" max="40"/>
    <col width="19.57" customWidth="1" style="137" min="41" max="41"/>
  </cols>
  <sheetData>
    <row r="1" ht="14.25" customHeight="1" s="137">
      <c r="A1" s="16" t="n"/>
      <c r="B1" s="17" t="inlineStr">
        <is>
          <t>PROPERTY ADDRESS</t>
        </is>
      </c>
      <c r="C1" s="18" t="inlineStr">
        <is>
          <t>216 N. Oak Park Avenue #1Z</t>
        </is>
      </c>
      <c r="D1" s="141" t="n"/>
      <c r="E1" s="141" t="n"/>
      <c r="F1" s="141" t="n"/>
      <c r="G1" s="141" t="n"/>
      <c r="H1" s="141" t="n"/>
      <c r="I1" s="141" t="n"/>
      <c r="J1" s="141" t="n"/>
      <c r="K1" s="141" t="n"/>
      <c r="L1" s="141" t="n"/>
      <c r="M1" s="141" t="n"/>
      <c r="N1" s="141" t="n"/>
      <c r="O1" s="141" t="n"/>
    </row>
    <row r="2" ht="14.25" customHeight="1" s="137">
      <c r="A2" s="20" t="n"/>
      <c r="B2" s="21" t="inlineStr">
        <is>
          <t>INCOME</t>
        </is>
      </c>
      <c r="C2" s="22" t="inlineStr">
        <is>
          <t>JAN</t>
        </is>
      </c>
      <c r="D2" s="22" t="inlineStr">
        <is>
          <t>FEB</t>
        </is>
      </c>
      <c r="E2" s="22" t="inlineStr">
        <is>
          <t>MAR</t>
        </is>
      </c>
      <c r="F2" s="23" t="inlineStr">
        <is>
          <t>APR</t>
        </is>
      </c>
      <c r="G2" s="24" t="inlineStr">
        <is>
          <t>MAY</t>
        </is>
      </c>
      <c r="H2" s="24" t="inlineStr">
        <is>
          <t>JUN</t>
        </is>
      </c>
      <c r="I2" s="25" t="inlineStr">
        <is>
          <t>JUL</t>
        </is>
      </c>
      <c r="J2" s="26" t="inlineStr">
        <is>
          <t>AUG</t>
        </is>
      </c>
      <c r="K2" s="26" t="inlineStr">
        <is>
          <t>SEPT</t>
        </is>
      </c>
      <c r="L2" s="27" t="inlineStr">
        <is>
          <t>OCT</t>
        </is>
      </c>
      <c r="M2" s="28" t="inlineStr">
        <is>
          <t>NOV</t>
        </is>
      </c>
      <c r="N2" s="29" t="inlineStr">
        <is>
          <t>DEC</t>
        </is>
      </c>
      <c r="O2" s="30" t="inlineStr">
        <is>
          <t>2023 YR TOTAL</t>
        </is>
      </c>
      <c r="P2" s="22" t="inlineStr">
        <is>
          <t>JAN</t>
        </is>
      </c>
      <c r="Q2" s="22" t="inlineStr">
        <is>
          <t>FEB</t>
        </is>
      </c>
      <c r="R2" s="22" t="inlineStr">
        <is>
          <t>MAR</t>
        </is>
      </c>
      <c r="S2" s="23" t="inlineStr">
        <is>
          <t>APR</t>
        </is>
      </c>
      <c r="T2" s="24" t="inlineStr">
        <is>
          <t>MAY</t>
        </is>
      </c>
      <c r="U2" s="24" t="inlineStr">
        <is>
          <t>JUN</t>
        </is>
      </c>
      <c r="V2" s="25" t="inlineStr">
        <is>
          <t>JUL</t>
        </is>
      </c>
      <c r="W2" s="26" t="inlineStr">
        <is>
          <t>AUG</t>
        </is>
      </c>
      <c r="X2" s="26" t="inlineStr">
        <is>
          <t>SEPT</t>
        </is>
      </c>
      <c r="Y2" s="27" t="inlineStr">
        <is>
          <t>OCT</t>
        </is>
      </c>
      <c r="Z2" s="28" t="inlineStr">
        <is>
          <t>NOV</t>
        </is>
      </c>
      <c r="AA2" s="29" t="inlineStr">
        <is>
          <t>DEC</t>
        </is>
      </c>
      <c r="AB2" s="30" t="inlineStr">
        <is>
          <t>2024 YR TOTAL</t>
        </is>
      </c>
      <c r="AC2" s="22" t="inlineStr">
        <is>
          <t>JAN</t>
        </is>
      </c>
      <c r="AD2" s="22" t="inlineStr">
        <is>
          <t>FEB</t>
        </is>
      </c>
      <c r="AE2" s="22" t="inlineStr">
        <is>
          <t>MAR</t>
        </is>
      </c>
      <c r="AF2" s="23" t="inlineStr">
        <is>
          <t>APR</t>
        </is>
      </c>
      <c r="AG2" s="24" t="inlineStr">
        <is>
          <t>MAY</t>
        </is>
      </c>
      <c r="AH2" s="24" t="inlineStr">
        <is>
          <t>JUN</t>
        </is>
      </c>
      <c r="AI2" s="25" t="inlineStr">
        <is>
          <t>JUL</t>
        </is>
      </c>
      <c r="AJ2" s="26" t="inlineStr">
        <is>
          <t>AUG</t>
        </is>
      </c>
      <c r="AK2" s="26" t="inlineStr">
        <is>
          <t>SEPT</t>
        </is>
      </c>
      <c r="AL2" s="27" t="inlineStr">
        <is>
          <t>OCT</t>
        </is>
      </c>
      <c r="AM2" s="28" t="inlineStr">
        <is>
          <t>NOV</t>
        </is>
      </c>
      <c r="AN2" s="29" t="inlineStr">
        <is>
          <t>DEC</t>
        </is>
      </c>
      <c r="AO2" s="30" t="inlineStr">
        <is>
          <t>2025 YR TOTAL</t>
        </is>
      </c>
    </row>
    <row r="3" ht="14.25" customHeight="1" s="137">
      <c r="B3" s="128" t="inlineStr">
        <is>
          <t>MULTI-PROPERTY INCOME OVERVIEW</t>
        </is>
      </c>
      <c r="C3" s="32" t="n"/>
      <c r="D3" s="32" t="n"/>
      <c r="E3" s="32" t="n"/>
      <c r="F3" s="33" t="n"/>
      <c r="G3" s="32" t="n"/>
      <c r="H3" s="32" t="n"/>
      <c r="I3" s="33" t="n"/>
      <c r="J3" s="32" t="n"/>
      <c r="K3" s="32" t="n"/>
      <c r="L3" s="33" t="n"/>
      <c r="M3" s="32" t="n"/>
      <c r="N3" s="34" t="n"/>
      <c r="O3" s="35" t="n"/>
      <c r="P3" s="32" t="n"/>
      <c r="Q3" s="32" t="n"/>
      <c r="R3" s="32" t="n"/>
      <c r="S3" s="33" t="n"/>
      <c r="T3" s="32" t="n"/>
      <c r="U3" s="32" t="n"/>
      <c r="V3" s="33" t="n"/>
      <c r="W3" s="32" t="n"/>
      <c r="X3" s="32" t="n"/>
      <c r="Y3" s="33" t="n"/>
      <c r="Z3" s="32" t="n"/>
      <c r="AA3" s="34" t="n"/>
      <c r="AB3" s="35" t="n"/>
      <c r="AC3" s="32" t="n"/>
      <c r="AD3" s="32" t="n"/>
      <c r="AE3" s="32" t="n"/>
      <c r="AF3" s="33" t="n"/>
      <c r="AG3" s="32" t="n"/>
      <c r="AH3" s="32" t="n"/>
      <c r="AI3" s="33" t="n"/>
      <c r="AJ3" s="32" t="n"/>
      <c r="AK3" s="32" t="n"/>
      <c r="AL3" s="33" t="n"/>
      <c r="AM3" s="32" t="n"/>
      <c r="AN3" s="34" t="n"/>
      <c r="AO3" s="35" t="n"/>
    </row>
    <row r="4" ht="14.25" customHeight="1" s="137">
      <c r="B4" s="146" t="inlineStr">
        <is>
          <t>OTHER INCOME</t>
        </is>
      </c>
      <c r="C4" s="64" t="n">
        <v>0</v>
      </c>
      <c r="D4" s="64" t="n">
        <v>0</v>
      </c>
      <c r="E4" s="64" t="n">
        <v>0</v>
      </c>
      <c r="F4" s="65" t="n">
        <v>0</v>
      </c>
      <c r="G4" s="66" t="n">
        <v>0</v>
      </c>
      <c r="H4" s="66" t="n">
        <v>0</v>
      </c>
      <c r="I4" s="67" t="n">
        <v>0</v>
      </c>
      <c r="J4" s="68" t="n">
        <v>0</v>
      </c>
      <c r="K4" s="68" t="n">
        <v>0</v>
      </c>
      <c r="L4" s="69" t="n">
        <v>0</v>
      </c>
      <c r="M4" s="59" t="n">
        <v>0</v>
      </c>
      <c r="N4" s="63" t="n">
        <v>0</v>
      </c>
      <c r="O4" s="61">
        <f>SUM(C4:N4)</f>
        <v/>
      </c>
      <c r="P4" s="64" t="n">
        <v>0</v>
      </c>
      <c r="Q4" s="64" t="n">
        <v>0</v>
      </c>
      <c r="R4" s="64" t="n">
        <v>0</v>
      </c>
      <c r="S4" s="65" t="n">
        <v>0</v>
      </c>
      <c r="T4" s="66" t="n">
        <v>0</v>
      </c>
      <c r="U4" s="66" t="n">
        <v>0</v>
      </c>
      <c r="V4" s="67" t="n">
        <v>0</v>
      </c>
      <c r="W4" s="68" t="n">
        <v>0</v>
      </c>
      <c r="X4" s="68" t="n">
        <v>0</v>
      </c>
      <c r="Y4" s="69" t="n">
        <v>0</v>
      </c>
      <c r="Z4" s="59" t="n">
        <v>0</v>
      </c>
      <c r="AA4" s="63" t="n">
        <v>0</v>
      </c>
      <c r="AB4" s="61">
        <f>SUM(P4:AA4)</f>
        <v/>
      </c>
      <c r="AC4" s="64" t="n">
        <v>0</v>
      </c>
      <c r="AD4" s="64" t="n">
        <v>0</v>
      </c>
      <c r="AE4" s="64" t="n">
        <v>0</v>
      </c>
      <c r="AF4" s="65" t="n">
        <v>0</v>
      </c>
      <c r="AG4" s="66" t="n">
        <v>0</v>
      </c>
      <c r="AH4" s="66" t="n">
        <v>0</v>
      </c>
      <c r="AI4" s="67" t="n">
        <v>0</v>
      </c>
      <c r="AJ4" s="68" t="n">
        <v>0</v>
      </c>
      <c r="AK4" s="68" t="n">
        <v>0</v>
      </c>
      <c r="AL4" s="69" t="n">
        <v>0</v>
      </c>
      <c r="AM4" s="59" t="n">
        <v>0</v>
      </c>
      <c r="AN4" s="63" t="n">
        <v>0</v>
      </c>
      <c r="AO4" s="61">
        <f>SUM(AC4:AN4)</f>
        <v/>
      </c>
    </row>
    <row r="5" ht="14.25" customHeight="1" s="137">
      <c r="B5" s="146" t="inlineStr">
        <is>
          <t>RENTAL INCOME</t>
        </is>
      </c>
      <c r="C5" s="64" t="n"/>
      <c r="D5" s="64" t="n"/>
      <c r="E5" s="64" t="n"/>
      <c r="F5" s="46" t="n"/>
      <c r="G5" s="46" t="n"/>
      <c r="H5" s="46" t="n"/>
      <c r="I5" s="68" t="n"/>
      <c r="J5" s="68" t="n"/>
      <c r="K5" s="68" t="n"/>
      <c r="L5" s="59" t="n">
        <v>1775</v>
      </c>
      <c r="M5" s="59" t="n">
        <v>1775</v>
      </c>
      <c r="N5" s="59" t="n">
        <v>1775</v>
      </c>
      <c r="O5" s="61">
        <f>SUM(C5:N5)</f>
        <v/>
      </c>
      <c r="P5" s="64" t="n">
        <v>1775</v>
      </c>
      <c r="Q5" s="64" t="n">
        <v>1775</v>
      </c>
      <c r="R5" s="64" t="n">
        <v>1775</v>
      </c>
      <c r="S5" s="46" t="n">
        <v>1775</v>
      </c>
      <c r="T5" s="46" t="n">
        <v>1775</v>
      </c>
      <c r="U5" s="46" t="n">
        <v>1775</v>
      </c>
      <c r="V5" s="68" t="n">
        <v>1775</v>
      </c>
      <c r="W5" s="68" t="n">
        <v>1775</v>
      </c>
      <c r="X5" s="68" t="n">
        <v>1775</v>
      </c>
      <c r="Y5" s="59" t="n">
        <v>1950</v>
      </c>
      <c r="Z5" s="59" t="n">
        <v>1950</v>
      </c>
      <c r="AA5" s="59" t="n">
        <v>1950</v>
      </c>
      <c r="AB5" s="61">
        <f>SUM(P5:AA5)</f>
        <v/>
      </c>
      <c r="AC5" s="142" t="n">
        <v>1950</v>
      </c>
      <c r="AD5" s="142" t="n">
        <v>1950</v>
      </c>
      <c r="AE5" s="142" t="n">
        <v>1950</v>
      </c>
      <c r="AF5" s="142" t="n">
        <v>1950</v>
      </c>
      <c r="AG5" s="142" t="n">
        <v>1950</v>
      </c>
      <c r="AH5" s="142" t="n">
        <v>1950</v>
      </c>
      <c r="AI5" s="142" t="n">
        <v>1450</v>
      </c>
      <c r="AJ5" s="142" t="n">
        <v>2450</v>
      </c>
      <c r="AK5" s="68" t="n">
        <v>0</v>
      </c>
      <c r="AL5" s="59" t="n">
        <v>0</v>
      </c>
      <c r="AM5" s="59" t="n">
        <v>0</v>
      </c>
      <c r="AN5" s="142" t="n">
        <v>3900</v>
      </c>
      <c r="AO5" s="61">
        <f>SUM(AC5:AN5)</f>
        <v/>
      </c>
    </row>
    <row r="6" ht="14.25" customHeight="1" s="137">
      <c r="B6" s="47" t="inlineStr">
        <is>
          <t>GROSS RENTAL INCOME</t>
        </is>
      </c>
      <c r="C6" s="48">
        <f>SUM(C4:C5)</f>
        <v/>
      </c>
      <c r="D6" s="48">
        <f>SUM(D4:D5)</f>
        <v/>
      </c>
      <c r="E6" s="48">
        <f>SUM(E4:E5)</f>
        <v/>
      </c>
      <c r="F6" s="49">
        <f>SUM(F4:F5)</f>
        <v/>
      </c>
      <c r="G6" s="50">
        <f>SUM(G4:G5)</f>
        <v/>
      </c>
      <c r="H6" s="50">
        <f>SUM(H4:H5)</f>
        <v/>
      </c>
      <c r="I6" s="51">
        <f>SUM(I4:I5)</f>
        <v/>
      </c>
      <c r="J6" s="52">
        <f>SUM(J4:J5)</f>
        <v/>
      </c>
      <c r="K6" s="52">
        <f>SUM(K4:K5)</f>
        <v/>
      </c>
      <c r="L6" s="53">
        <f>SUM(L4:L5)</f>
        <v/>
      </c>
      <c r="M6" s="54">
        <f>SUM(M4:M5)</f>
        <v/>
      </c>
      <c r="N6" s="55">
        <f>SUM(N4:N5)</f>
        <v/>
      </c>
      <c r="O6" s="56">
        <f>SUM(C6:N6)</f>
        <v/>
      </c>
      <c r="P6" s="48">
        <f>SUM(P4:P5)</f>
        <v/>
      </c>
      <c r="Q6" s="48">
        <f>SUM(Q4:Q5)</f>
        <v/>
      </c>
      <c r="R6" s="48">
        <f>SUM(R4:R5)</f>
        <v/>
      </c>
      <c r="S6" s="49">
        <f>SUM(S4:S5)</f>
        <v/>
      </c>
      <c r="T6" s="50">
        <f>SUM(T4:T5)</f>
        <v/>
      </c>
      <c r="U6" s="50">
        <f>SUM(U4:U5)</f>
        <v/>
      </c>
      <c r="V6" s="51">
        <f>SUM(V4:V5)</f>
        <v/>
      </c>
      <c r="W6" s="52">
        <f>SUM(W4:W5)</f>
        <v/>
      </c>
      <c r="X6" s="52">
        <f>SUM(X4:X5)</f>
        <v/>
      </c>
      <c r="Y6" s="53">
        <f>SUM(Y4:Y5)</f>
        <v/>
      </c>
      <c r="Z6" s="54">
        <f>SUM(Z4:Z5)</f>
        <v/>
      </c>
      <c r="AA6" s="55">
        <f>SUM(AA4:AA5)</f>
        <v/>
      </c>
      <c r="AB6" s="56">
        <f>SUM(P6:AA6)</f>
        <v/>
      </c>
      <c r="AC6" s="48">
        <f>SUM(AC4:AC5)</f>
        <v/>
      </c>
      <c r="AD6" s="48">
        <f>SUM(AD4:AD5)</f>
        <v/>
      </c>
      <c r="AE6" s="48">
        <f>SUM(AE4:AE5)</f>
        <v/>
      </c>
      <c r="AF6" s="49">
        <f>SUM(AF4:AF5)</f>
        <v/>
      </c>
      <c r="AG6" s="50">
        <f>SUM(AG4:AG5)</f>
        <v/>
      </c>
      <c r="AH6" s="50">
        <f>SUM(AH4:AH5)</f>
        <v/>
      </c>
      <c r="AI6" s="51">
        <f>SUM(AI4:AI5)</f>
        <v/>
      </c>
      <c r="AJ6" s="52">
        <f>SUM(AJ4:AJ5)</f>
        <v/>
      </c>
      <c r="AK6" s="52">
        <f>SUM(AK4:AK5)</f>
        <v/>
      </c>
      <c r="AL6" s="53">
        <f>SUM(AL4:AL5)</f>
        <v/>
      </c>
      <c r="AM6" s="54">
        <f>SUM(AM4:AM5)</f>
        <v/>
      </c>
      <c r="AN6" s="55">
        <f>SUM(AN4:AN5)</f>
        <v/>
      </c>
      <c r="AO6" s="56">
        <f>SUM(AC6:AN6)</f>
        <v/>
      </c>
    </row>
    <row r="7" ht="14.25" customHeight="1" s="137"/>
    <row r="8" ht="14.25" customHeight="1" s="137">
      <c r="A8" s="20" t="n"/>
      <c r="B8" s="21" t="inlineStr">
        <is>
          <t>EXPENSES</t>
        </is>
      </c>
      <c r="C8" s="22" t="inlineStr">
        <is>
          <t>JAN</t>
        </is>
      </c>
      <c r="D8" s="22" t="inlineStr">
        <is>
          <t>FEB</t>
        </is>
      </c>
      <c r="E8" s="22" t="inlineStr">
        <is>
          <t>MAR</t>
        </is>
      </c>
      <c r="F8" s="23" t="inlineStr">
        <is>
          <t>APR</t>
        </is>
      </c>
      <c r="G8" s="24" t="inlineStr">
        <is>
          <t>MAY</t>
        </is>
      </c>
      <c r="H8" s="24" t="inlineStr">
        <is>
          <t>JUN</t>
        </is>
      </c>
      <c r="I8" s="25" t="inlineStr">
        <is>
          <t>JUL</t>
        </is>
      </c>
      <c r="J8" s="26" t="inlineStr">
        <is>
          <t>AUG</t>
        </is>
      </c>
      <c r="K8" s="26" t="inlineStr">
        <is>
          <t>SEPT</t>
        </is>
      </c>
      <c r="L8" s="27" t="inlineStr">
        <is>
          <t>OCT</t>
        </is>
      </c>
      <c r="M8" s="28" t="inlineStr">
        <is>
          <t>NOV</t>
        </is>
      </c>
      <c r="N8" s="29" t="inlineStr">
        <is>
          <t>DEC</t>
        </is>
      </c>
      <c r="O8" s="30" t="inlineStr">
        <is>
          <t>YR TOTAL</t>
        </is>
      </c>
      <c r="P8" s="22" t="inlineStr">
        <is>
          <t>JAN</t>
        </is>
      </c>
      <c r="Q8" s="22" t="inlineStr">
        <is>
          <t>FEB</t>
        </is>
      </c>
      <c r="R8" s="22" t="inlineStr">
        <is>
          <t>MAR</t>
        </is>
      </c>
      <c r="S8" s="23" t="inlineStr">
        <is>
          <t>APR</t>
        </is>
      </c>
      <c r="T8" s="24" t="inlineStr">
        <is>
          <t>MAY</t>
        </is>
      </c>
      <c r="U8" s="24" t="inlineStr">
        <is>
          <t>JUN</t>
        </is>
      </c>
      <c r="V8" s="25" t="inlineStr">
        <is>
          <t>JUL</t>
        </is>
      </c>
      <c r="W8" s="26" t="inlineStr">
        <is>
          <t>AUG</t>
        </is>
      </c>
      <c r="X8" s="26" t="inlineStr">
        <is>
          <t>SEPT</t>
        </is>
      </c>
      <c r="Y8" s="27" t="inlineStr">
        <is>
          <t>OCT</t>
        </is>
      </c>
      <c r="Z8" s="28" t="inlineStr">
        <is>
          <t>NOV</t>
        </is>
      </c>
      <c r="AA8" s="29" t="inlineStr">
        <is>
          <t>DEC</t>
        </is>
      </c>
      <c r="AB8" s="30" t="inlineStr">
        <is>
          <t>YR TOTAL</t>
        </is>
      </c>
      <c r="AC8" s="22" t="inlineStr">
        <is>
          <t>JAN</t>
        </is>
      </c>
      <c r="AD8" s="22" t="inlineStr">
        <is>
          <t>FEB</t>
        </is>
      </c>
      <c r="AE8" s="22" t="inlineStr">
        <is>
          <t>MAR</t>
        </is>
      </c>
      <c r="AF8" s="23" t="inlineStr">
        <is>
          <t>APR</t>
        </is>
      </c>
      <c r="AG8" s="24" t="inlineStr">
        <is>
          <t>MAY</t>
        </is>
      </c>
      <c r="AH8" s="24" t="inlineStr">
        <is>
          <t>JUN</t>
        </is>
      </c>
      <c r="AI8" s="25" t="inlineStr">
        <is>
          <t>JUL</t>
        </is>
      </c>
      <c r="AJ8" s="26" t="inlineStr">
        <is>
          <t>AUG</t>
        </is>
      </c>
      <c r="AK8" s="26" t="inlineStr">
        <is>
          <t>SEPT</t>
        </is>
      </c>
      <c r="AL8" s="27" t="inlineStr">
        <is>
          <t>OCT</t>
        </is>
      </c>
      <c r="AM8" s="28" t="inlineStr">
        <is>
          <t>NOV</t>
        </is>
      </c>
      <c r="AN8" s="29" t="inlineStr">
        <is>
          <t>DEC</t>
        </is>
      </c>
      <c r="AO8" s="30" t="inlineStr">
        <is>
          <t>YR TOTAL</t>
        </is>
      </c>
    </row>
    <row r="9" ht="14.25" customHeight="1" s="137">
      <c r="B9" s="128">
        <f>'[1]Property Management Overview'!B10</f>
        <v/>
      </c>
      <c r="C9" s="32" t="n"/>
      <c r="D9" s="32" t="n"/>
      <c r="E9" s="32" t="n"/>
      <c r="F9" s="33" t="n"/>
      <c r="G9" s="32" t="n"/>
      <c r="H9" s="32" t="n"/>
      <c r="I9" s="33" t="n"/>
      <c r="J9" s="32" t="n"/>
      <c r="K9" s="32" t="n"/>
      <c r="L9" s="33" t="n"/>
      <c r="M9" s="32" t="n"/>
      <c r="N9" s="34" t="n"/>
      <c r="O9" s="35" t="n"/>
      <c r="P9" s="32" t="n"/>
      <c r="Q9" s="32" t="n"/>
      <c r="R9" s="32" t="n"/>
      <c r="S9" s="33" t="n"/>
      <c r="T9" s="32" t="n"/>
      <c r="U9" s="32" t="n"/>
      <c r="V9" s="33" t="n"/>
      <c r="W9" s="32" t="n"/>
      <c r="X9" s="32" t="n"/>
      <c r="Y9" s="33" t="n"/>
      <c r="Z9" s="32" t="n"/>
      <c r="AA9" s="34" t="n"/>
      <c r="AB9" s="35" t="n"/>
      <c r="AC9" s="32" t="n"/>
      <c r="AD9" s="32" t="n"/>
      <c r="AE9" s="32" t="n"/>
      <c r="AF9" s="33" t="n"/>
      <c r="AG9" s="32" t="n"/>
      <c r="AH9" s="32" t="n"/>
      <c r="AI9" s="33" t="n"/>
      <c r="AJ9" s="32" t="n"/>
      <c r="AK9" s="32" t="n"/>
      <c r="AL9" s="33" t="n"/>
      <c r="AM9" s="32" t="n"/>
      <c r="AN9" s="34" t="n"/>
      <c r="AO9" s="35" t="n"/>
    </row>
    <row r="10" ht="14.25" customHeight="1" s="137">
      <c r="B10" s="57" t="inlineStr">
        <is>
          <t>MULTI-PROPERTY EXPENSES OVERVIEW</t>
        </is>
      </c>
      <c r="C10" s="64" t="n">
        <v>0</v>
      </c>
      <c r="D10" s="64" t="n">
        <v>0</v>
      </c>
      <c r="E10" s="64" t="n">
        <v>0</v>
      </c>
      <c r="F10" s="65" t="n">
        <v>0</v>
      </c>
      <c r="G10" s="66" t="n">
        <v>0</v>
      </c>
      <c r="H10" s="66" t="n">
        <v>0</v>
      </c>
      <c r="I10" s="67" t="n">
        <v>0</v>
      </c>
      <c r="J10" s="68" t="n">
        <v>0</v>
      </c>
      <c r="K10" s="68" t="n">
        <v>0</v>
      </c>
      <c r="L10" s="69" t="n">
        <v>0</v>
      </c>
      <c r="M10" s="59" t="n">
        <v>0</v>
      </c>
      <c r="N10" s="63" t="n">
        <v>0</v>
      </c>
      <c r="O10" s="61">
        <f>SUM(C10:N10)</f>
        <v/>
      </c>
      <c r="P10" s="64" t="n">
        <v>0</v>
      </c>
      <c r="Q10" s="64" t="n">
        <v>0</v>
      </c>
      <c r="R10" s="64" t="n">
        <v>0</v>
      </c>
      <c r="S10" s="65" t="n">
        <v>0</v>
      </c>
      <c r="T10" s="66" t="n">
        <v>0</v>
      </c>
      <c r="U10" s="66" t="n">
        <v>0</v>
      </c>
      <c r="V10" s="67" t="n">
        <v>0</v>
      </c>
      <c r="W10" s="68" t="n">
        <v>0</v>
      </c>
      <c r="X10" s="68" t="n">
        <v>0</v>
      </c>
      <c r="Y10" s="69" t="n">
        <v>0</v>
      </c>
      <c r="Z10" s="59" t="n">
        <v>0</v>
      </c>
      <c r="AA10" s="63" t="n">
        <v>0</v>
      </c>
      <c r="AB10" s="61">
        <f>SUM(P10:AA10)</f>
        <v/>
      </c>
      <c r="AC10" s="64" t="n">
        <v>0</v>
      </c>
      <c r="AD10" s="64" t="n">
        <v>0</v>
      </c>
      <c r="AE10" s="64" t="n">
        <v>0</v>
      </c>
      <c r="AF10" s="65" t="n">
        <v>0</v>
      </c>
      <c r="AG10" s="66" t="n">
        <v>0</v>
      </c>
      <c r="AH10" s="66" t="n">
        <v>0</v>
      </c>
      <c r="AI10" s="67" t="n">
        <v>0</v>
      </c>
      <c r="AJ10" s="68" t="n">
        <v>0</v>
      </c>
      <c r="AK10" s="68" t="n">
        <v>0</v>
      </c>
      <c r="AL10" s="69" t="n">
        <v>0</v>
      </c>
      <c r="AM10" s="59" t="n">
        <v>0</v>
      </c>
      <c r="AN10" s="63" t="n">
        <v>0</v>
      </c>
      <c r="AO10" s="61">
        <f>SUM(AC10:AN10)</f>
        <v/>
      </c>
    </row>
    <row r="11" ht="14.25" customHeight="1" s="137">
      <c r="B11" s="57" t="inlineStr">
        <is>
          <t>MARKETING / ADVERTISING</t>
        </is>
      </c>
      <c r="C11" s="64" t="n">
        <v>0</v>
      </c>
      <c r="D11" s="64" t="n">
        <v>0</v>
      </c>
      <c r="E11" s="64" t="n">
        <v>0</v>
      </c>
      <c r="F11" s="65" t="n">
        <v>0</v>
      </c>
      <c r="G11" s="66" t="n">
        <v>0</v>
      </c>
      <c r="H11" s="66" t="n">
        <v>0</v>
      </c>
      <c r="I11" s="67" t="n">
        <v>0</v>
      </c>
      <c r="J11" s="68" t="n">
        <v>0</v>
      </c>
      <c r="K11" s="68" t="n">
        <v>0</v>
      </c>
      <c r="L11" s="69" t="n">
        <v>0</v>
      </c>
      <c r="M11" s="59" t="n">
        <v>0</v>
      </c>
      <c r="N11" s="63" t="n">
        <v>0</v>
      </c>
      <c r="O11" s="61">
        <f>SUM(C11:N11)</f>
        <v/>
      </c>
      <c r="P11" s="64" t="n">
        <v>0</v>
      </c>
      <c r="Q11" s="64" t="n">
        <v>0</v>
      </c>
      <c r="R11" s="64" t="n">
        <v>0</v>
      </c>
      <c r="S11" s="65" t="n">
        <v>0</v>
      </c>
      <c r="T11" s="66" t="n">
        <v>0</v>
      </c>
      <c r="U11" s="66" t="n">
        <v>0</v>
      </c>
      <c r="V11" s="67" t="n">
        <v>0</v>
      </c>
      <c r="W11" s="68" t="n">
        <v>0</v>
      </c>
      <c r="X11" s="68" t="n">
        <v>0</v>
      </c>
      <c r="Y11" s="69" t="n">
        <v>0</v>
      </c>
      <c r="Z11" s="59" t="n">
        <v>0</v>
      </c>
      <c r="AA11" s="63" t="n">
        <v>0</v>
      </c>
      <c r="AB11" s="61">
        <f>SUM(P11:AA11)</f>
        <v/>
      </c>
      <c r="AC11" s="64" t="n">
        <v>0</v>
      </c>
      <c r="AD11" s="64" t="n">
        <v>0</v>
      </c>
      <c r="AE11" s="64" t="n">
        <v>0</v>
      </c>
      <c r="AF11" s="65" t="n">
        <v>0</v>
      </c>
      <c r="AG11" s="66" t="n">
        <v>0</v>
      </c>
      <c r="AH11" s="66" t="n">
        <v>0</v>
      </c>
      <c r="AI11" s="67" t="n">
        <v>0</v>
      </c>
      <c r="AJ11" s="68" t="n">
        <v>0</v>
      </c>
      <c r="AK11" s="68" t="n">
        <v>0</v>
      </c>
      <c r="AL11" s="69" t="n">
        <v>0</v>
      </c>
      <c r="AM11" s="59" t="n">
        <v>0</v>
      </c>
      <c r="AN11" s="63" t="n">
        <v>0</v>
      </c>
      <c r="AO11" s="61">
        <f>SUM(AC11:AN11)</f>
        <v/>
      </c>
    </row>
    <row r="12" ht="14.25" customHeight="1" s="137">
      <c r="B12" s="57" t="inlineStr">
        <is>
          <t>SERVICE FEES</t>
        </is>
      </c>
      <c r="C12" s="64" t="n">
        <v>0</v>
      </c>
      <c r="D12" s="64" t="n">
        <v>0</v>
      </c>
      <c r="E12" s="64" t="n">
        <v>0</v>
      </c>
      <c r="F12" s="65" t="n">
        <v>0</v>
      </c>
      <c r="G12" s="66" t="n">
        <v>0</v>
      </c>
      <c r="H12" s="66" t="n">
        <v>0</v>
      </c>
      <c r="I12" s="67" t="n">
        <v>0</v>
      </c>
      <c r="J12" s="68" t="n">
        <v>0</v>
      </c>
      <c r="K12" s="68" t="n">
        <v>0</v>
      </c>
      <c r="L12" s="69" t="n">
        <v>0</v>
      </c>
      <c r="M12" s="59" t="n">
        <v>0</v>
      </c>
      <c r="N12" s="63" t="n">
        <v>0</v>
      </c>
      <c r="O12" s="61">
        <f>SUM(C12:N12)</f>
        <v/>
      </c>
      <c r="P12" s="64" t="n">
        <v>0</v>
      </c>
      <c r="Q12" s="64" t="n">
        <v>0</v>
      </c>
      <c r="R12" s="64" t="n">
        <v>0</v>
      </c>
      <c r="S12" s="65" t="n">
        <v>0</v>
      </c>
      <c r="T12" s="66" t="n">
        <v>0</v>
      </c>
      <c r="U12" s="66" t="n">
        <v>0</v>
      </c>
      <c r="V12" s="67" t="n">
        <v>0</v>
      </c>
      <c r="W12" s="68" t="n">
        <v>0</v>
      </c>
      <c r="X12" s="68" t="n">
        <v>0</v>
      </c>
      <c r="Y12" s="69" t="n">
        <v>0</v>
      </c>
      <c r="Z12" s="59" t="n">
        <v>0</v>
      </c>
      <c r="AA12" s="63" t="n">
        <v>0</v>
      </c>
      <c r="AB12" s="61">
        <f>SUM(P12:AA12)</f>
        <v/>
      </c>
      <c r="AC12" s="64" t="n">
        <v>0</v>
      </c>
      <c r="AD12" s="64" t="n">
        <v>0</v>
      </c>
      <c r="AE12" s="64" t="n">
        <v>0</v>
      </c>
      <c r="AF12" s="65" t="n">
        <v>0</v>
      </c>
      <c r="AG12" s="66" t="n">
        <v>0</v>
      </c>
      <c r="AH12" s="66" t="n">
        <v>0</v>
      </c>
      <c r="AI12" s="67" t="n">
        <v>0</v>
      </c>
      <c r="AJ12" s="68" t="n">
        <v>0</v>
      </c>
      <c r="AK12" s="68" t="n">
        <v>0</v>
      </c>
      <c r="AL12" s="69" t="n">
        <v>0</v>
      </c>
      <c r="AM12" s="59" t="n">
        <v>0</v>
      </c>
      <c r="AN12" s="63" t="n">
        <v>0</v>
      </c>
      <c r="AO12" s="61">
        <f>SUM(AC12:AN12)</f>
        <v/>
      </c>
    </row>
    <row r="13" ht="14.25" customHeight="1" s="137">
      <c r="B13" s="57" t="inlineStr">
        <is>
          <t>REMITTED TAX</t>
        </is>
      </c>
      <c r="C13" s="64" t="n">
        <v>0</v>
      </c>
      <c r="D13" s="64" t="n">
        <v>0</v>
      </c>
      <c r="E13" s="64" t="n">
        <v>0</v>
      </c>
      <c r="F13" s="65" t="n">
        <v>0</v>
      </c>
      <c r="G13" s="66" t="n">
        <v>0</v>
      </c>
      <c r="H13" s="66" t="n">
        <v>0</v>
      </c>
      <c r="I13" s="67" t="n">
        <v>0</v>
      </c>
      <c r="J13" s="68" t="n">
        <v>0</v>
      </c>
      <c r="K13" s="68" t="n">
        <v>0</v>
      </c>
      <c r="L13" s="69" t="n">
        <v>0</v>
      </c>
      <c r="M13" s="59" t="n">
        <v>0</v>
      </c>
      <c r="N13" s="63" t="n">
        <v>0</v>
      </c>
      <c r="O13" s="61">
        <f>SUM(C13:N13)</f>
        <v/>
      </c>
      <c r="P13" s="64" t="n">
        <v>0</v>
      </c>
      <c r="Q13" s="64" t="n">
        <v>0</v>
      </c>
      <c r="R13" s="64" t="n">
        <v>0</v>
      </c>
      <c r="S13" s="65" t="n">
        <v>0</v>
      </c>
      <c r="T13" s="66" t="n">
        <v>0</v>
      </c>
      <c r="U13" s="66" t="n">
        <v>0</v>
      </c>
      <c r="V13" s="67" t="n">
        <v>0</v>
      </c>
      <c r="W13" s="68" t="n">
        <v>0</v>
      </c>
      <c r="X13" s="68" t="n">
        <v>0</v>
      </c>
      <c r="Y13" s="69" t="n">
        <v>0</v>
      </c>
      <c r="Z13" s="59" t="n">
        <v>0</v>
      </c>
      <c r="AA13" s="63" t="n">
        <v>0</v>
      </c>
      <c r="AB13" s="61">
        <f>SUM(P13:AA13)</f>
        <v/>
      </c>
      <c r="AC13" s="64" t="n">
        <v>0</v>
      </c>
      <c r="AD13" s="64" t="n">
        <v>0</v>
      </c>
      <c r="AE13" s="64" t="n">
        <v>0</v>
      </c>
      <c r="AF13" s="65" t="n">
        <v>0</v>
      </c>
      <c r="AG13" s="66" t="n">
        <v>0</v>
      </c>
      <c r="AH13" s="66" t="n">
        <v>0</v>
      </c>
      <c r="AI13" s="67" t="n">
        <v>0</v>
      </c>
      <c r="AJ13" s="68" t="n">
        <v>0</v>
      </c>
      <c r="AK13" s="68" t="n">
        <v>0</v>
      </c>
      <c r="AL13" s="69" t="n">
        <v>0</v>
      </c>
      <c r="AM13" s="59" t="n">
        <v>0</v>
      </c>
      <c r="AN13" s="63" t="n">
        <v>0</v>
      </c>
      <c r="AO13" s="61">
        <f>SUM(AC13:AN13)</f>
        <v/>
      </c>
    </row>
    <row r="14" ht="14.25" customHeight="1" s="137">
      <c r="B14" s="57" t="inlineStr">
        <is>
          <t>RENTER'S INSURANCE</t>
        </is>
      </c>
      <c r="C14" s="64" t="n">
        <v>26.75</v>
      </c>
      <c r="D14" s="64" t="n">
        <v>26.75</v>
      </c>
      <c r="E14" s="64" t="n">
        <v>26.75</v>
      </c>
      <c r="F14" s="66" t="n">
        <v>26.75</v>
      </c>
      <c r="G14" s="66" t="n">
        <v>26.75</v>
      </c>
      <c r="H14" s="66" t="n">
        <v>26.75</v>
      </c>
      <c r="I14" s="68" t="n">
        <v>26.75</v>
      </c>
      <c r="J14" s="68" t="n">
        <v>26.75</v>
      </c>
      <c r="K14" s="68" t="n">
        <v>26.75</v>
      </c>
      <c r="L14" s="59" t="n">
        <v>26.75</v>
      </c>
      <c r="M14" s="59" t="n">
        <v>26.75</v>
      </c>
      <c r="N14" s="59" t="n">
        <v>26.75</v>
      </c>
      <c r="O14" s="61">
        <f>SUM(C14:N14)</f>
        <v/>
      </c>
      <c r="P14" s="64" t="n">
        <v>35.08</v>
      </c>
      <c r="Q14" s="64" t="n">
        <v>35.08</v>
      </c>
      <c r="R14" s="64" t="n">
        <v>35.08</v>
      </c>
      <c r="S14" s="66" t="n">
        <v>35.08</v>
      </c>
      <c r="T14" s="66" t="n">
        <v>35.08</v>
      </c>
      <c r="U14" s="66" t="n">
        <v>35.08</v>
      </c>
      <c r="V14" s="68" t="n">
        <v>35.08</v>
      </c>
      <c r="W14" s="68" t="n">
        <v>35.08</v>
      </c>
      <c r="X14" s="68" t="n">
        <v>35.08</v>
      </c>
      <c r="Y14" s="59" t="n">
        <v>35.08</v>
      </c>
      <c r="Z14" s="59" t="n">
        <v>35.08</v>
      </c>
      <c r="AA14" s="59" t="n">
        <v>35.08</v>
      </c>
      <c r="AB14" s="61">
        <f>SUM(P14:AA14)</f>
        <v/>
      </c>
      <c r="AC14" s="64" t="n">
        <v>0</v>
      </c>
      <c r="AD14" s="64" t="n">
        <v>0</v>
      </c>
      <c r="AE14" s="64" t="n">
        <v>0</v>
      </c>
      <c r="AF14" s="66" t="n">
        <v>0</v>
      </c>
      <c r="AG14" s="66" t="n">
        <v>0</v>
      </c>
      <c r="AH14" s="66" t="n">
        <v>0</v>
      </c>
      <c r="AI14" s="68" t="n">
        <v>0</v>
      </c>
      <c r="AJ14" s="68" t="n">
        <v>0</v>
      </c>
      <c r="AK14" s="68" t="n">
        <v>0</v>
      </c>
      <c r="AL14" s="147" t="n">
        <v>514</v>
      </c>
      <c r="AM14" s="59" t="n">
        <v>0</v>
      </c>
      <c r="AN14" s="59" t="n">
        <v>0</v>
      </c>
      <c r="AO14" s="61">
        <f>SUM(AC14:AN14)</f>
        <v/>
      </c>
    </row>
    <row r="15" ht="14.25" customHeight="1" s="137">
      <c r="B15" s="57" t="inlineStr">
        <is>
          <t>INTERIOR MAINTENANCE</t>
        </is>
      </c>
      <c r="C15" s="64" t="n">
        <v>0</v>
      </c>
      <c r="D15" s="64" t="n">
        <v>0</v>
      </c>
      <c r="E15" s="64" t="n">
        <v>0</v>
      </c>
      <c r="F15" s="65" t="n">
        <v>0</v>
      </c>
      <c r="G15" s="66" t="n">
        <v>0</v>
      </c>
      <c r="H15" s="66" t="n">
        <v>0</v>
      </c>
      <c r="I15" s="67" t="n">
        <v>0</v>
      </c>
      <c r="J15" s="68" t="n">
        <v>0</v>
      </c>
      <c r="K15" s="68" t="n">
        <v>0</v>
      </c>
      <c r="L15" s="69" t="n">
        <v>0</v>
      </c>
      <c r="M15" s="59" t="n">
        <v>0</v>
      </c>
      <c r="N15" s="63" t="n">
        <v>0</v>
      </c>
      <c r="O15" s="61">
        <f>SUM(C15:N15)</f>
        <v/>
      </c>
      <c r="P15" s="64" t="n">
        <v>250</v>
      </c>
      <c r="Q15" s="64" t="n">
        <v>0</v>
      </c>
      <c r="R15" s="64" t="n">
        <v>0</v>
      </c>
      <c r="S15" s="65" t="n">
        <v>0</v>
      </c>
      <c r="T15" s="66" t="n"/>
      <c r="U15" s="66" t="n">
        <v>0</v>
      </c>
      <c r="V15" s="67" t="n">
        <v>0</v>
      </c>
      <c r="W15" s="68" t="n">
        <v>0</v>
      </c>
      <c r="X15" s="68" t="n">
        <v>0</v>
      </c>
      <c r="Y15" s="69" t="n">
        <v>0</v>
      </c>
      <c r="Z15" s="59" t="n">
        <v>0</v>
      </c>
      <c r="AA15" s="63" t="n">
        <v>0</v>
      </c>
      <c r="AB15" s="61">
        <f>SUM(P15:AA15)</f>
        <v/>
      </c>
      <c r="AC15" s="64" t="n">
        <v>0</v>
      </c>
      <c r="AD15" s="64" t="n">
        <v>0</v>
      </c>
      <c r="AE15" s="64" t="n">
        <v>0</v>
      </c>
      <c r="AF15" s="65" t="n">
        <v>0</v>
      </c>
      <c r="AG15" s="66" t="n">
        <v>0</v>
      </c>
      <c r="AH15" s="66" t="n">
        <v>0</v>
      </c>
      <c r="AI15" s="67" t="n">
        <v>0</v>
      </c>
      <c r="AJ15" s="68" t="n">
        <v>0</v>
      </c>
      <c r="AK15" s="68" t="n">
        <v>0</v>
      </c>
      <c r="AL15" s="69" t="n">
        <v>0</v>
      </c>
      <c r="AM15" s="59" t="n">
        <v>0</v>
      </c>
      <c r="AN15" s="145" t="n">
        <v>675</v>
      </c>
      <c r="AO15" s="61">
        <f>SUM(AC15:AN15)</f>
        <v/>
      </c>
    </row>
    <row r="16" ht="14.25" customHeight="1" s="137">
      <c r="B16" s="57" t="inlineStr">
        <is>
          <t>INTERIOR REPAIR</t>
        </is>
      </c>
      <c r="C16" s="64" t="n">
        <v>0</v>
      </c>
      <c r="D16" s="64" t="n">
        <v>0</v>
      </c>
      <c r="E16" s="64" t="n">
        <v>0</v>
      </c>
      <c r="F16" s="65" t="n">
        <v>0</v>
      </c>
      <c r="G16" s="66" t="n">
        <v>0</v>
      </c>
      <c r="H16" s="66" t="n">
        <v>0</v>
      </c>
      <c r="I16" s="67" t="n">
        <v>0</v>
      </c>
      <c r="J16" s="68" t="n">
        <v>0</v>
      </c>
      <c r="K16" s="68" t="n">
        <v>0</v>
      </c>
      <c r="L16" s="69" t="n">
        <v>0</v>
      </c>
      <c r="M16" s="59" t="n">
        <v>0</v>
      </c>
      <c r="N16" s="63" t="n">
        <v>0</v>
      </c>
      <c r="O16" s="61">
        <f>SUM(C16:N16)</f>
        <v/>
      </c>
      <c r="P16" s="64" t="n">
        <v>0</v>
      </c>
      <c r="Q16" s="64" t="n">
        <v>0</v>
      </c>
      <c r="R16" s="64" t="n">
        <v>0</v>
      </c>
      <c r="S16" s="65" t="n">
        <v>0</v>
      </c>
      <c r="T16" s="66" t="n">
        <v>80</v>
      </c>
      <c r="U16" s="66" t="n">
        <v>220</v>
      </c>
      <c r="V16" s="67" t="n">
        <v>0</v>
      </c>
      <c r="W16" s="68" t="n">
        <v>0</v>
      </c>
      <c r="X16" s="68" t="n">
        <v>0</v>
      </c>
      <c r="Y16" s="69" t="n">
        <v>0</v>
      </c>
      <c r="Z16" s="59" t="n">
        <v>250</v>
      </c>
      <c r="AA16" s="63" t="n">
        <v>0</v>
      </c>
      <c r="AB16" s="61">
        <f>SUM(P16:AA16)</f>
        <v/>
      </c>
      <c r="AC16" s="64" t="n">
        <v>0</v>
      </c>
      <c r="AD16" s="64" t="n">
        <v>0</v>
      </c>
      <c r="AE16" s="64" t="n">
        <v>0</v>
      </c>
      <c r="AF16" s="65" t="n">
        <v>0</v>
      </c>
      <c r="AG16" s="66" t="n">
        <v>0</v>
      </c>
      <c r="AH16" s="66" t="n">
        <v>0</v>
      </c>
      <c r="AI16" s="67" t="n">
        <v>0</v>
      </c>
      <c r="AJ16" s="68" t="n">
        <v>0</v>
      </c>
      <c r="AK16" s="68" t="n">
        <v>0</v>
      </c>
      <c r="AL16" s="69" t="n">
        <v>0</v>
      </c>
      <c r="AM16" s="59" t="n">
        <v>0</v>
      </c>
      <c r="AN16" s="63" t="n">
        <v>0</v>
      </c>
      <c r="AO16" s="61">
        <f>SUM(AC16:AN16)</f>
        <v/>
      </c>
    </row>
    <row r="17" ht="14.25" customHeight="1" s="137">
      <c r="B17" s="57" t="inlineStr">
        <is>
          <t> </t>
        </is>
      </c>
      <c r="C17" s="64" t="n">
        <v>0</v>
      </c>
      <c r="D17" s="64" t="n">
        <v>0</v>
      </c>
      <c r="E17" s="64" t="n">
        <v>0</v>
      </c>
      <c r="F17" s="65" t="n">
        <v>0</v>
      </c>
      <c r="G17" s="66" t="n">
        <v>0</v>
      </c>
      <c r="H17" s="66" t="n">
        <v>0</v>
      </c>
      <c r="I17" s="67" t="n">
        <v>0</v>
      </c>
      <c r="J17" s="68" t="n">
        <v>0</v>
      </c>
      <c r="K17" s="68" t="n">
        <v>0</v>
      </c>
      <c r="L17" s="69" t="n">
        <v>0</v>
      </c>
      <c r="M17" s="59" t="n">
        <v>0</v>
      </c>
      <c r="N17" s="63" t="n">
        <v>0</v>
      </c>
      <c r="O17" s="61">
        <f>SUM(C17:N17)</f>
        <v/>
      </c>
      <c r="P17" s="64" t="n">
        <v>0</v>
      </c>
      <c r="Q17" s="64" t="n">
        <v>0</v>
      </c>
      <c r="R17" s="64" t="n">
        <v>0</v>
      </c>
      <c r="S17" s="65" t="n">
        <v>0</v>
      </c>
      <c r="T17" s="66" t="n">
        <v>0</v>
      </c>
      <c r="U17" s="66" t="n">
        <v>0</v>
      </c>
      <c r="V17" s="67" t="n">
        <v>0</v>
      </c>
      <c r="W17" s="68" t="n">
        <v>0</v>
      </c>
      <c r="X17" s="68" t="n">
        <v>0</v>
      </c>
      <c r="Y17" s="69" t="n">
        <v>0</v>
      </c>
      <c r="Z17" s="59" t="n">
        <v>0</v>
      </c>
      <c r="AA17" s="63" t="n">
        <v>0</v>
      </c>
      <c r="AB17" s="61">
        <f>SUM(P17:AA17)</f>
        <v/>
      </c>
      <c r="AC17" s="64" t="n">
        <v>0</v>
      </c>
      <c r="AD17" s="64" t="n">
        <v>0</v>
      </c>
      <c r="AE17" s="64" t="n">
        <v>0</v>
      </c>
      <c r="AF17" s="65" t="n">
        <v>0</v>
      </c>
      <c r="AG17" s="66" t="n">
        <v>0</v>
      </c>
      <c r="AH17" s="66" t="n">
        <v>0</v>
      </c>
      <c r="AI17" s="67" t="n">
        <v>0</v>
      </c>
      <c r="AJ17" s="68" t="n">
        <v>0</v>
      </c>
      <c r="AK17" s="68" t="n">
        <v>0</v>
      </c>
      <c r="AL17" s="69" t="n">
        <v>0</v>
      </c>
      <c r="AM17" s="59" t="n">
        <v>0</v>
      </c>
      <c r="AN17" s="63" t="n">
        <v>0</v>
      </c>
      <c r="AO17" s="61">
        <f>SUM(AC17:AN17)</f>
        <v/>
      </c>
    </row>
    <row r="18" ht="14.25" customHeight="1" s="137">
      <c r="B18" s="57" t="inlineStr">
        <is>
          <t> </t>
        </is>
      </c>
      <c r="C18" s="64" t="n">
        <v>0</v>
      </c>
      <c r="D18" s="64" t="n">
        <v>0</v>
      </c>
      <c r="E18" s="64" t="n">
        <v>0</v>
      </c>
      <c r="F18" s="65" t="n">
        <v>0</v>
      </c>
      <c r="G18" s="66" t="n">
        <v>0</v>
      </c>
      <c r="H18" s="66" t="n">
        <v>0</v>
      </c>
      <c r="I18" s="67" t="n">
        <v>0</v>
      </c>
      <c r="J18" s="68" t="n">
        <v>0</v>
      </c>
      <c r="K18" s="68" t="n">
        <v>0</v>
      </c>
      <c r="L18" s="69" t="n">
        <v>0</v>
      </c>
      <c r="M18" s="59" t="n">
        <v>0</v>
      </c>
      <c r="N18" s="63" t="n">
        <v>0</v>
      </c>
      <c r="O18" s="61">
        <f>SUM(C18:N18)</f>
        <v/>
      </c>
      <c r="P18" s="64" t="n">
        <v>0</v>
      </c>
      <c r="Q18" s="64" t="n">
        <v>0</v>
      </c>
      <c r="R18" s="64" t="n">
        <v>0</v>
      </c>
      <c r="S18" s="65" t="n">
        <v>0</v>
      </c>
      <c r="T18" s="66" t="n">
        <v>0</v>
      </c>
      <c r="U18" s="66" t="n">
        <v>0</v>
      </c>
      <c r="V18" s="67" t="n">
        <v>0</v>
      </c>
      <c r="W18" s="68" t="n">
        <v>0</v>
      </c>
      <c r="X18" s="68" t="n">
        <v>0</v>
      </c>
      <c r="Y18" s="69" t="n">
        <v>0</v>
      </c>
      <c r="Z18" s="59" t="n">
        <v>0</v>
      </c>
      <c r="AA18" s="63" t="n">
        <v>0</v>
      </c>
      <c r="AB18" s="61">
        <f>SUM(P18:AA18)</f>
        <v/>
      </c>
      <c r="AC18" s="64" t="n">
        <v>0</v>
      </c>
      <c r="AD18" s="64" t="n">
        <v>0</v>
      </c>
      <c r="AE18" s="64" t="n">
        <v>0</v>
      </c>
      <c r="AF18" s="65" t="n">
        <v>0</v>
      </c>
      <c r="AG18" s="66" t="n">
        <v>0</v>
      </c>
      <c r="AH18" s="66" t="n">
        <v>0</v>
      </c>
      <c r="AI18" s="67" t="n">
        <v>0</v>
      </c>
      <c r="AJ18" s="68" t="n">
        <v>0</v>
      </c>
      <c r="AK18" s="68" t="n">
        <v>0</v>
      </c>
      <c r="AL18" s="69" t="n">
        <v>0</v>
      </c>
      <c r="AM18" s="59" t="n">
        <v>0</v>
      </c>
      <c r="AN18" s="63" t="n">
        <v>0</v>
      </c>
      <c r="AO18" s="61">
        <f>SUM(AC18:AN18)</f>
        <v/>
      </c>
    </row>
    <row r="19" ht="14.25" customHeight="1" s="137">
      <c r="B19" s="57" t="inlineStr">
        <is>
          <t> </t>
        </is>
      </c>
      <c r="C19" s="64" t="n">
        <v>0</v>
      </c>
      <c r="D19" s="64" t="n">
        <v>0</v>
      </c>
      <c r="E19" s="64" t="n">
        <v>0</v>
      </c>
      <c r="F19" s="65" t="n">
        <v>0</v>
      </c>
      <c r="G19" s="66" t="n">
        <v>0</v>
      </c>
      <c r="H19" s="66" t="n">
        <v>0</v>
      </c>
      <c r="I19" s="67" t="n">
        <v>0</v>
      </c>
      <c r="J19" s="68" t="n">
        <v>0</v>
      </c>
      <c r="K19" s="68" t="n">
        <v>0</v>
      </c>
      <c r="L19" s="69" t="n">
        <v>0</v>
      </c>
      <c r="M19" s="59" t="n">
        <v>0</v>
      </c>
      <c r="N19" s="63" t="n">
        <v>0</v>
      </c>
      <c r="O19" s="61">
        <f>SUM(C19:N19)</f>
        <v/>
      </c>
      <c r="P19" s="64" t="n">
        <v>0</v>
      </c>
      <c r="Q19" s="64" t="n">
        <v>0</v>
      </c>
      <c r="R19" s="64" t="n">
        <v>0</v>
      </c>
      <c r="S19" s="65" t="n">
        <v>0</v>
      </c>
      <c r="T19" s="66" t="n">
        <v>0</v>
      </c>
      <c r="U19" s="66" t="n">
        <v>0</v>
      </c>
      <c r="V19" s="67" t="n">
        <v>0</v>
      </c>
      <c r="W19" s="68" t="n">
        <v>0</v>
      </c>
      <c r="X19" s="68" t="n">
        <v>0</v>
      </c>
      <c r="Y19" s="69" t="n">
        <v>0</v>
      </c>
      <c r="Z19" s="59" t="n">
        <v>0</v>
      </c>
      <c r="AA19" s="63" t="n">
        <v>0</v>
      </c>
      <c r="AB19" s="61">
        <f>SUM(P19:AA19)</f>
        <v/>
      </c>
      <c r="AC19" s="64" t="n">
        <v>0</v>
      </c>
      <c r="AD19" s="64" t="n">
        <v>0</v>
      </c>
      <c r="AE19" s="64" t="n">
        <v>0</v>
      </c>
      <c r="AF19" s="65" t="n">
        <v>0</v>
      </c>
      <c r="AG19" s="66" t="n">
        <v>0</v>
      </c>
      <c r="AH19" s="66" t="n">
        <v>0</v>
      </c>
      <c r="AI19" s="67" t="n">
        <v>0</v>
      </c>
      <c r="AJ19" s="68" t="n">
        <v>0</v>
      </c>
      <c r="AK19" s="68" t="n">
        <v>0</v>
      </c>
      <c r="AL19" s="69" t="n">
        <v>0</v>
      </c>
      <c r="AM19" s="59" t="n">
        <v>0</v>
      </c>
      <c r="AN19" s="63" t="n">
        <v>0</v>
      </c>
      <c r="AO19" s="61">
        <f>SUM(AC19:AN19)</f>
        <v/>
      </c>
    </row>
    <row r="20" ht="14.25" customHeight="1" s="137">
      <c r="B20" s="57" t="inlineStr">
        <is>
          <t> </t>
        </is>
      </c>
      <c r="C20" s="64" t="n">
        <v>0</v>
      </c>
      <c r="D20" s="64" t="n">
        <v>0</v>
      </c>
      <c r="E20" s="64" t="n">
        <v>0</v>
      </c>
      <c r="F20" s="65" t="n">
        <v>0</v>
      </c>
      <c r="G20" s="66" t="n">
        <v>0</v>
      </c>
      <c r="H20" s="66" t="n">
        <v>0</v>
      </c>
      <c r="I20" s="67" t="n">
        <v>0</v>
      </c>
      <c r="J20" s="68" t="n">
        <v>0</v>
      </c>
      <c r="K20" s="68" t="n">
        <v>0</v>
      </c>
      <c r="L20" s="69" t="n">
        <v>0</v>
      </c>
      <c r="M20" s="59" t="n">
        <v>0</v>
      </c>
      <c r="N20" s="63" t="n">
        <v>0</v>
      </c>
      <c r="O20" s="61">
        <f>SUM(C20:N20)</f>
        <v/>
      </c>
      <c r="P20" s="64" t="n">
        <v>0</v>
      </c>
      <c r="Q20" s="64" t="n">
        <v>0</v>
      </c>
      <c r="R20" s="64" t="n">
        <v>0</v>
      </c>
      <c r="S20" s="65" t="n">
        <v>0</v>
      </c>
      <c r="T20" s="66" t="n">
        <v>0</v>
      </c>
      <c r="U20" s="66" t="n">
        <v>0</v>
      </c>
      <c r="V20" s="67" t="n">
        <v>0</v>
      </c>
      <c r="W20" s="68" t="n">
        <v>0</v>
      </c>
      <c r="X20" s="68" t="n">
        <v>0</v>
      </c>
      <c r="Y20" s="69" t="n">
        <v>0</v>
      </c>
      <c r="Z20" s="59" t="n">
        <v>0</v>
      </c>
      <c r="AA20" s="63" t="n">
        <v>0</v>
      </c>
      <c r="AB20" s="61">
        <f>SUM(P20:AA20)</f>
        <v/>
      </c>
      <c r="AC20" s="64" t="n">
        <v>0</v>
      </c>
      <c r="AD20" s="64" t="n">
        <v>0</v>
      </c>
      <c r="AE20" s="64" t="n">
        <v>0</v>
      </c>
      <c r="AF20" s="65" t="n">
        <v>0</v>
      </c>
      <c r="AG20" s="66" t="n">
        <v>0</v>
      </c>
      <c r="AH20" s="66" t="n">
        <v>0</v>
      </c>
      <c r="AI20" s="67" t="n">
        <v>0</v>
      </c>
      <c r="AJ20" s="68" t="n">
        <v>0</v>
      </c>
      <c r="AK20" s="68" t="n">
        <v>0</v>
      </c>
      <c r="AL20" s="69" t="n">
        <v>0</v>
      </c>
      <c r="AM20" s="59" t="n">
        <v>0</v>
      </c>
      <c r="AN20" s="63" t="n">
        <v>0</v>
      </c>
      <c r="AO20" s="61">
        <f>SUM(AC20:AN20)</f>
        <v/>
      </c>
    </row>
    <row r="21" ht="14.25" customHeight="1" s="137">
      <c r="B21" s="57" t="inlineStr">
        <is>
          <t> </t>
        </is>
      </c>
      <c r="C21" s="64" t="n">
        <v>0</v>
      </c>
      <c r="D21" s="64" t="n">
        <v>0</v>
      </c>
      <c r="E21" s="64" t="n">
        <v>0</v>
      </c>
      <c r="F21" s="65" t="n">
        <v>0</v>
      </c>
      <c r="G21" s="66" t="n">
        <v>0</v>
      </c>
      <c r="H21" s="66" t="n">
        <v>0</v>
      </c>
      <c r="I21" s="67" t="n">
        <v>0</v>
      </c>
      <c r="J21" s="68" t="n">
        <v>0</v>
      </c>
      <c r="K21" s="68" t="n">
        <v>0</v>
      </c>
      <c r="L21" s="69" t="n">
        <v>0</v>
      </c>
      <c r="M21" s="59" t="n">
        <v>0</v>
      </c>
      <c r="N21" s="63" t="n">
        <v>0</v>
      </c>
      <c r="O21" s="61">
        <f>SUM(C21:N21)</f>
        <v/>
      </c>
      <c r="P21" s="64" t="n">
        <v>0</v>
      </c>
      <c r="Q21" s="64" t="n">
        <v>0</v>
      </c>
      <c r="R21" s="64" t="n">
        <v>0</v>
      </c>
      <c r="S21" s="65" t="n">
        <v>0</v>
      </c>
      <c r="T21" s="66" t="n">
        <v>0</v>
      </c>
      <c r="U21" s="66" t="n">
        <v>0</v>
      </c>
      <c r="V21" s="67" t="n">
        <v>0</v>
      </c>
      <c r="W21" s="68" t="n">
        <v>0</v>
      </c>
      <c r="X21" s="68" t="n">
        <v>0</v>
      </c>
      <c r="Y21" s="69" t="n">
        <v>0</v>
      </c>
      <c r="Z21" s="59" t="n">
        <v>0</v>
      </c>
      <c r="AA21" s="63" t="n">
        <v>0</v>
      </c>
      <c r="AB21" s="61">
        <f>SUM(P21:AA21)</f>
        <v/>
      </c>
      <c r="AC21" s="64" t="n">
        <v>0</v>
      </c>
      <c r="AD21" s="64" t="n">
        <v>0</v>
      </c>
      <c r="AE21" s="64" t="n">
        <v>0</v>
      </c>
      <c r="AF21" s="65" t="n">
        <v>0</v>
      </c>
      <c r="AG21" s="66" t="n">
        <v>0</v>
      </c>
      <c r="AH21" s="66" t="n">
        <v>0</v>
      </c>
      <c r="AI21" s="67" t="n">
        <v>0</v>
      </c>
      <c r="AJ21" s="68" t="n">
        <v>0</v>
      </c>
      <c r="AK21" s="68" t="n">
        <v>0</v>
      </c>
      <c r="AL21" s="69" t="n">
        <v>0</v>
      </c>
      <c r="AM21" s="59" t="n">
        <v>0</v>
      </c>
      <c r="AN21" s="63" t="n">
        <v>0</v>
      </c>
      <c r="AO21" s="61">
        <f>SUM(AC21:AN21)</f>
        <v/>
      </c>
    </row>
    <row r="22" ht="14.25" customHeight="1" s="137">
      <c r="B22" s="57" t="inlineStr">
        <is>
          <t> </t>
        </is>
      </c>
      <c r="C22" s="64" t="n">
        <v>0</v>
      </c>
      <c r="D22" s="64" t="n">
        <v>0</v>
      </c>
      <c r="E22" s="64" t="n">
        <v>0</v>
      </c>
      <c r="F22" s="65" t="n">
        <v>0</v>
      </c>
      <c r="G22" s="66" t="n">
        <v>0</v>
      </c>
      <c r="H22" s="66" t="n">
        <v>0</v>
      </c>
      <c r="I22" s="67" t="n">
        <v>0</v>
      </c>
      <c r="J22" s="68" t="n">
        <v>0</v>
      </c>
      <c r="K22" s="68" t="n">
        <v>0</v>
      </c>
      <c r="L22" s="69" t="n">
        <v>0</v>
      </c>
      <c r="M22" s="59" t="n">
        <v>0</v>
      </c>
      <c r="N22" s="63" t="n">
        <v>0</v>
      </c>
      <c r="O22" s="61">
        <f>SUM(C22:N22)</f>
        <v/>
      </c>
      <c r="P22" s="64" t="n">
        <v>0</v>
      </c>
      <c r="Q22" s="64" t="n">
        <v>0</v>
      </c>
      <c r="R22" s="64" t="n">
        <v>0</v>
      </c>
      <c r="S22" s="65" t="n">
        <v>0</v>
      </c>
      <c r="T22" s="66" t="n">
        <v>0</v>
      </c>
      <c r="U22" s="66" t="n">
        <v>0</v>
      </c>
      <c r="V22" s="67" t="n">
        <v>0</v>
      </c>
      <c r="W22" s="68" t="n">
        <v>0</v>
      </c>
      <c r="X22" s="68" t="n">
        <v>0</v>
      </c>
      <c r="Y22" s="69" t="n">
        <v>0</v>
      </c>
      <c r="Z22" s="59" t="n">
        <v>0</v>
      </c>
      <c r="AA22" s="63" t="n">
        <v>0</v>
      </c>
      <c r="AB22" s="61">
        <f>SUM(P22:AA22)</f>
        <v/>
      </c>
      <c r="AC22" s="64" t="n">
        <v>0</v>
      </c>
      <c r="AD22" s="64" t="n">
        <v>0</v>
      </c>
      <c r="AE22" s="64" t="n">
        <v>0</v>
      </c>
      <c r="AF22" s="65" t="n">
        <v>0</v>
      </c>
      <c r="AG22" s="66" t="n">
        <v>0</v>
      </c>
      <c r="AH22" s="66" t="n">
        <v>0</v>
      </c>
      <c r="AI22" s="67" t="n">
        <v>0</v>
      </c>
      <c r="AJ22" s="68" t="n">
        <v>0</v>
      </c>
      <c r="AK22" s="68" t="n">
        <v>0</v>
      </c>
      <c r="AL22" s="69" t="n">
        <v>0</v>
      </c>
      <c r="AM22" s="59" t="n">
        <v>0</v>
      </c>
      <c r="AN22" s="63" t="n">
        <v>0</v>
      </c>
      <c r="AO22" s="61">
        <f>SUM(AC22:AN22)</f>
        <v/>
      </c>
    </row>
    <row r="23" ht="14.25" customHeight="1" s="137">
      <c r="B23" s="57" t="inlineStr">
        <is>
          <t> </t>
        </is>
      </c>
      <c r="C23" s="64" t="n">
        <v>0</v>
      </c>
      <c r="D23" s="64" t="n">
        <v>0</v>
      </c>
      <c r="E23" s="64" t="n">
        <v>0</v>
      </c>
      <c r="F23" s="65" t="n">
        <v>0</v>
      </c>
      <c r="G23" s="66" t="n">
        <v>0</v>
      </c>
      <c r="H23" s="66" t="n">
        <v>0</v>
      </c>
      <c r="I23" s="67" t="n">
        <v>0</v>
      </c>
      <c r="J23" s="68" t="n">
        <v>0</v>
      </c>
      <c r="K23" s="68" t="n">
        <v>0</v>
      </c>
      <c r="L23" s="69" t="n">
        <v>0</v>
      </c>
      <c r="M23" s="59" t="n">
        <v>0</v>
      </c>
      <c r="N23" s="63" t="n">
        <v>0</v>
      </c>
      <c r="O23" s="61">
        <f>SUM(C23:N23)</f>
        <v/>
      </c>
      <c r="P23" s="64" t="n">
        <v>0</v>
      </c>
      <c r="Q23" s="64" t="n">
        <v>0</v>
      </c>
      <c r="R23" s="64" t="n">
        <v>0</v>
      </c>
      <c r="S23" s="65" t="n">
        <v>0</v>
      </c>
      <c r="T23" s="66" t="n">
        <v>0</v>
      </c>
      <c r="U23" s="66" t="n">
        <v>0</v>
      </c>
      <c r="V23" s="67" t="n">
        <v>0</v>
      </c>
      <c r="W23" s="68" t="n">
        <v>0</v>
      </c>
      <c r="X23" s="68" t="n">
        <v>0</v>
      </c>
      <c r="Y23" s="69" t="n">
        <v>0</v>
      </c>
      <c r="Z23" s="59" t="n">
        <v>0</v>
      </c>
      <c r="AA23" s="63" t="n">
        <v>0</v>
      </c>
      <c r="AB23" s="61">
        <f>SUM(P23:AA23)</f>
        <v/>
      </c>
      <c r="AC23" s="64" t="n">
        <v>0</v>
      </c>
      <c r="AD23" s="64" t="n">
        <v>0</v>
      </c>
      <c r="AE23" s="64" t="n">
        <v>0</v>
      </c>
      <c r="AF23" s="65" t="n">
        <v>0</v>
      </c>
      <c r="AG23" s="66" t="n">
        <v>0</v>
      </c>
      <c r="AH23" s="66" t="n">
        <v>0</v>
      </c>
      <c r="AI23" s="67" t="n">
        <v>0</v>
      </c>
      <c r="AJ23" s="68" t="n">
        <v>0</v>
      </c>
      <c r="AK23" s="68" t="n">
        <v>0</v>
      </c>
      <c r="AL23" s="69" t="n">
        <v>0</v>
      </c>
      <c r="AM23" s="59" t="n">
        <v>0</v>
      </c>
      <c r="AN23" s="63" t="n">
        <v>0</v>
      </c>
      <c r="AO23" s="61">
        <f>SUM(AC23:AN23)</f>
        <v/>
      </c>
    </row>
    <row r="24" ht="14.25" customHeight="1" s="137">
      <c r="B24" s="57" t="inlineStr">
        <is>
          <t>  </t>
        </is>
      </c>
      <c r="C24" s="64" t="n">
        <v>0</v>
      </c>
      <c r="D24" s="64" t="n">
        <v>0</v>
      </c>
      <c r="E24" s="64" t="n">
        <v>0</v>
      </c>
      <c r="F24" s="65" t="n">
        <v>0</v>
      </c>
      <c r="G24" s="66" t="n">
        <v>0</v>
      </c>
      <c r="H24" s="66" t="n">
        <v>0</v>
      </c>
      <c r="I24" s="67" t="n">
        <v>0</v>
      </c>
      <c r="J24" s="68" t="n">
        <v>0</v>
      </c>
      <c r="K24" s="68" t="n">
        <v>0</v>
      </c>
      <c r="L24" s="69" t="n">
        <v>0</v>
      </c>
      <c r="M24" s="59" t="n">
        <v>0</v>
      </c>
      <c r="N24" s="63" t="n">
        <v>0</v>
      </c>
      <c r="O24" s="61">
        <f>SUM(C24:N24)</f>
        <v/>
      </c>
      <c r="P24" s="64" t="n">
        <v>0</v>
      </c>
      <c r="Q24" s="64" t="n">
        <v>0</v>
      </c>
      <c r="R24" s="64" t="n">
        <v>0</v>
      </c>
      <c r="S24" s="65" t="n">
        <v>0</v>
      </c>
      <c r="T24" s="66" t="n">
        <v>0</v>
      </c>
      <c r="U24" s="66" t="n">
        <v>0</v>
      </c>
      <c r="V24" s="67" t="n">
        <v>0</v>
      </c>
      <c r="W24" s="68" t="n">
        <v>0</v>
      </c>
      <c r="X24" s="68" t="n">
        <v>0</v>
      </c>
      <c r="Y24" s="69" t="n">
        <v>0</v>
      </c>
      <c r="Z24" s="59" t="n">
        <v>0</v>
      </c>
      <c r="AA24" s="63" t="n">
        <v>0</v>
      </c>
      <c r="AB24" s="61">
        <f>SUM(P24:AA24)</f>
        <v/>
      </c>
      <c r="AC24" s="64" t="n">
        <v>0</v>
      </c>
      <c r="AD24" s="64" t="n">
        <v>0</v>
      </c>
      <c r="AE24" s="64" t="n">
        <v>0</v>
      </c>
      <c r="AF24" s="65" t="n">
        <v>0</v>
      </c>
      <c r="AG24" s="66" t="n">
        <v>0</v>
      </c>
      <c r="AH24" s="66" t="n">
        <v>0</v>
      </c>
      <c r="AI24" s="67" t="n">
        <v>0</v>
      </c>
      <c r="AJ24" s="68" t="n">
        <v>0</v>
      </c>
      <c r="AK24" s="68" t="n">
        <v>0</v>
      </c>
      <c r="AL24" s="69" t="n">
        <v>0</v>
      </c>
      <c r="AM24" s="59" t="n">
        <v>0</v>
      </c>
      <c r="AN24" s="63" t="n">
        <v>0</v>
      </c>
      <c r="AO24" s="61">
        <f>SUM(AC24:AN24)</f>
        <v/>
      </c>
    </row>
    <row r="25" ht="14.25" customHeight="1" s="137">
      <c r="B25" s="57" t="inlineStr">
        <is>
          <t> </t>
        </is>
      </c>
      <c r="C25" s="64" t="n">
        <v>0</v>
      </c>
      <c r="D25" s="64" t="n">
        <v>0</v>
      </c>
      <c r="E25" s="64" t="n">
        <v>0</v>
      </c>
      <c r="F25" s="65" t="n">
        <v>0</v>
      </c>
      <c r="G25" s="66" t="n">
        <v>0</v>
      </c>
      <c r="H25" s="66" t="n">
        <v>0</v>
      </c>
      <c r="I25" s="67" t="n">
        <v>0</v>
      </c>
      <c r="J25" s="68" t="n">
        <v>0</v>
      </c>
      <c r="K25" s="68" t="n">
        <v>0</v>
      </c>
      <c r="L25" s="69" t="n">
        <v>0</v>
      </c>
      <c r="M25" s="59" t="n">
        <v>0</v>
      </c>
      <c r="N25" s="63" t="n">
        <v>0</v>
      </c>
      <c r="O25" s="61">
        <f>SUM(C25:N25)</f>
        <v/>
      </c>
      <c r="P25" s="64" t="n">
        <v>0</v>
      </c>
      <c r="Q25" s="64" t="n">
        <v>0</v>
      </c>
      <c r="R25" s="64" t="n">
        <v>0</v>
      </c>
      <c r="S25" s="65" t="n">
        <v>0</v>
      </c>
      <c r="T25" s="66" t="n">
        <v>0</v>
      </c>
      <c r="U25" s="66" t="n">
        <v>0</v>
      </c>
      <c r="V25" s="67" t="n">
        <v>0</v>
      </c>
      <c r="W25" s="68" t="n">
        <v>0</v>
      </c>
      <c r="X25" s="68" t="n">
        <v>0</v>
      </c>
      <c r="Y25" s="69" t="n">
        <v>0</v>
      </c>
      <c r="Z25" s="59" t="n">
        <v>0</v>
      </c>
      <c r="AA25" s="63" t="n">
        <v>0</v>
      </c>
      <c r="AB25" s="61">
        <f>SUM(P25:AA25)</f>
        <v/>
      </c>
      <c r="AC25" s="64" t="n">
        <v>0</v>
      </c>
      <c r="AD25" s="64" t="n">
        <v>0</v>
      </c>
      <c r="AE25" s="64" t="n">
        <v>0</v>
      </c>
      <c r="AF25" s="65" t="n">
        <v>0</v>
      </c>
      <c r="AG25" s="66" t="n">
        <v>0</v>
      </c>
      <c r="AH25" s="66" t="n">
        <v>0</v>
      </c>
      <c r="AI25" s="67" t="n">
        <v>0</v>
      </c>
      <c r="AJ25" s="68" t="n">
        <v>0</v>
      </c>
      <c r="AK25" s="68" t="n">
        <v>0</v>
      </c>
      <c r="AL25" s="69" t="n">
        <v>0</v>
      </c>
      <c r="AM25" s="59" t="n">
        <v>0</v>
      </c>
      <c r="AN25" s="63" t="n">
        <v>0</v>
      </c>
      <c r="AO25" s="61">
        <f>SUM(AC25:AN25)</f>
        <v/>
      </c>
    </row>
    <row r="26" ht="14.25" customHeight="1" s="137">
      <c r="B26" s="57" t="inlineStr">
        <is>
          <t> </t>
        </is>
      </c>
      <c r="C26" s="64" t="n">
        <v>0</v>
      </c>
      <c r="D26" s="64" t="n">
        <v>0</v>
      </c>
      <c r="E26" s="64" t="n">
        <v>0</v>
      </c>
      <c r="F26" s="65" t="n">
        <v>0</v>
      </c>
      <c r="G26" s="66" t="n">
        <v>0</v>
      </c>
      <c r="H26" s="66" t="n">
        <v>0</v>
      </c>
      <c r="I26" s="67" t="n">
        <v>0</v>
      </c>
      <c r="J26" s="68" t="n">
        <v>0</v>
      </c>
      <c r="K26" s="68" t="n">
        <v>0</v>
      </c>
      <c r="L26" s="69" t="n">
        <v>13</v>
      </c>
      <c r="M26" s="59" t="n">
        <v>0</v>
      </c>
      <c r="N26" s="63" t="n">
        <v>0</v>
      </c>
      <c r="O26" s="61">
        <f>SUM(C26:N26)</f>
        <v/>
      </c>
      <c r="P26" s="64" t="n">
        <v>0</v>
      </c>
      <c r="Q26" s="64" t="n">
        <v>0</v>
      </c>
      <c r="R26" s="64" t="n">
        <v>0</v>
      </c>
      <c r="S26" s="65" t="n">
        <v>0</v>
      </c>
      <c r="T26" s="66" t="n">
        <v>0</v>
      </c>
      <c r="U26" s="66" t="n">
        <v>0</v>
      </c>
      <c r="V26" s="67" t="n">
        <v>0</v>
      </c>
      <c r="W26" s="68" t="n">
        <v>0</v>
      </c>
      <c r="X26" s="68" t="n">
        <v>0</v>
      </c>
      <c r="Y26" s="69" t="n"/>
      <c r="Z26" s="59" t="n">
        <v>0</v>
      </c>
      <c r="AA26" s="63" t="n">
        <v>0</v>
      </c>
      <c r="AB26" s="61">
        <f>SUM(P26:AA26)</f>
        <v/>
      </c>
      <c r="AC26" s="64" t="n">
        <v>0</v>
      </c>
      <c r="AD26" s="64" t="n">
        <v>0</v>
      </c>
      <c r="AE26" s="64" t="n">
        <v>0</v>
      </c>
      <c r="AF26" s="65" t="n">
        <v>0</v>
      </c>
      <c r="AG26" s="66" t="n">
        <v>0</v>
      </c>
      <c r="AH26" s="66" t="n">
        <v>0</v>
      </c>
      <c r="AI26" s="67" t="n">
        <v>0</v>
      </c>
      <c r="AJ26" s="68" t="n">
        <v>0</v>
      </c>
      <c r="AK26" s="68" t="n">
        <v>0</v>
      </c>
      <c r="AL26" s="69" t="n"/>
      <c r="AM26" s="59" t="n">
        <v>0</v>
      </c>
      <c r="AN26" s="63" t="n">
        <v>0</v>
      </c>
      <c r="AO26" s="61">
        <f>SUM(AC26:AN26)</f>
        <v/>
      </c>
    </row>
    <row r="27" ht="14.25" customHeight="1" s="137">
      <c r="B27" s="57" t="inlineStr">
        <is>
          <t>  </t>
        </is>
      </c>
      <c r="C27" s="64" t="n">
        <v>0</v>
      </c>
      <c r="D27" s="64" t="n">
        <v>0</v>
      </c>
      <c r="E27" s="64" t="n">
        <v>0</v>
      </c>
      <c r="F27" s="65" t="n">
        <v>0</v>
      </c>
      <c r="G27" s="66" t="n">
        <v>0</v>
      </c>
      <c r="H27" s="66" t="n">
        <v>0</v>
      </c>
      <c r="I27" s="67" t="n">
        <v>0</v>
      </c>
      <c r="J27" s="68" t="n">
        <v>0</v>
      </c>
      <c r="K27" s="68" t="n">
        <v>0</v>
      </c>
      <c r="L27" s="69" t="n">
        <v>0</v>
      </c>
      <c r="M27" s="59" t="n">
        <v>0</v>
      </c>
      <c r="N27" s="63" t="n">
        <v>0</v>
      </c>
      <c r="O27" s="61">
        <f>SUM(C27:N27)</f>
        <v/>
      </c>
      <c r="P27" s="64" t="n">
        <v>0</v>
      </c>
      <c r="Q27" s="64" t="n">
        <v>0</v>
      </c>
      <c r="R27" s="64" t="n">
        <v>0</v>
      </c>
      <c r="S27" s="65" t="n">
        <v>0</v>
      </c>
      <c r="T27" s="66" t="n">
        <v>0</v>
      </c>
      <c r="U27" s="66" t="n">
        <v>0</v>
      </c>
      <c r="V27" s="67" t="n">
        <v>0</v>
      </c>
      <c r="W27" s="68" t="n">
        <v>0</v>
      </c>
      <c r="X27" s="68" t="n">
        <v>0</v>
      </c>
      <c r="Y27" s="69" t="n">
        <v>0</v>
      </c>
      <c r="Z27" s="59" t="n">
        <v>0</v>
      </c>
      <c r="AA27" s="63" t="n">
        <v>0</v>
      </c>
      <c r="AB27" s="61">
        <f>SUM(P27:AA27)</f>
        <v/>
      </c>
      <c r="AC27" s="64" t="n">
        <v>0</v>
      </c>
      <c r="AD27" s="64" t="n">
        <v>0</v>
      </c>
      <c r="AE27" s="64" t="n">
        <v>0</v>
      </c>
      <c r="AF27" s="65" t="n">
        <v>0</v>
      </c>
      <c r="AG27" s="66" t="n">
        <v>0</v>
      </c>
      <c r="AH27" s="66" t="n">
        <v>0</v>
      </c>
      <c r="AI27" s="67" t="n">
        <v>0</v>
      </c>
      <c r="AJ27" s="68" t="n">
        <v>0</v>
      </c>
      <c r="AK27" s="68" t="n">
        <v>0</v>
      </c>
      <c r="AL27" s="69" t="n">
        <v>0</v>
      </c>
      <c r="AM27" s="59" t="n">
        <v>0</v>
      </c>
      <c r="AN27" s="63" t="n">
        <v>0</v>
      </c>
      <c r="AO27" s="61">
        <f>SUM(AC27:AN27)</f>
        <v/>
      </c>
    </row>
    <row r="28" ht="14.25" customHeight="1" s="137">
      <c r="B28" s="57" t="inlineStr">
        <is>
          <t> </t>
        </is>
      </c>
      <c r="C28" s="64" t="n">
        <v>0</v>
      </c>
      <c r="D28" s="64" t="n">
        <v>0</v>
      </c>
      <c r="E28" s="64" t="n">
        <v>0</v>
      </c>
      <c r="F28" s="65" t="n">
        <v>0</v>
      </c>
      <c r="G28" s="66" t="n">
        <v>0</v>
      </c>
      <c r="H28" s="66" t="n">
        <v>0</v>
      </c>
      <c r="I28" s="67" t="n">
        <v>0</v>
      </c>
      <c r="J28" s="68" t="n">
        <v>0</v>
      </c>
      <c r="K28" s="68" t="n">
        <v>0</v>
      </c>
      <c r="L28" s="69" t="n">
        <v>0</v>
      </c>
      <c r="M28" s="59" t="n">
        <v>0</v>
      </c>
      <c r="N28" s="63" t="n">
        <v>0</v>
      </c>
      <c r="O28" s="61">
        <f>SUM(C28:N28)</f>
        <v/>
      </c>
      <c r="P28" s="64" t="n">
        <v>0</v>
      </c>
      <c r="Q28" s="64" t="n">
        <v>0</v>
      </c>
      <c r="R28" s="64" t="n">
        <v>0</v>
      </c>
      <c r="S28" s="65" t="n">
        <v>0</v>
      </c>
      <c r="T28" s="66" t="n">
        <v>0</v>
      </c>
      <c r="U28" s="66" t="n">
        <v>0</v>
      </c>
      <c r="V28" s="67" t="n">
        <v>0</v>
      </c>
      <c r="W28" s="68" t="n">
        <v>0</v>
      </c>
      <c r="X28" s="68" t="n">
        <v>0</v>
      </c>
      <c r="Y28" s="69" t="n">
        <v>0</v>
      </c>
      <c r="Z28" s="59" t="n">
        <v>0</v>
      </c>
      <c r="AA28" s="63" t="n">
        <v>0</v>
      </c>
      <c r="AB28" s="61">
        <f>SUM(P28:AA28)</f>
        <v/>
      </c>
      <c r="AC28" s="64" t="n">
        <v>0</v>
      </c>
      <c r="AD28" s="64" t="n">
        <v>0</v>
      </c>
      <c r="AE28" s="64" t="n">
        <v>0</v>
      </c>
      <c r="AF28" s="65" t="n">
        <v>0</v>
      </c>
      <c r="AG28" s="66" t="n">
        <v>0</v>
      </c>
      <c r="AH28" s="66" t="n">
        <v>0</v>
      </c>
      <c r="AI28" s="67" t="n">
        <v>0</v>
      </c>
      <c r="AJ28" s="68" t="n">
        <v>0</v>
      </c>
      <c r="AK28" s="68" t="n">
        <v>0</v>
      </c>
      <c r="AL28" s="69" t="n">
        <v>0</v>
      </c>
      <c r="AM28" s="59" t="n">
        <v>0</v>
      </c>
      <c r="AN28" s="63" t="n">
        <v>0</v>
      </c>
      <c r="AO28" s="61">
        <f>SUM(AC28:AN28)</f>
        <v/>
      </c>
    </row>
    <row r="29" ht="14.25" customHeight="1" s="137">
      <c r="B29" s="57" t="inlineStr">
        <is>
          <t>EQUIPMENT/APPLIANCE PURCHASES</t>
        </is>
      </c>
      <c r="C29" s="64" t="n">
        <v>0</v>
      </c>
      <c r="D29" s="64" t="n">
        <v>0</v>
      </c>
      <c r="E29" s="64" t="n">
        <v>0</v>
      </c>
      <c r="F29" s="65" t="n">
        <v>0</v>
      </c>
      <c r="G29" s="66" t="n">
        <v>0</v>
      </c>
      <c r="H29" s="66" t="n">
        <v>0</v>
      </c>
      <c r="I29" s="67" t="n">
        <v>0</v>
      </c>
      <c r="J29" s="68" t="n">
        <v>0</v>
      </c>
      <c r="K29" s="68" t="n">
        <v>0</v>
      </c>
      <c r="L29" s="69" t="n">
        <v>0</v>
      </c>
      <c r="M29" s="59" t="n">
        <v>0</v>
      </c>
      <c r="N29" s="63" t="n">
        <v>0</v>
      </c>
      <c r="O29" s="61">
        <f>SUM(C29:N29)</f>
        <v/>
      </c>
      <c r="P29" s="64" t="n">
        <v>1434.37</v>
      </c>
      <c r="Q29" s="64" t="n">
        <v>0</v>
      </c>
      <c r="R29" s="64" t="n">
        <v>0</v>
      </c>
      <c r="S29" s="65" t="n">
        <v>0</v>
      </c>
      <c r="T29" s="66" t="n">
        <v>0</v>
      </c>
      <c r="U29" s="66" t="n">
        <v>0</v>
      </c>
      <c r="V29" s="67" t="n">
        <v>0</v>
      </c>
      <c r="W29" s="68" t="n">
        <v>0</v>
      </c>
      <c r="X29" s="68" t="n">
        <v>0</v>
      </c>
      <c r="Y29" s="69" t="n">
        <v>0</v>
      </c>
      <c r="Z29" s="59" t="n">
        <v>0</v>
      </c>
      <c r="AA29" s="63" t="n">
        <v>0</v>
      </c>
      <c r="AB29" s="61">
        <f>SUM(P29:AA29)</f>
        <v/>
      </c>
      <c r="AC29" s="64" t="n">
        <v>0</v>
      </c>
      <c r="AD29" s="64" t="n">
        <v>0</v>
      </c>
      <c r="AE29" s="64" t="n">
        <v>0</v>
      </c>
      <c r="AF29" s="65" t="n">
        <v>0</v>
      </c>
      <c r="AG29" s="66" t="n">
        <v>0</v>
      </c>
      <c r="AH29" s="66" t="n">
        <v>0</v>
      </c>
      <c r="AI29" s="67" t="n">
        <v>0</v>
      </c>
      <c r="AJ29" s="68" t="n">
        <v>0</v>
      </c>
      <c r="AK29" s="68" t="n">
        <v>0</v>
      </c>
      <c r="AL29" s="69" t="n">
        <v>0</v>
      </c>
      <c r="AM29" s="59" t="n">
        <v>0</v>
      </c>
      <c r="AN29" s="63" t="n">
        <v>0</v>
      </c>
      <c r="AO29" s="61">
        <f>SUM(AC29:AN29)</f>
        <v/>
      </c>
    </row>
    <row r="30" ht="14.25" customHeight="1" s="137">
      <c r="B30" s="57" t="inlineStr">
        <is>
          <t> </t>
        </is>
      </c>
      <c r="C30" s="64" t="n">
        <v>0</v>
      </c>
      <c r="D30" s="64" t="n">
        <v>0</v>
      </c>
      <c r="E30" s="64" t="n">
        <v>0</v>
      </c>
      <c r="F30" s="65" t="n">
        <v>0</v>
      </c>
      <c r="G30" s="66" t="n">
        <v>0</v>
      </c>
      <c r="H30" s="66" t="n">
        <v>0</v>
      </c>
      <c r="I30" s="67" t="n">
        <v>0</v>
      </c>
      <c r="J30" s="68" t="n">
        <v>0</v>
      </c>
      <c r="K30" s="68" t="n">
        <v>0</v>
      </c>
      <c r="L30" s="69" t="n">
        <v>0</v>
      </c>
      <c r="M30" s="59" t="n">
        <v>0</v>
      </c>
      <c r="N30" s="63" t="n">
        <v>0</v>
      </c>
      <c r="O30" s="61">
        <f>SUM(C30:N30)</f>
        <v/>
      </c>
      <c r="P30" s="64" t="n">
        <v>0</v>
      </c>
      <c r="Q30" s="64" t="n">
        <v>0</v>
      </c>
      <c r="R30" s="64" t="n">
        <v>0</v>
      </c>
      <c r="S30" s="65" t="n">
        <v>0</v>
      </c>
      <c r="T30" s="66" t="n">
        <v>0</v>
      </c>
      <c r="U30" s="66" t="n">
        <v>0</v>
      </c>
      <c r="V30" s="67" t="n">
        <v>0</v>
      </c>
      <c r="W30" s="68" t="n">
        <v>0</v>
      </c>
      <c r="X30" s="68" t="n">
        <v>0</v>
      </c>
      <c r="Y30" s="69" t="n">
        <v>0</v>
      </c>
      <c r="Z30" s="59" t="n">
        <v>0</v>
      </c>
      <c r="AA30" s="63" t="n">
        <v>0</v>
      </c>
      <c r="AB30" s="61">
        <f>SUM(P30:AA30)</f>
        <v/>
      </c>
      <c r="AC30" s="64" t="n">
        <v>0</v>
      </c>
      <c r="AD30" s="64" t="n">
        <v>0</v>
      </c>
      <c r="AE30" s="64" t="n">
        <v>0</v>
      </c>
      <c r="AF30" s="65" t="n">
        <v>0</v>
      </c>
      <c r="AG30" s="66" t="n">
        <v>0</v>
      </c>
      <c r="AH30" s="66" t="n">
        <v>0</v>
      </c>
      <c r="AI30" s="67" t="n">
        <v>0</v>
      </c>
      <c r="AJ30" s="68" t="n">
        <v>0</v>
      </c>
      <c r="AK30" s="68" t="n">
        <v>0</v>
      </c>
      <c r="AL30" s="69" t="n">
        <v>0</v>
      </c>
      <c r="AM30" s="59" t="n">
        <v>0</v>
      </c>
      <c r="AN30" s="63" t="n">
        <v>0</v>
      </c>
      <c r="AO30" s="61">
        <f>SUM(AC30:AN30)</f>
        <v/>
      </c>
    </row>
    <row r="31" ht="14.25" customHeight="1" s="137">
      <c r="B31" s="57" t="inlineStr">
        <is>
          <t> </t>
        </is>
      </c>
      <c r="C31" s="64" t="n">
        <v>0</v>
      </c>
      <c r="D31" s="64" t="n">
        <v>0</v>
      </c>
      <c r="E31" s="64" t="n">
        <v>0</v>
      </c>
      <c r="F31" s="65" t="n">
        <v>0</v>
      </c>
      <c r="G31" s="66" t="n">
        <v>0</v>
      </c>
      <c r="H31" s="66" t="n">
        <v>0</v>
      </c>
      <c r="I31" s="67" t="n">
        <v>0</v>
      </c>
      <c r="J31" s="68" t="n">
        <v>0</v>
      </c>
      <c r="K31" s="68" t="n">
        <v>0</v>
      </c>
      <c r="L31" s="69" t="n">
        <v>0</v>
      </c>
      <c r="M31" s="59" t="n">
        <v>0</v>
      </c>
      <c r="N31" s="63" t="n">
        <v>0</v>
      </c>
      <c r="O31" s="61">
        <f>SUM(C31:N31)</f>
        <v/>
      </c>
      <c r="P31" s="64" t="n">
        <v>0</v>
      </c>
      <c r="Q31" s="64" t="n">
        <v>0</v>
      </c>
      <c r="R31" s="64" t="n">
        <v>0</v>
      </c>
      <c r="S31" s="65" t="n">
        <v>0</v>
      </c>
      <c r="T31" s="66" t="n">
        <v>0</v>
      </c>
      <c r="U31" s="66" t="n">
        <v>0</v>
      </c>
      <c r="V31" s="67" t="n">
        <v>0</v>
      </c>
      <c r="W31" s="68" t="n">
        <v>0</v>
      </c>
      <c r="X31" s="68" t="n">
        <v>0</v>
      </c>
      <c r="Y31" s="69" t="n">
        <v>0</v>
      </c>
      <c r="Z31" s="59" t="n">
        <v>0</v>
      </c>
      <c r="AA31" s="63" t="n">
        <v>0</v>
      </c>
      <c r="AB31" s="61">
        <f>SUM(P31:AA31)</f>
        <v/>
      </c>
      <c r="AC31" s="64" t="n">
        <v>0</v>
      </c>
      <c r="AD31" s="64" t="n">
        <v>0</v>
      </c>
      <c r="AE31" s="64" t="n">
        <v>0</v>
      </c>
      <c r="AF31" s="65" t="n">
        <v>0</v>
      </c>
      <c r="AG31" s="66" t="n">
        <v>0</v>
      </c>
      <c r="AH31" s="66" t="n">
        <v>0</v>
      </c>
      <c r="AI31" s="67" t="n">
        <v>0</v>
      </c>
      <c r="AJ31" s="68" t="n">
        <v>0</v>
      </c>
      <c r="AK31" s="68" t="n">
        <v>0</v>
      </c>
      <c r="AL31" s="69" t="n">
        <v>0</v>
      </c>
      <c r="AM31" s="59" t="n">
        <v>0</v>
      </c>
      <c r="AN31" s="63" t="n">
        <v>0</v>
      </c>
      <c r="AO31" s="61">
        <f>SUM(AC31:AN31)</f>
        <v/>
      </c>
    </row>
    <row r="32" ht="14.25" customHeight="1" s="137">
      <c r="B32" s="57" t="inlineStr">
        <is>
          <t> </t>
        </is>
      </c>
      <c r="C32" s="64" t="n">
        <v>0</v>
      </c>
      <c r="D32" s="64" t="n">
        <v>0</v>
      </c>
      <c r="E32" s="64" t="n">
        <v>0</v>
      </c>
      <c r="F32" s="65" t="n">
        <v>0</v>
      </c>
      <c r="G32" s="66" t="n">
        <v>0</v>
      </c>
      <c r="H32" s="66" t="n">
        <v>0</v>
      </c>
      <c r="I32" s="67" t="n">
        <v>0</v>
      </c>
      <c r="J32" s="68" t="n">
        <v>0</v>
      </c>
      <c r="K32" s="68" t="n">
        <v>0</v>
      </c>
      <c r="L32" s="69" t="n">
        <v>0</v>
      </c>
      <c r="M32" s="59" t="n">
        <v>0</v>
      </c>
      <c r="N32" s="63" t="n">
        <v>0</v>
      </c>
      <c r="O32" s="61">
        <f>SUM(C32:N32)</f>
        <v/>
      </c>
      <c r="P32" s="64" t="n">
        <v>0</v>
      </c>
      <c r="Q32" s="64" t="n">
        <v>0</v>
      </c>
      <c r="R32" s="64" t="n">
        <v>0</v>
      </c>
      <c r="S32" s="65" t="n">
        <v>0</v>
      </c>
      <c r="T32" s="66" t="n">
        <v>0</v>
      </c>
      <c r="U32" s="66" t="n">
        <v>0</v>
      </c>
      <c r="V32" s="67" t="n">
        <v>0</v>
      </c>
      <c r="W32" s="68" t="n">
        <v>0</v>
      </c>
      <c r="X32" s="68" t="n">
        <v>0</v>
      </c>
      <c r="Y32" s="69" t="n">
        <v>0</v>
      </c>
      <c r="Z32" s="59" t="n">
        <v>0</v>
      </c>
      <c r="AA32" s="63" t="n">
        <v>0</v>
      </c>
      <c r="AB32" s="61">
        <f>SUM(P32:AA32)</f>
        <v/>
      </c>
      <c r="AC32" s="64" t="n">
        <v>0</v>
      </c>
      <c r="AD32" s="64" t="n">
        <v>0</v>
      </c>
      <c r="AE32" s="64" t="n">
        <v>0</v>
      </c>
      <c r="AF32" s="65" t="n">
        <v>0</v>
      </c>
      <c r="AG32" s="66" t="n">
        <v>0</v>
      </c>
      <c r="AH32" s="66" t="n">
        <v>0</v>
      </c>
      <c r="AI32" s="67" t="n">
        <v>0</v>
      </c>
      <c r="AJ32" s="68" t="n">
        <v>0</v>
      </c>
      <c r="AK32" s="68" t="n">
        <v>0</v>
      </c>
      <c r="AL32" s="69" t="n">
        <v>0</v>
      </c>
      <c r="AM32" s="59" t="n">
        <v>0</v>
      </c>
      <c r="AN32" s="63" t="n">
        <v>0</v>
      </c>
      <c r="AO32" s="61">
        <f>SUM(AC32:AN32)</f>
        <v/>
      </c>
    </row>
    <row r="33" ht="14.25" customHeight="1" s="137">
      <c r="B33" s="57" t="inlineStr">
        <is>
          <t> </t>
        </is>
      </c>
      <c r="C33" s="64" t="n">
        <v>0</v>
      </c>
      <c r="D33" s="64" t="n">
        <v>0</v>
      </c>
      <c r="E33" s="64" t="n">
        <v>0</v>
      </c>
      <c r="F33" s="65" t="n">
        <v>0</v>
      </c>
      <c r="G33" s="66" t="n">
        <v>0</v>
      </c>
      <c r="H33" s="66" t="n">
        <v>0</v>
      </c>
      <c r="I33" s="67" t="n">
        <v>0</v>
      </c>
      <c r="J33" s="68" t="n">
        <v>0</v>
      </c>
      <c r="K33" s="68" t="n">
        <v>0</v>
      </c>
      <c r="L33" s="69" t="n">
        <v>0</v>
      </c>
      <c r="M33" s="59" t="n">
        <v>0</v>
      </c>
      <c r="N33" s="63" t="n">
        <v>0</v>
      </c>
      <c r="O33" s="61">
        <f>SUM(C33:N33)</f>
        <v/>
      </c>
      <c r="P33" s="64" t="n">
        <v>0</v>
      </c>
      <c r="Q33" s="64" t="n">
        <v>0</v>
      </c>
      <c r="R33" s="64" t="n">
        <v>0</v>
      </c>
      <c r="S33" s="65" t="n">
        <v>0</v>
      </c>
      <c r="T33" s="66" t="n">
        <v>0</v>
      </c>
      <c r="U33" s="66" t="n">
        <v>0</v>
      </c>
      <c r="V33" s="67" t="n">
        <v>0</v>
      </c>
      <c r="W33" s="68" t="n">
        <v>0</v>
      </c>
      <c r="X33" s="68" t="n">
        <v>0</v>
      </c>
      <c r="Y33" s="69" t="n">
        <v>0</v>
      </c>
      <c r="Z33" s="59" t="n">
        <v>0</v>
      </c>
      <c r="AA33" s="63" t="n">
        <v>0</v>
      </c>
      <c r="AB33" s="61">
        <f>SUM(P33:AA33)</f>
        <v/>
      </c>
      <c r="AC33" s="64" t="n">
        <v>0</v>
      </c>
      <c r="AD33" s="64" t="n">
        <v>0</v>
      </c>
      <c r="AE33" s="64" t="n">
        <v>0</v>
      </c>
      <c r="AF33" s="65" t="n">
        <v>0</v>
      </c>
      <c r="AG33" s="66" t="n">
        <v>0</v>
      </c>
      <c r="AH33" s="66" t="n">
        <v>0</v>
      </c>
      <c r="AI33" s="67" t="n">
        <v>0</v>
      </c>
      <c r="AJ33" s="68" t="n">
        <v>0</v>
      </c>
      <c r="AK33" s="68" t="n">
        <v>0</v>
      </c>
      <c r="AL33" s="69" t="n">
        <v>0</v>
      </c>
      <c r="AM33" s="59" t="n">
        <v>0</v>
      </c>
      <c r="AN33" s="63" t="n">
        <v>0</v>
      </c>
      <c r="AO33" s="61">
        <f>SUM(AC33:AN33)</f>
        <v/>
      </c>
    </row>
    <row r="34" ht="14.25" customHeight="1" s="137">
      <c r="B34" s="57" t="inlineStr">
        <is>
          <t> </t>
        </is>
      </c>
      <c r="C34" s="64" t="n">
        <v>0</v>
      </c>
      <c r="D34" s="64" t="n">
        <v>0</v>
      </c>
      <c r="E34" s="64" t="n">
        <v>0</v>
      </c>
      <c r="F34" s="65" t="n">
        <v>0</v>
      </c>
      <c r="G34" s="66" t="n">
        <v>0</v>
      </c>
      <c r="H34" s="66" t="n">
        <v>0</v>
      </c>
      <c r="I34" s="67" t="n">
        <v>0</v>
      </c>
      <c r="J34" s="68" t="n">
        <v>0</v>
      </c>
      <c r="K34" s="68" t="n">
        <v>0</v>
      </c>
      <c r="L34" s="69" t="n">
        <v>0</v>
      </c>
      <c r="M34" s="59" t="n">
        <v>0</v>
      </c>
      <c r="N34" s="63" t="n">
        <v>0</v>
      </c>
      <c r="O34" s="61">
        <f>SUM(C34:N34)</f>
        <v/>
      </c>
      <c r="P34" s="64" t="n">
        <v>0</v>
      </c>
      <c r="Q34" s="64" t="n">
        <v>0</v>
      </c>
      <c r="R34" s="64" t="n">
        <v>0</v>
      </c>
      <c r="S34" s="65" t="n">
        <v>0</v>
      </c>
      <c r="T34" s="66" t="n">
        <v>0</v>
      </c>
      <c r="U34" s="66" t="n">
        <v>0</v>
      </c>
      <c r="V34" s="67" t="n">
        <v>0</v>
      </c>
      <c r="W34" s="68" t="n">
        <v>0</v>
      </c>
      <c r="X34" s="68" t="n">
        <v>0</v>
      </c>
      <c r="Y34" s="69" t="n">
        <v>0</v>
      </c>
      <c r="Z34" s="59" t="n">
        <v>0</v>
      </c>
      <c r="AA34" s="63" t="n">
        <v>0</v>
      </c>
      <c r="AB34" s="61">
        <f>SUM(P34:AA34)</f>
        <v/>
      </c>
      <c r="AC34" s="64" t="n">
        <v>0</v>
      </c>
      <c r="AD34" s="64" t="n">
        <v>0</v>
      </c>
      <c r="AE34" s="64" t="n">
        <v>0</v>
      </c>
      <c r="AF34" s="65" t="n">
        <v>0</v>
      </c>
      <c r="AG34" s="66" t="n">
        <v>0</v>
      </c>
      <c r="AH34" s="66" t="n">
        <v>0</v>
      </c>
      <c r="AI34" s="67" t="n">
        <v>0</v>
      </c>
      <c r="AJ34" s="68" t="n">
        <v>0</v>
      </c>
      <c r="AK34" s="68" t="n">
        <v>0</v>
      </c>
      <c r="AL34" s="69" t="n">
        <v>0</v>
      </c>
      <c r="AM34" s="59" t="n">
        <v>0</v>
      </c>
      <c r="AN34" s="63" t="n">
        <v>0</v>
      </c>
      <c r="AO34" s="61">
        <f>SUM(AC34:AN34)</f>
        <v/>
      </c>
    </row>
    <row r="35" ht="14.25" customHeight="1" s="137">
      <c r="B35" s="57" t="inlineStr">
        <is>
          <t>MORTGAGE</t>
        </is>
      </c>
      <c r="C35" s="64" t="n">
        <v>1066.27</v>
      </c>
      <c r="D35" s="64" t="n">
        <v>1066.27</v>
      </c>
      <c r="E35" s="64" t="n">
        <v>1066.27</v>
      </c>
      <c r="F35" s="66" t="n">
        <v>1066.27</v>
      </c>
      <c r="G35" s="66" t="n">
        <v>1066.27</v>
      </c>
      <c r="H35" s="66" t="n">
        <v>1066.27</v>
      </c>
      <c r="I35" s="68" t="n">
        <v>1066.27</v>
      </c>
      <c r="J35" s="68" t="n">
        <v>1066.27</v>
      </c>
      <c r="K35" s="68" t="n">
        <v>1066.27</v>
      </c>
      <c r="L35" s="59" t="n">
        <v>1066.27</v>
      </c>
      <c r="M35" s="59" t="n">
        <v>1215.82</v>
      </c>
      <c r="N35" s="59" t="n">
        <v>1215.82</v>
      </c>
      <c r="O35" s="61">
        <f>SUM(C35:N35)</f>
        <v/>
      </c>
      <c r="P35" s="64" t="n">
        <v>1318.02</v>
      </c>
      <c r="Q35" s="64" t="n">
        <v>1318.02</v>
      </c>
      <c r="R35" s="64" t="n">
        <v>1318.02</v>
      </c>
      <c r="S35" s="66" t="n">
        <v>1318.02</v>
      </c>
      <c r="T35" s="66" t="n">
        <v>1318.02</v>
      </c>
      <c r="U35" s="66" t="n">
        <v>1318.02</v>
      </c>
      <c r="V35" s="68" t="n">
        <v>1318.02</v>
      </c>
      <c r="W35" s="68" t="n">
        <v>1318.02</v>
      </c>
      <c r="X35" s="68" t="n">
        <v>1318.02</v>
      </c>
      <c r="Y35" s="59" t="n">
        <v>1318.02</v>
      </c>
      <c r="Z35" s="59" t="n">
        <v>1318.02</v>
      </c>
      <c r="AA35" s="59" t="n">
        <v>1318.02</v>
      </c>
      <c r="AB35" s="61">
        <f>SUM(P35:AA35)</f>
        <v/>
      </c>
      <c r="AC35" s="147" t="n">
        <v>0</v>
      </c>
      <c r="AD35" s="147" t="n">
        <v>0</v>
      </c>
      <c r="AE35" s="147" t="n">
        <v>0</v>
      </c>
      <c r="AF35" s="147" t="n">
        <v>0</v>
      </c>
      <c r="AG35" s="147" t="n">
        <v>0</v>
      </c>
      <c r="AH35" s="147" t="n">
        <v>0</v>
      </c>
      <c r="AI35" s="142" t="n">
        <v>1226.25</v>
      </c>
      <c r="AJ35" s="142" t="n">
        <v>1226.25</v>
      </c>
      <c r="AK35" s="142" t="n">
        <v>1226.25</v>
      </c>
      <c r="AL35" s="142" t="n">
        <v>1226.25</v>
      </c>
      <c r="AM35" s="142" t="n">
        <v>1177.52</v>
      </c>
      <c r="AN35" s="142" t="n">
        <v>1177.52</v>
      </c>
      <c r="AO35" s="61">
        <f>SUM(AC35:AN35)</f>
        <v/>
      </c>
    </row>
    <row r="36" ht="14.25" customHeight="1" s="137">
      <c r="B36" s="57" t="inlineStr">
        <is>
          <t>HOA</t>
        </is>
      </c>
      <c r="C36" s="64" t="n">
        <v>397.48</v>
      </c>
      <c r="D36" s="64" t="n">
        <v>397.48</v>
      </c>
      <c r="E36" s="64" t="n">
        <v>397.48</v>
      </c>
      <c r="F36" s="66" t="n">
        <v>397.48</v>
      </c>
      <c r="G36" s="66" t="n">
        <v>397.48</v>
      </c>
      <c r="H36" s="66" t="n">
        <v>397.48</v>
      </c>
      <c r="I36" s="68" t="n">
        <v>397.48</v>
      </c>
      <c r="J36" s="68" t="n">
        <v>397.48</v>
      </c>
      <c r="K36" s="68" t="n">
        <v>397.48</v>
      </c>
      <c r="L36" s="59" t="n">
        <v>397.48</v>
      </c>
      <c r="M36" s="59" t="n">
        <v>397.48</v>
      </c>
      <c r="N36" s="59" t="n">
        <v>397.48</v>
      </c>
      <c r="O36" s="61">
        <f>SUM(C36:N36)</f>
        <v/>
      </c>
      <c r="P36" s="64" t="n">
        <v>401.46</v>
      </c>
      <c r="Q36" s="64" t="n">
        <v>401.46</v>
      </c>
      <c r="R36" s="64" t="n">
        <v>401.46</v>
      </c>
      <c r="S36" s="65" t="n">
        <v>401.46</v>
      </c>
      <c r="T36" s="65" t="n">
        <v>401.46</v>
      </c>
      <c r="U36" s="65" t="n">
        <v>401.46</v>
      </c>
      <c r="V36" s="67" t="n">
        <v>401.46</v>
      </c>
      <c r="W36" s="67" t="n">
        <v>401.46</v>
      </c>
      <c r="X36" s="67" t="n">
        <v>401.46</v>
      </c>
      <c r="Y36" s="69" t="n">
        <v>401.46</v>
      </c>
      <c r="Z36" s="69" t="n">
        <v>401.46</v>
      </c>
      <c r="AA36" s="69" t="n">
        <v>401.46</v>
      </c>
      <c r="AB36" s="61">
        <f>SUM(P36:AA36)</f>
        <v/>
      </c>
      <c r="AC36" s="147" t="n">
        <v>0</v>
      </c>
      <c r="AD36" s="147" t="n">
        <v>0</v>
      </c>
      <c r="AE36" s="147" t="n">
        <v>0</v>
      </c>
      <c r="AF36" s="148" t="n">
        <v>0</v>
      </c>
      <c r="AG36" s="148" t="n">
        <v>0</v>
      </c>
      <c r="AH36" s="143" t="n">
        <v>421.53</v>
      </c>
      <c r="AI36" s="143" t="n">
        <v>421.53</v>
      </c>
      <c r="AJ36" s="143" t="n">
        <v>421.53</v>
      </c>
      <c r="AK36" s="143" t="n">
        <v>421.53</v>
      </c>
      <c r="AL36" s="143" t="n">
        <v>421.53</v>
      </c>
      <c r="AM36" s="143" t="n">
        <v>421.53</v>
      </c>
      <c r="AN36" s="143" t="n">
        <v>421.53</v>
      </c>
      <c r="AO36" s="61">
        <f>SUM(AC36:AN36)</f>
        <v/>
      </c>
    </row>
    <row r="37" ht="14.25" customHeight="1" s="137">
      <c r="B37" s="57" t="inlineStr">
        <is>
          <t>ELECTRICAL WORK (GROUNDING, ESTIMATE, KITCHEN)</t>
        </is>
      </c>
      <c r="C37" s="64" t="n">
        <v>0</v>
      </c>
      <c r="D37" s="64" t="n">
        <v>0</v>
      </c>
      <c r="E37" s="64" t="n">
        <v>0</v>
      </c>
      <c r="F37" s="65" t="n">
        <v>0</v>
      </c>
      <c r="G37" s="66" t="n">
        <v>0</v>
      </c>
      <c r="H37" s="66" t="n">
        <v>0</v>
      </c>
      <c r="I37" s="67" t="n">
        <v>0</v>
      </c>
      <c r="J37" s="68" t="n">
        <v>0</v>
      </c>
      <c r="K37" s="68" t="n">
        <v>0</v>
      </c>
      <c r="L37" s="69" t="n">
        <v>350</v>
      </c>
      <c r="M37" s="59" t="n">
        <v>0</v>
      </c>
      <c r="N37" s="63" t="n">
        <v>0</v>
      </c>
      <c r="O37" s="61">
        <f>SUM(C37:N37)</f>
        <v/>
      </c>
      <c r="P37" s="64" t="n">
        <v>0</v>
      </c>
      <c r="Q37" s="64" t="n">
        <v>0</v>
      </c>
      <c r="R37" s="64" t="n">
        <v>0</v>
      </c>
      <c r="S37" s="65" t="n">
        <v>0</v>
      </c>
      <c r="T37" s="66" t="n">
        <v>0</v>
      </c>
      <c r="U37" s="66" t="n">
        <v>0</v>
      </c>
      <c r="V37" s="67" t="n">
        <v>0</v>
      </c>
      <c r="W37" s="68" t="n">
        <v>0</v>
      </c>
      <c r="X37" s="68" t="n">
        <v>0</v>
      </c>
      <c r="Y37" s="69" t="n"/>
      <c r="Z37" s="59" t="n">
        <v>0</v>
      </c>
      <c r="AA37" s="63" t="n">
        <v>0</v>
      </c>
      <c r="AB37" s="61">
        <f>SUM(P37:AA37)</f>
        <v/>
      </c>
      <c r="AC37" s="64" t="n">
        <v>0</v>
      </c>
      <c r="AD37" s="64" t="n">
        <v>0</v>
      </c>
      <c r="AE37" s="64" t="n">
        <v>0</v>
      </c>
      <c r="AF37" s="65" t="n">
        <v>0</v>
      </c>
      <c r="AG37" s="66" t="n">
        <v>0</v>
      </c>
      <c r="AH37" s="66" t="n">
        <v>0</v>
      </c>
      <c r="AI37" s="67" t="n">
        <v>0</v>
      </c>
      <c r="AJ37" s="68" t="n">
        <v>0</v>
      </c>
      <c r="AK37" s="68" t="n">
        <v>0</v>
      </c>
      <c r="AL37" s="69" t="n"/>
      <c r="AM37" s="59" t="n">
        <v>0</v>
      </c>
      <c r="AN37" s="63" t="n">
        <v>0</v>
      </c>
      <c r="AO37" s="61">
        <f>SUM(AC37:AN37)</f>
        <v/>
      </c>
    </row>
    <row r="38" ht="14.25" customHeight="1" s="137">
      <c r="B38" s="57" t="inlineStr">
        <is>
          <t>MOVE OUT FEE</t>
        </is>
      </c>
      <c r="C38" s="64" t="n">
        <v>0</v>
      </c>
      <c r="D38" s="64" t="n">
        <v>0</v>
      </c>
      <c r="E38" s="64" t="n">
        <v>0</v>
      </c>
      <c r="F38" s="65" t="n">
        <v>0</v>
      </c>
      <c r="G38" s="66" t="n">
        <v>0</v>
      </c>
      <c r="H38" s="66" t="n">
        <v>0</v>
      </c>
      <c r="I38" s="67" t="n">
        <v>0</v>
      </c>
      <c r="J38" s="68" t="n">
        <v>0</v>
      </c>
      <c r="K38" s="68" t="n">
        <v>0</v>
      </c>
      <c r="L38" s="69" t="n">
        <v>200</v>
      </c>
      <c r="M38" s="59" t="n">
        <v>0</v>
      </c>
      <c r="N38" s="63" t="n">
        <v>0</v>
      </c>
      <c r="O38" s="61">
        <f>SUM(C38:N38)</f>
        <v/>
      </c>
      <c r="P38" s="64" t="n">
        <v>0</v>
      </c>
      <c r="Q38" s="64" t="n">
        <v>0</v>
      </c>
      <c r="R38" s="64" t="n">
        <v>0</v>
      </c>
      <c r="S38" s="65" t="n">
        <v>0</v>
      </c>
      <c r="T38" s="66" t="n">
        <v>0</v>
      </c>
      <c r="U38" s="66" t="n">
        <v>0</v>
      </c>
      <c r="V38" s="67" t="n">
        <v>0</v>
      </c>
      <c r="W38" s="68" t="n">
        <v>0</v>
      </c>
      <c r="X38" s="68" t="n">
        <v>0</v>
      </c>
      <c r="Y38" s="69" t="n">
        <v>200</v>
      </c>
      <c r="Z38" s="59" t="n">
        <v>0</v>
      </c>
      <c r="AA38" s="63" t="n">
        <v>0</v>
      </c>
      <c r="AB38" s="61">
        <f>SUM(P38:AA38)</f>
        <v/>
      </c>
      <c r="AC38" s="64" t="n">
        <v>0</v>
      </c>
      <c r="AD38" s="64" t="n">
        <v>0</v>
      </c>
      <c r="AE38" s="64" t="n">
        <v>0</v>
      </c>
      <c r="AF38" s="65" t="n">
        <v>0</v>
      </c>
      <c r="AG38" s="66" t="n">
        <v>0</v>
      </c>
      <c r="AH38" s="66" t="n">
        <v>0</v>
      </c>
      <c r="AI38" s="67" t="n">
        <v>0</v>
      </c>
      <c r="AJ38" s="68" t="n">
        <v>0</v>
      </c>
      <c r="AK38" s="68" t="n">
        <v>0</v>
      </c>
      <c r="AL38" s="69" t="n">
        <v>0</v>
      </c>
      <c r="AM38" s="59" t="n">
        <v>0</v>
      </c>
      <c r="AN38" s="63" t="n">
        <v>0</v>
      </c>
      <c r="AO38" s="61">
        <f>SUM(AC38:AN38)</f>
        <v/>
      </c>
    </row>
    <row r="39" ht="14.25" customHeight="1" s="137">
      <c r="B39" s="57" t="inlineStr">
        <is>
          <t> </t>
        </is>
      </c>
      <c r="C39" s="64" t="n">
        <v>0</v>
      </c>
      <c r="D39" s="64" t="n">
        <v>0</v>
      </c>
      <c r="E39" s="64" t="n">
        <v>0</v>
      </c>
      <c r="F39" s="65" t="n">
        <v>0</v>
      </c>
      <c r="G39" s="66" t="n">
        <v>0</v>
      </c>
      <c r="H39" s="66" t="n">
        <v>0</v>
      </c>
      <c r="I39" s="67" t="n">
        <v>0</v>
      </c>
      <c r="J39" s="68" t="n">
        <v>0</v>
      </c>
      <c r="K39" s="68" t="n">
        <v>0</v>
      </c>
      <c r="L39" s="69" t="n">
        <v>0</v>
      </c>
      <c r="M39" s="59" t="n">
        <v>0</v>
      </c>
      <c r="N39" s="63" t="n">
        <v>0</v>
      </c>
      <c r="O39" s="61">
        <f>SUM(C39:N39)</f>
        <v/>
      </c>
      <c r="P39" s="64" t="n">
        <v>0</v>
      </c>
      <c r="Q39" s="64" t="n">
        <v>0</v>
      </c>
      <c r="R39" s="64" t="n">
        <v>0</v>
      </c>
      <c r="S39" s="65" t="n">
        <v>0</v>
      </c>
      <c r="T39" s="66" t="n">
        <v>0</v>
      </c>
      <c r="U39" s="66" t="n">
        <v>0</v>
      </c>
      <c r="V39" s="67" t="n">
        <v>0</v>
      </c>
      <c r="W39" s="68" t="n">
        <v>0</v>
      </c>
      <c r="X39" s="68" t="n">
        <v>0</v>
      </c>
      <c r="Y39" s="69" t="n">
        <v>0</v>
      </c>
      <c r="Z39" s="59" t="n">
        <v>0</v>
      </c>
      <c r="AA39" s="63" t="n">
        <v>0</v>
      </c>
      <c r="AB39" s="61">
        <f>SUM(P39:AA39)</f>
        <v/>
      </c>
      <c r="AC39" s="64" t="n">
        <v>0</v>
      </c>
      <c r="AD39" s="64" t="n">
        <v>0</v>
      </c>
      <c r="AE39" s="64" t="n">
        <v>0</v>
      </c>
      <c r="AF39" s="65" t="n">
        <v>0</v>
      </c>
      <c r="AG39" s="66" t="n">
        <v>0</v>
      </c>
      <c r="AH39" s="66" t="n">
        <v>0</v>
      </c>
      <c r="AI39" s="67" t="n">
        <v>0</v>
      </c>
      <c r="AJ39" s="68" t="n">
        <v>0</v>
      </c>
      <c r="AK39" s="68" t="n">
        <v>0</v>
      </c>
      <c r="AL39" s="69" t="n">
        <v>0</v>
      </c>
      <c r="AM39" s="59" t="n">
        <v>0</v>
      </c>
      <c r="AN39" s="63" t="n">
        <v>0</v>
      </c>
      <c r="AO39" s="61">
        <f>SUM(AC39:AN39)</f>
        <v/>
      </c>
    </row>
    <row r="40" ht="14.25" customHeight="1" s="137">
      <c r="B40" s="57" t="inlineStr">
        <is>
          <t> </t>
        </is>
      </c>
      <c r="C40" s="64" t="n">
        <v>0</v>
      </c>
      <c r="D40" s="64" t="n">
        <v>0</v>
      </c>
      <c r="E40" s="64" t="n">
        <v>0</v>
      </c>
      <c r="F40" s="65" t="n">
        <v>0</v>
      </c>
      <c r="G40" s="66" t="n">
        <v>0</v>
      </c>
      <c r="H40" s="66" t="n">
        <v>0</v>
      </c>
      <c r="I40" s="67" t="n">
        <v>0</v>
      </c>
      <c r="J40" s="68" t="n">
        <v>0</v>
      </c>
      <c r="K40" s="68" t="n">
        <v>0</v>
      </c>
      <c r="L40" s="69" t="n">
        <v>0</v>
      </c>
      <c r="M40" s="59" t="n">
        <v>0</v>
      </c>
      <c r="N40" s="63" t="n">
        <v>0</v>
      </c>
      <c r="O40" s="61">
        <f>SUM(C40:N40)</f>
        <v/>
      </c>
      <c r="P40" s="64" t="n">
        <v>0</v>
      </c>
      <c r="Q40" s="64" t="n">
        <v>0</v>
      </c>
      <c r="R40" s="64" t="n">
        <v>0</v>
      </c>
      <c r="S40" s="65" t="n">
        <v>0</v>
      </c>
      <c r="T40" s="66" t="n">
        <v>0</v>
      </c>
      <c r="U40" s="66" t="n">
        <v>0</v>
      </c>
      <c r="V40" s="67" t="n">
        <v>0</v>
      </c>
      <c r="W40" s="68" t="n">
        <v>0</v>
      </c>
      <c r="X40" s="68" t="n">
        <v>0</v>
      </c>
      <c r="Y40" s="69" t="n">
        <v>0</v>
      </c>
      <c r="Z40" s="59" t="n">
        <v>0</v>
      </c>
      <c r="AA40" s="63" t="n">
        <v>0</v>
      </c>
      <c r="AB40" s="61">
        <f>SUM(P40:AA40)</f>
        <v/>
      </c>
      <c r="AC40" s="64" t="n">
        <v>0</v>
      </c>
      <c r="AD40" s="64" t="n">
        <v>0</v>
      </c>
      <c r="AE40" s="64" t="n">
        <v>0</v>
      </c>
      <c r="AF40" s="65" t="n">
        <v>0</v>
      </c>
      <c r="AG40" s="66" t="n">
        <v>0</v>
      </c>
      <c r="AH40" s="66" t="n">
        <v>0</v>
      </c>
      <c r="AI40" s="67" t="n">
        <v>0</v>
      </c>
      <c r="AJ40" s="68" t="n">
        <v>0</v>
      </c>
      <c r="AK40" s="68" t="n">
        <v>0</v>
      </c>
      <c r="AL40" s="69" t="n">
        <v>0</v>
      </c>
      <c r="AM40" s="59" t="n">
        <v>0</v>
      </c>
      <c r="AN40" s="63" t="n">
        <v>0</v>
      </c>
      <c r="AO40" s="61">
        <f>SUM(AC40:AN40)</f>
        <v/>
      </c>
    </row>
    <row r="41" ht="14.25" customHeight="1" s="137">
      <c r="B41" s="57" t="inlineStr">
        <is>
          <t> </t>
        </is>
      </c>
      <c r="C41" s="64" t="n">
        <v>0</v>
      </c>
      <c r="D41" s="64" t="n">
        <v>0</v>
      </c>
      <c r="E41" s="64" t="n">
        <v>0</v>
      </c>
      <c r="F41" s="65" t="n">
        <v>0</v>
      </c>
      <c r="G41" s="66" t="n">
        <v>0</v>
      </c>
      <c r="H41" s="66" t="n">
        <v>0</v>
      </c>
      <c r="I41" s="67" t="n">
        <v>0</v>
      </c>
      <c r="J41" s="68" t="n">
        <v>0</v>
      </c>
      <c r="K41" s="68" t="n">
        <v>0</v>
      </c>
      <c r="L41" s="69" t="n">
        <v>0</v>
      </c>
      <c r="M41" s="59" t="n">
        <v>0</v>
      </c>
      <c r="N41" s="63" t="n">
        <v>0</v>
      </c>
      <c r="O41" s="61">
        <f>SUM(C41:N41)</f>
        <v/>
      </c>
      <c r="P41" s="64" t="n">
        <v>0</v>
      </c>
      <c r="Q41" s="64" t="n">
        <v>0</v>
      </c>
      <c r="R41" s="64" t="n">
        <v>0</v>
      </c>
      <c r="S41" s="65" t="n">
        <v>0</v>
      </c>
      <c r="T41" s="66" t="n">
        <v>0</v>
      </c>
      <c r="U41" s="66" t="n">
        <v>0</v>
      </c>
      <c r="V41" s="67" t="n">
        <v>0</v>
      </c>
      <c r="W41" s="68" t="n">
        <v>0</v>
      </c>
      <c r="X41" s="68" t="n">
        <v>0</v>
      </c>
      <c r="Y41" s="69" t="n">
        <v>0</v>
      </c>
      <c r="Z41" s="59" t="n">
        <v>0</v>
      </c>
      <c r="AA41" s="63" t="n">
        <v>0</v>
      </c>
      <c r="AB41" s="61">
        <f>SUM(P41:AA41)</f>
        <v/>
      </c>
      <c r="AC41" s="64" t="n">
        <v>0</v>
      </c>
      <c r="AD41" s="64" t="n">
        <v>0</v>
      </c>
      <c r="AE41" s="64" t="n">
        <v>0</v>
      </c>
      <c r="AF41" s="65" t="n">
        <v>0</v>
      </c>
      <c r="AG41" s="66" t="n">
        <v>0</v>
      </c>
      <c r="AH41" s="66" t="n">
        <v>0</v>
      </c>
      <c r="AI41" s="67" t="n">
        <v>0</v>
      </c>
      <c r="AJ41" s="68" t="n">
        <v>0</v>
      </c>
      <c r="AK41" s="68" t="n">
        <v>0</v>
      </c>
      <c r="AL41" s="69" t="n">
        <v>0</v>
      </c>
      <c r="AM41" s="59" t="n">
        <v>0</v>
      </c>
      <c r="AN41" s="63" t="n">
        <v>0</v>
      </c>
      <c r="AO41" s="61">
        <f>SUM(AC41:AN41)</f>
        <v/>
      </c>
    </row>
    <row r="42" ht="14.25" customHeight="1" s="137">
      <c r="B42" s="47" t="inlineStr">
        <is>
          <t>TOTAL EXPENSES</t>
        </is>
      </c>
      <c r="C42" s="48">
        <f>SUM(C10:C41)</f>
        <v/>
      </c>
      <c r="D42" s="48">
        <f>SUM(D10:D41)</f>
        <v/>
      </c>
      <c r="E42" s="48">
        <f>SUM(E10:E41)</f>
        <v/>
      </c>
      <c r="F42" s="49">
        <f>SUM(F10:F41)</f>
        <v/>
      </c>
      <c r="G42" s="50">
        <f>SUM(G10:G41)</f>
        <v/>
      </c>
      <c r="H42" s="50">
        <f>SUM(H10:H41)</f>
        <v/>
      </c>
      <c r="I42" s="51">
        <f>SUM(I10:I41)</f>
        <v/>
      </c>
      <c r="J42" s="52">
        <f>SUM(J10:J41)</f>
        <v/>
      </c>
      <c r="K42" s="52">
        <f>SUM(K10:K41)</f>
        <v/>
      </c>
      <c r="L42" s="53">
        <f>SUM(L10:L41)</f>
        <v/>
      </c>
      <c r="M42" s="54">
        <f>SUM(M10:M41)</f>
        <v/>
      </c>
      <c r="N42" s="55">
        <f>SUM(N10:N41)</f>
        <v/>
      </c>
      <c r="O42" s="56">
        <f>SUM(C42:N42)</f>
        <v/>
      </c>
      <c r="P42" s="48">
        <f>SUM(P10:P41)</f>
        <v/>
      </c>
      <c r="Q42" s="48">
        <f>SUM(Q10:Q41)</f>
        <v/>
      </c>
      <c r="R42" s="48">
        <f>SUM(R10:R41)</f>
        <v/>
      </c>
      <c r="S42" s="49">
        <f>SUM(S10:S41)</f>
        <v/>
      </c>
      <c r="T42" s="50">
        <f>SUM(T10:T41)</f>
        <v/>
      </c>
      <c r="U42" s="50">
        <f>SUM(U10:U41)</f>
        <v/>
      </c>
      <c r="V42" s="51">
        <f>SUM(V10:V41)</f>
        <v/>
      </c>
      <c r="W42" s="52">
        <f>SUM(W10:W41)</f>
        <v/>
      </c>
      <c r="X42" s="52">
        <f>SUM(X10:X41)</f>
        <v/>
      </c>
      <c r="Y42" s="53">
        <f>SUM(Y10:Y41)</f>
        <v/>
      </c>
      <c r="Z42" s="54">
        <f>SUM(Z10:Z41)</f>
        <v/>
      </c>
      <c r="AA42" s="55">
        <f>SUM(AA10:AA41)</f>
        <v/>
      </c>
      <c r="AB42" s="56">
        <f>SUM(P42:AA42)</f>
        <v/>
      </c>
      <c r="AC42" s="48">
        <f>SUM(AC10:AC41)</f>
        <v/>
      </c>
      <c r="AD42" s="48">
        <f>SUM(AD10:AD41)</f>
        <v/>
      </c>
      <c r="AE42" s="48">
        <f>SUM(AE10:AE41)</f>
        <v/>
      </c>
      <c r="AF42" s="49">
        <f>SUM(AF10:AF41)</f>
        <v/>
      </c>
      <c r="AG42" s="50">
        <f>SUM(AG10:AG41)</f>
        <v/>
      </c>
      <c r="AH42" s="50">
        <f>SUM(AH10:AH41)</f>
        <v/>
      </c>
      <c r="AI42" s="51">
        <f>SUM(AI10:AI41)</f>
        <v/>
      </c>
      <c r="AJ42" s="52">
        <f>SUM(AJ10:AJ41)</f>
        <v/>
      </c>
      <c r="AK42" s="52">
        <f>SUM(AK10:AK41)</f>
        <v/>
      </c>
      <c r="AL42" s="53">
        <f>SUM(AL10:AL41)</f>
        <v/>
      </c>
      <c r="AM42" s="54">
        <f>SUM(AM10:AM41)</f>
        <v/>
      </c>
      <c r="AN42" s="55">
        <f>SUM(AN10:AN41)</f>
        <v/>
      </c>
      <c r="AO42" s="56">
        <f>SUM(AC42:AN42)</f>
        <v/>
      </c>
    </row>
    <row r="43" ht="14.25" customHeight="1" s="137"/>
    <row r="44" ht="14.25" customHeight="1" s="137">
      <c r="B44" s="70" t="inlineStr">
        <is>
          <t>YEAR-TO-DATE INCOME LESS EXPENSES</t>
        </is>
      </c>
      <c r="C44" s="71">
        <f>C6-C42</f>
        <v/>
      </c>
      <c r="D44" s="71">
        <f>D6-D42</f>
        <v/>
      </c>
      <c r="E44" s="71">
        <f>E6-E42</f>
        <v/>
      </c>
      <c r="F44" s="72">
        <f>F6-F42</f>
        <v/>
      </c>
      <c r="G44" s="73">
        <f>G6-G42</f>
        <v/>
      </c>
      <c r="H44" s="73">
        <f>H6-H42</f>
        <v/>
      </c>
      <c r="I44" s="74">
        <f>I6-I42</f>
        <v/>
      </c>
      <c r="J44" s="75">
        <f>J6-J42</f>
        <v/>
      </c>
      <c r="K44" s="75">
        <f>K6-K42</f>
        <v/>
      </c>
      <c r="L44" s="76">
        <f>L6-L42</f>
        <v/>
      </c>
      <c r="M44" s="77">
        <f>M6-M42</f>
        <v/>
      </c>
      <c r="N44" s="78">
        <f>N6-N42</f>
        <v/>
      </c>
      <c r="O44" s="79">
        <f>O6-O42</f>
        <v/>
      </c>
      <c r="P44" s="71">
        <f>P6-P42</f>
        <v/>
      </c>
      <c r="Q44" s="71">
        <f>Q6-Q42</f>
        <v/>
      </c>
      <c r="R44" s="71">
        <f>R6-R42</f>
        <v/>
      </c>
      <c r="S44" s="72">
        <f>S6-S42</f>
        <v/>
      </c>
      <c r="T44" s="73">
        <f>T6-T42</f>
        <v/>
      </c>
      <c r="U44" s="73">
        <f>U6-U42</f>
        <v/>
      </c>
      <c r="V44" s="74">
        <f>V6-V42</f>
        <v/>
      </c>
      <c r="W44" s="75">
        <f>W6-W42</f>
        <v/>
      </c>
      <c r="X44" s="75">
        <f>X6-X42</f>
        <v/>
      </c>
      <c r="Y44" s="76">
        <f>Y6-Y42</f>
        <v/>
      </c>
      <c r="Z44" s="77">
        <f>Z6-Z42</f>
        <v/>
      </c>
      <c r="AA44" s="78">
        <f>AA6-AA42</f>
        <v/>
      </c>
      <c r="AB44" s="79">
        <f>AB6-AB42</f>
        <v/>
      </c>
      <c r="AC44" s="71">
        <f>AC6-AC42</f>
        <v/>
      </c>
      <c r="AD44" s="71">
        <f>AD6-AD42</f>
        <v/>
      </c>
      <c r="AE44" s="71">
        <f>AE6-AE42</f>
        <v/>
      </c>
      <c r="AF44" s="72">
        <f>AF6-AF42</f>
        <v/>
      </c>
      <c r="AG44" s="73">
        <f>AG6-AG42</f>
        <v/>
      </c>
      <c r="AH44" s="73">
        <f>AH6-AH42</f>
        <v/>
      </c>
      <c r="AI44" s="74">
        <f>AI6-AI42</f>
        <v/>
      </c>
      <c r="AJ44" s="75">
        <f>AJ6-AJ42</f>
        <v/>
      </c>
      <c r="AK44" s="75">
        <f>AK6-AK42</f>
        <v/>
      </c>
      <c r="AL44" s="76">
        <f>AL6-AL42</f>
        <v/>
      </c>
      <c r="AM44" s="77">
        <f>AM6-AM42</f>
        <v/>
      </c>
      <c r="AN44" s="78">
        <f>AN6-AN42</f>
        <v/>
      </c>
      <c r="AO44" s="79">
        <f>AO6-AO42</f>
        <v/>
      </c>
    </row>
    <row r="45" ht="14.25" customHeight="1" s="137"/>
    <row r="46" ht="14.25" customHeight="1" s="137"/>
    <row r="47" ht="14.25" customHeight="1" s="137"/>
    <row r="48" ht="14.25" customHeight="1" s="137">
      <c r="B48" s="5" t="inlineStr">
        <is>
          <t>Purchase Price</t>
        </is>
      </c>
      <c r="C48" s="80" t="n">
        <v>175250</v>
      </c>
    </row>
    <row r="49" ht="14.25" customHeight="1" s="137">
      <c r="B49" s="122" t="inlineStr">
        <is>
          <t>Interest Rate</t>
        </is>
      </c>
      <c r="C49" s="81" t="n">
        <v>0.0525</v>
      </c>
    </row>
    <row r="50" ht="14.25" customHeight="1" s="137">
      <c r="C50" s="81" t="n"/>
    </row>
    <row r="51" ht="14.25" customHeight="1" s="137">
      <c r="B51" s="5" t="inlineStr">
        <is>
          <t>Closing Costs</t>
        </is>
      </c>
      <c r="C51" s="88" t="n">
        <v>36984.13</v>
      </c>
    </row>
    <row r="52" ht="14.25" customHeight="1" s="137">
      <c r="C52" s="81" t="n"/>
    </row>
    <row r="53" ht="14.25" customHeight="1" s="137">
      <c r="B53" s="5" t="inlineStr">
        <is>
          <t>2022 Expenses</t>
        </is>
      </c>
    </row>
    <row r="54" ht="14.25" customHeight="1" s="137">
      <c r="B54" s="122" t="inlineStr">
        <is>
          <t>earnest money to seller</t>
        </is>
      </c>
      <c r="C54" s="122" t="n">
        <v>50000</v>
      </c>
    </row>
    <row r="55" ht="14.25" customHeight="1" s="137">
      <c r="B55" s="122" t="inlineStr">
        <is>
          <t>inspection to Bill</t>
        </is>
      </c>
      <c r="C55" s="122" t="n">
        <v>300</v>
      </c>
    </row>
    <row r="56" ht="14.25" customHeight="1" s="137">
      <c r="B56" s="122" t="inlineStr">
        <is>
          <t>deposit to Rocket Mortage, which will be applied to appraisal cost once ordered</t>
        </is>
      </c>
      <c r="C56" s="122" t="n">
        <v>500</v>
      </c>
    </row>
    <row r="57" ht="14.25" customHeight="1" s="137">
      <c r="B57" s="122" t="inlineStr">
        <is>
          <t>electrian estimate</t>
        </is>
      </c>
      <c r="C57" s="122" t="n">
        <v>100</v>
      </c>
    </row>
    <row r="58" ht="14.25" customHeight="1" s="137">
      <c r="B58" s="122" t="inlineStr">
        <is>
          <t>move in fees to HOA</t>
        </is>
      </c>
      <c r="C58" s="122" t="n">
        <v>350</v>
      </c>
    </row>
    <row r="59" ht="14.25" customHeight="1" s="137"/>
    <row r="60" ht="14.25" customHeight="1" s="137">
      <c r="B60" s="149" t="inlineStr">
        <is>
          <t>2025 (this column)</t>
        </is>
      </c>
    </row>
    <row r="61" ht="32" customHeight="1" s="137">
      <c r="B61" s="150" t="inlineStr">
        <is>
          <t>Rent — filled from joint 0203 (Delach $1,450 + Ava $500; Joan $1,950 Dec + prepaid Jan). Vacant Oct + half Nov. Half-Nov $975 WAIT 8507.</t>
        </is>
      </c>
    </row>
    <row r="62" ht="32" customHeight="1" s="137">
      <c r="B62" s="150" t="inlineStr">
        <is>
          <t>Mortgage — Rocket 8507 Jul–Oct $1,226.25, Nov–Dec $1,177.52. Jan–Jun yellow WAIT 8507 statements (June 8507 in Monarch has no Rocket).</t>
        </is>
      </c>
    </row>
    <row r="63" ht="14.25" customHeight="1" s="137">
      <c r="B63" s="150" t="inlineStr">
        <is>
          <t>HOA — Santa Maria C326 $421.53 Jun–Dec on 8507. Jan–May yellow WAIT 8507.</t>
        </is>
      </c>
    </row>
    <row r="64" ht="14.25" customHeight="1" s="137">
      <c r="B64" s="150" t="inlineStr">
        <is>
          <t>Insurance — Lemonade $514 cash 10/3 on Megan Chase (yellow: confirm 216 policy). 2024 was $35.08/mo renter's.</t>
        </is>
      </c>
    </row>
    <row r="65" ht="14.25" customHeight="1" s="137">
      <c r="B65" s="150" t="inlineStr">
        <is>
          <t>Interior — 12/1 Zelle to Joan $675 repair (CONFIRMED). CPA may reclass interior vs exterior.</t>
        </is>
      </c>
    </row>
    <row r="66" ht="14.25" customHeight="1" s="137">
      <c r="B66" s="150" t="inlineStr">
        <is>
          <t>Sch E: deduct Rocket 1098 interest, not full P+I. This sheet shows cash mortgage like 2023/2024.</t>
        </is>
      </c>
    </row>
    <row r="67" ht="14.25" customHeight="1" s="137">
      <c r="B67" s="150" t="inlineStr">
        <is>
          <t>Jan 2025 occupancy cash hit 12/31/2024 — not in TY2025. 12/31/2025 $1,950 = Jan 2026 prepaid cash in TY2025.</t>
        </is>
      </c>
    </row>
    <row r="68" ht="14.25" customHeight="1" s="137">
      <c r="B68" s="150" t="inlineStr">
        <is>
          <t>Not tax advice.</t>
        </is>
      </c>
    </row>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1">
    <mergeCell ref="C1:O1"/>
  </mergeCells>
  <pageMargins left="0.7" right="0.7" top="0.75" bottom="0.75" header="0" footer="0"/>
  <pageSetup orientation="portrait"/>
  <legacyDrawing xmlns:r="http://schemas.openxmlformats.org/officeDocument/2006/relationships" r:id="anysvml"/>
</worksheet>
</file>

<file path=xl/worksheets/sheet4.xml><?xml version="1.0" encoding="utf-8"?>
<worksheet xmlns="http://schemas.openxmlformats.org/spreadsheetml/2006/main">
  <sheetPr>
    <tabColor rgb="FF7030A0"/>
    <outlinePr summaryBelow="1" summaryRight="1"/>
    <pageSetUpPr/>
  </sheetPr>
  <dimension ref="A1:Z76"/>
  <sheetViews>
    <sheetView workbookViewId="0">
      <selection activeCell="A1" sqref="A1"/>
    </sheetView>
  </sheetViews>
  <sheetFormatPr baseColWidth="8" defaultColWidth="14.43" defaultRowHeight="15" customHeight="1"/>
  <cols>
    <col width="28.71" customWidth="1" style="137" min="1" max="1"/>
    <col width="10.86" customWidth="1" style="137" min="2" max="3"/>
    <col width="9.289999999999999" customWidth="1" style="137" min="4" max="4"/>
    <col width="10.86" customWidth="1" style="137" min="5" max="5"/>
    <col width="10.14" customWidth="1" style="137" min="6" max="6"/>
    <col width="11.14" customWidth="1" style="137" min="7" max="8"/>
    <col width="10.86" customWidth="1" style="137" min="9" max="9"/>
    <col width="11.86" customWidth="1" style="137" min="10" max="10"/>
    <col width="10.86" customWidth="1" style="137" min="11" max="11"/>
    <col width="11.14" customWidth="1" style="137" min="12" max="12"/>
    <col width="10.14" customWidth="1" style="137" min="13" max="13"/>
    <col width="11.14" customWidth="1" style="137" min="14" max="14"/>
    <col width="8.710000000000001" customWidth="1" style="137" min="15" max="26"/>
  </cols>
  <sheetData>
    <row r="1" ht="14.25" customHeight="1" s="137">
      <c r="A1" s="82" t="n">
        <v>2023</v>
      </c>
    </row>
    <row r="2" ht="14.25" customHeight="1" s="137">
      <c r="A2" s="12" t="inlineStr">
        <is>
          <t>INCOME</t>
        </is>
      </c>
      <c r="B2" s="83" t="inlineStr">
        <is>
          <t>JAN</t>
        </is>
      </c>
      <c r="C2" s="83" t="inlineStr">
        <is>
          <t>FEB</t>
        </is>
      </c>
      <c r="D2" s="83" t="inlineStr">
        <is>
          <t>MAR</t>
        </is>
      </c>
      <c r="E2" s="83" t="inlineStr">
        <is>
          <t>APR</t>
        </is>
      </c>
      <c r="F2" s="83" t="inlineStr">
        <is>
          <t>MAY</t>
        </is>
      </c>
      <c r="G2" s="83" t="inlineStr">
        <is>
          <t>JUN</t>
        </is>
      </c>
      <c r="H2" s="83" t="inlineStr">
        <is>
          <t>JUL</t>
        </is>
      </c>
      <c r="I2" s="83" t="inlineStr">
        <is>
          <t>AUG</t>
        </is>
      </c>
      <c r="J2" s="83" t="inlineStr">
        <is>
          <t>SEP</t>
        </is>
      </c>
      <c r="K2" s="83" t="inlineStr">
        <is>
          <t>OCT</t>
        </is>
      </c>
      <c r="L2" s="83" t="inlineStr">
        <is>
          <t>NOV</t>
        </is>
      </c>
      <c r="M2" s="83" t="inlineStr">
        <is>
          <t>DEC</t>
        </is>
      </c>
      <c r="N2" s="83" t="inlineStr">
        <is>
          <t>YEARLY</t>
        </is>
      </c>
      <c r="O2" s="84" t="n"/>
      <c r="P2" s="84" t="n"/>
      <c r="Q2" s="84" t="n"/>
      <c r="R2" s="84" t="n"/>
      <c r="S2" s="84" t="n"/>
      <c r="T2" s="84" t="n"/>
      <c r="U2" s="84" t="n"/>
      <c r="V2" s="84" t="n"/>
      <c r="W2" s="84" t="n"/>
      <c r="X2" s="84" t="n"/>
      <c r="Y2" s="84" t="n"/>
      <c r="Z2" s="84" t="n"/>
    </row>
    <row r="3" ht="14.25" customHeight="1" s="137">
      <c r="A3" s="122" t="inlineStr">
        <is>
          <t>Art Sales</t>
        </is>
      </c>
      <c r="B3" s="88" t="n"/>
      <c r="C3" s="88" t="n"/>
      <c r="D3" s="88" t="n"/>
      <c r="E3" s="88" t="n"/>
      <c r="F3" s="88" t="n">
        <v>8135.65</v>
      </c>
      <c r="G3" s="88" t="n">
        <v>11661.5</v>
      </c>
      <c r="H3" s="88" t="n">
        <v>50000</v>
      </c>
      <c r="I3" s="88" t="n"/>
      <c r="J3" s="88" t="n">
        <v>400</v>
      </c>
      <c r="K3" s="88" t="n"/>
      <c r="L3" s="88" t="n">
        <v>10700</v>
      </c>
      <c r="M3" s="88" t="n">
        <v>3040</v>
      </c>
      <c r="N3" s="88">
        <f>SUM(B3:M3)</f>
        <v/>
      </c>
    </row>
    <row r="4" ht="14.25" customHeight="1" s="137">
      <c r="A4" s="122" t="inlineStr">
        <is>
          <t>Consultant</t>
        </is>
      </c>
      <c r="N4" s="122">
        <f>SUM(B4:M4)</f>
        <v/>
      </c>
    </row>
    <row r="5" ht="14.25" customHeight="1" s="137">
      <c r="A5" s="122" t="inlineStr">
        <is>
          <t>Total</t>
        </is>
      </c>
      <c r="B5" s="88">
        <f>SUM(B3:B4)</f>
        <v/>
      </c>
      <c r="C5" s="88">
        <f>SUM(C3:C4)</f>
        <v/>
      </c>
      <c r="D5" s="88">
        <f>SUM(D3:D4)</f>
        <v/>
      </c>
      <c r="E5" s="88">
        <f>SUM(E3:E4)</f>
        <v/>
      </c>
      <c r="F5" s="88">
        <f>SUM(F3:F4)</f>
        <v/>
      </c>
      <c r="G5" s="88">
        <f>SUM(G3:G4)</f>
        <v/>
      </c>
      <c r="H5" s="88">
        <f>SUM(H3:H4)</f>
        <v/>
      </c>
      <c r="I5" s="88">
        <f>SUM(I3:I4)</f>
        <v/>
      </c>
      <c r="J5" s="88">
        <f>SUM(J3:J4)</f>
        <v/>
      </c>
      <c r="K5" s="88">
        <f>SUM(K3:K4)</f>
        <v/>
      </c>
      <c r="L5" s="88">
        <f>SUM(L3:L4)</f>
        <v/>
      </c>
      <c r="M5" s="88">
        <f>SUM(M3:M4)</f>
        <v/>
      </c>
      <c r="N5" s="88">
        <f>SUM(N3:N4)</f>
        <v/>
      </c>
    </row>
    <row r="6" ht="14.25" customHeight="1" s="137">
      <c r="B6" s="88" t="n"/>
      <c r="C6" s="88" t="n"/>
      <c r="D6" s="88" t="n"/>
      <c r="E6" s="88" t="n"/>
      <c r="F6" s="88" t="n"/>
      <c r="G6" s="88" t="n"/>
      <c r="H6" s="88" t="n"/>
      <c r="I6" s="88" t="n"/>
      <c r="J6" s="88" t="n"/>
      <c r="K6" s="88" t="n"/>
      <c r="L6" s="88" t="n"/>
      <c r="M6" s="88" t="n"/>
      <c r="N6" s="88" t="n"/>
    </row>
    <row r="7" ht="14.25" customHeight="1" s="137">
      <c r="A7" s="85" t="inlineStr">
        <is>
          <t>EXPENSES</t>
        </is>
      </c>
      <c r="B7" s="83" t="inlineStr">
        <is>
          <t>JAN</t>
        </is>
      </c>
      <c r="C7" s="83" t="inlineStr">
        <is>
          <t>FEB</t>
        </is>
      </c>
      <c r="D7" s="83" t="inlineStr">
        <is>
          <t>MAR</t>
        </is>
      </c>
      <c r="E7" s="83" t="inlineStr">
        <is>
          <t>APR</t>
        </is>
      </c>
      <c r="F7" s="83" t="inlineStr">
        <is>
          <t>MAY</t>
        </is>
      </c>
      <c r="G7" s="83" t="inlineStr">
        <is>
          <t>JUN</t>
        </is>
      </c>
      <c r="H7" s="83" t="inlineStr">
        <is>
          <t>JUL</t>
        </is>
      </c>
      <c r="I7" s="83" t="inlineStr">
        <is>
          <t>AUG</t>
        </is>
      </c>
      <c r="J7" s="83" t="inlineStr">
        <is>
          <t>SEP</t>
        </is>
      </c>
      <c r="K7" s="83" t="inlineStr">
        <is>
          <t>OCT</t>
        </is>
      </c>
      <c r="L7" s="83" t="inlineStr">
        <is>
          <t>NOV</t>
        </is>
      </c>
      <c r="M7" s="83" t="inlineStr">
        <is>
          <t>DEC</t>
        </is>
      </c>
      <c r="N7" s="83" t="inlineStr">
        <is>
          <t>YEARLY</t>
        </is>
      </c>
    </row>
    <row r="8" ht="14.25" customHeight="1" s="137">
      <c r="A8" s="122" t="inlineStr">
        <is>
          <t>Supplies (office and operating)</t>
        </is>
      </c>
      <c r="B8" s="88" t="n"/>
      <c r="C8" s="88" t="n"/>
      <c r="D8" s="88" t="n"/>
      <c r="E8" s="88" t="n"/>
      <c r="F8" s="88" t="n"/>
      <c r="G8" s="88" t="n"/>
      <c r="H8" s="88" t="n"/>
      <c r="I8" s="88" t="n"/>
      <c r="J8" s="88" t="n"/>
      <c r="K8" s="88" t="n"/>
      <c r="L8" s="88" t="n"/>
      <c r="M8" s="88" t="n"/>
      <c r="N8" s="88">
        <f>SUM(B8:M8)</f>
        <v/>
      </c>
    </row>
    <row r="9" ht="14.25" customHeight="1" s="137">
      <c r="A9" s="122" t="inlineStr">
        <is>
          <t>Office Construction</t>
        </is>
      </c>
      <c r="B9" s="88" t="n"/>
      <c r="C9" s="88" t="n"/>
      <c r="D9" s="88" t="n"/>
      <c r="E9" s="88" t="n"/>
      <c r="F9" s="88" t="n"/>
      <c r="G9" s="88" t="n"/>
      <c r="H9" s="88" t="n"/>
      <c r="I9" s="88" t="n"/>
      <c r="J9" s="88" t="n">
        <v>13750</v>
      </c>
      <c r="K9" s="88" t="n"/>
      <c r="L9" s="88" t="n"/>
      <c r="M9" s="88" t="n"/>
      <c r="N9" s="88">
        <f>SUM(B9:M9)</f>
        <v/>
      </c>
    </row>
    <row r="10" ht="14.25" customHeight="1" s="137">
      <c r="A10" s="122" t="inlineStr">
        <is>
          <t xml:space="preserve">Office Interior </t>
        </is>
      </c>
      <c r="B10" s="88" t="n"/>
      <c r="C10" s="88" t="n"/>
      <c r="D10" s="88" t="n"/>
      <c r="E10" s="88" t="n"/>
      <c r="F10" s="88" t="n"/>
      <c r="G10" s="88" t="n"/>
      <c r="H10" s="88" t="n"/>
      <c r="I10" s="88" t="n">
        <v>426.52</v>
      </c>
      <c r="J10" s="88" t="n">
        <v>87.98999999999999</v>
      </c>
      <c r="K10" s="88" t="n">
        <v>87.78</v>
      </c>
      <c r="L10" s="88" t="n"/>
      <c r="M10" s="88" t="n"/>
      <c r="N10" s="88">
        <f>SUM(B10:M10)</f>
        <v/>
      </c>
    </row>
    <row r="11" ht="14.25" customHeight="1" s="137">
      <c r="A11" s="122" t="inlineStr">
        <is>
          <t>Office Furniture</t>
        </is>
      </c>
      <c r="B11" s="88" t="n"/>
      <c r="C11" s="88" t="n"/>
      <c r="D11" s="88" t="n"/>
      <c r="E11" s="88" t="n"/>
      <c r="F11" s="88" t="n"/>
      <c r="G11" s="88" t="n"/>
      <c r="H11" s="88" t="n"/>
      <c r="I11" s="88" t="n">
        <v>461</v>
      </c>
      <c r="J11" s="88" t="n"/>
      <c r="K11" s="88" t="n">
        <v>1799.5</v>
      </c>
      <c r="L11" s="88" t="n">
        <v>82.68000000000001</v>
      </c>
      <c r="M11" s="88" t="n"/>
      <c r="N11" s="88">
        <f>SUM(B11:M11)</f>
        <v/>
      </c>
    </row>
    <row r="12" ht="14.25" customHeight="1" s="137">
      <c r="A12" s="122" t="inlineStr">
        <is>
          <t>Repairs and maintenance</t>
        </is>
      </c>
      <c r="B12" s="88" t="n"/>
      <c r="C12" s="88" t="n"/>
      <c r="D12" s="88" t="n"/>
      <c r="E12" s="88" t="n"/>
      <c r="F12" s="88" t="n"/>
      <c r="G12" s="88" t="n"/>
      <c r="H12" s="88" t="n"/>
      <c r="I12" s="88" t="n"/>
      <c r="J12" s="88" t="n"/>
      <c r="K12" s="88" t="n"/>
      <c r="L12" s="88" t="n"/>
      <c r="M12" s="88" t="n"/>
      <c r="N12" s="88">
        <f>SUM(B12:M12)</f>
        <v/>
      </c>
    </row>
    <row r="13" ht="14.25" customHeight="1" s="137">
      <c r="A13" s="122" t="inlineStr">
        <is>
          <t>Advertising</t>
        </is>
      </c>
      <c r="B13" s="88" t="n">
        <v>15</v>
      </c>
      <c r="C13" s="88" t="n">
        <v>15</v>
      </c>
      <c r="D13" s="88" t="n">
        <v>15</v>
      </c>
      <c r="E13" s="88" t="n">
        <v>15</v>
      </c>
      <c r="F13" s="88" t="n">
        <v>15</v>
      </c>
      <c r="G13" s="88" t="n">
        <v>15</v>
      </c>
      <c r="H13" s="88" t="n">
        <v>15</v>
      </c>
      <c r="I13" s="88" t="n">
        <v>15</v>
      </c>
      <c r="J13" s="88" t="n">
        <v>15</v>
      </c>
      <c r="K13" s="88" t="n">
        <v>15</v>
      </c>
      <c r="L13" s="88" t="n">
        <v>15</v>
      </c>
      <c r="M13" s="88" t="n">
        <v>15</v>
      </c>
      <c r="N13" s="88">
        <f>SUM(B13:M13)</f>
        <v/>
      </c>
    </row>
    <row r="14" ht="14.25" customHeight="1" s="137">
      <c r="A14" s="122" t="inlineStr">
        <is>
          <t>Travel, Meals, and Entertainment</t>
        </is>
      </c>
      <c r="B14" s="88" t="n"/>
      <c r="C14" s="88" t="n">
        <v>1185.36</v>
      </c>
      <c r="D14" s="88" t="n"/>
      <c r="E14" s="88" t="n">
        <v>1113.09</v>
      </c>
      <c r="F14" s="88" t="n"/>
      <c r="G14" s="88" t="n"/>
      <c r="H14" s="88" t="n">
        <v>50</v>
      </c>
      <c r="I14" s="88" t="n"/>
      <c r="J14" s="88" t="n">
        <v>1351.31</v>
      </c>
      <c r="K14" s="88" t="n"/>
      <c r="L14" s="88" t="n">
        <v>1283.75</v>
      </c>
      <c r="M14" s="88" t="n"/>
      <c r="N14" s="88">
        <f>SUM(B14:M14)</f>
        <v/>
      </c>
    </row>
    <row r="15" ht="14.25" customHeight="1" s="137">
      <c r="A15" s="122" t="inlineStr">
        <is>
          <t>Accounting and legal</t>
        </is>
      </c>
      <c r="B15" s="88" t="n">
        <v>228</v>
      </c>
      <c r="C15" s="88" t="n">
        <v>20</v>
      </c>
      <c r="D15" s="88" t="n"/>
      <c r="E15" s="88" t="n"/>
      <c r="F15" s="88" t="n"/>
      <c r="G15" s="88" t="n"/>
      <c r="H15" s="88" t="n"/>
      <c r="I15" s="88" t="n"/>
      <c r="J15" s="88" t="n"/>
      <c r="K15" s="88" t="n"/>
      <c r="L15" s="88" t="n"/>
      <c r="M15" s="88" t="n"/>
      <c r="N15" s="88">
        <f>SUM(B15:M15)</f>
        <v/>
      </c>
    </row>
    <row r="16" ht="14.25" customHeight="1" s="137">
      <c r="A16" s="122" t="inlineStr">
        <is>
          <t>Cellphone and Internet</t>
        </is>
      </c>
      <c r="B16" s="88" t="n">
        <v>77.45</v>
      </c>
      <c r="C16" s="88" t="n">
        <v>77.45</v>
      </c>
      <c r="D16" s="88" t="n">
        <v>77.45</v>
      </c>
      <c r="E16" s="88" t="n">
        <v>77.45</v>
      </c>
      <c r="F16" s="88" t="n">
        <v>77.45</v>
      </c>
      <c r="G16" s="88" t="n">
        <v>77.45</v>
      </c>
      <c r="H16" s="88" t="n">
        <v>77.45</v>
      </c>
      <c r="I16" s="88" t="n">
        <v>77.45</v>
      </c>
      <c r="J16" s="88" t="n">
        <v>77.45</v>
      </c>
      <c r="K16" s="88" t="n">
        <v>77.45</v>
      </c>
      <c r="L16" s="88" t="n">
        <v>77.45</v>
      </c>
      <c r="M16" s="88" t="n">
        <v>77.45</v>
      </c>
      <c r="N16" s="88">
        <f>SUM(B16:M16)</f>
        <v/>
      </c>
    </row>
    <row r="17" ht="14.25" customHeight="1" s="137">
      <c r="A17" s="122" t="inlineStr">
        <is>
          <t>Software Fees</t>
        </is>
      </c>
      <c r="B17" s="88" t="n">
        <v>53</v>
      </c>
      <c r="C17" s="88" t="n">
        <v>53</v>
      </c>
      <c r="D17" s="88" t="n">
        <v>53</v>
      </c>
      <c r="E17" s="88" t="n">
        <v>53</v>
      </c>
      <c r="F17" s="88" t="n">
        <v>53</v>
      </c>
      <c r="G17" s="88" t="n">
        <v>53</v>
      </c>
      <c r="H17" s="88" t="n">
        <v>53</v>
      </c>
      <c r="I17" s="88" t="n">
        <v>53</v>
      </c>
      <c r="J17" s="88" t="n">
        <v>53</v>
      </c>
      <c r="K17" s="88" t="n">
        <v>53</v>
      </c>
      <c r="L17" s="88" t="n">
        <v>53</v>
      </c>
      <c r="M17" s="88" t="n">
        <v>53</v>
      </c>
      <c r="N17" s="88">
        <f>SUM(B17:M17)</f>
        <v/>
      </c>
    </row>
    <row r="18" ht="14.25" customHeight="1" s="137">
      <c r="A18" s="122" t="inlineStr">
        <is>
          <t>Tech</t>
        </is>
      </c>
      <c r="B18" s="88" t="n"/>
      <c r="C18" s="88" t="n"/>
      <c r="D18" s="88" t="n"/>
      <c r="E18" s="88" t="n"/>
      <c r="F18" s="88" t="n"/>
      <c r="G18" s="88" t="n"/>
      <c r="H18" s="88" t="n"/>
      <c r="I18" s="88" t="n"/>
      <c r="J18" s="88" t="n">
        <v>77.16</v>
      </c>
      <c r="K18" s="88" t="n">
        <v>384.99</v>
      </c>
      <c r="L18" s="88" t="n"/>
      <c r="M18" s="88" t="n"/>
      <c r="N18" s="88">
        <f>SUM(B18:M18)</f>
        <v/>
      </c>
    </row>
    <row r="19" ht="14.25" customHeight="1" s="137">
      <c r="A19" s="122" t="inlineStr">
        <is>
          <t>Art Library</t>
        </is>
      </c>
      <c r="B19" s="88" t="n">
        <v>5025.37</v>
      </c>
      <c r="C19" s="88" t="n"/>
      <c r="D19" s="88" t="n"/>
      <c r="E19" s="88" t="n"/>
      <c r="F19" s="88" t="n"/>
      <c r="G19" s="88" t="n"/>
      <c r="H19" s="88" t="n"/>
      <c r="I19" s="88" t="n"/>
      <c r="J19" s="88" t="n"/>
      <c r="K19" s="88" t="n"/>
      <c r="L19" s="88" t="n"/>
      <c r="M19" s="88" t="n"/>
      <c r="N19" s="88">
        <f>SUM(B19:M19)</f>
        <v/>
      </c>
    </row>
    <row r="20" ht="14.25" customHeight="1" s="137">
      <c r="A20" s="122" t="inlineStr">
        <is>
          <t>Utilities</t>
        </is>
      </c>
      <c r="B20" s="88" t="n"/>
      <c r="C20" s="88" t="n"/>
      <c r="D20" s="88" t="n"/>
      <c r="E20" s="88" t="n"/>
      <c r="F20" s="88" t="n"/>
      <c r="G20" s="88" t="n"/>
      <c r="H20" s="88" t="n"/>
      <c r="I20" s="88" t="n"/>
      <c r="J20" s="88" t="n"/>
      <c r="K20" s="88" t="n"/>
      <c r="L20" s="88" t="n"/>
      <c r="M20" s="88" t="n"/>
      <c r="N20" s="88">
        <f>SUM(B20:M20)</f>
        <v/>
      </c>
    </row>
    <row r="21" ht="14.25" customHeight="1" s="137">
      <c r="A21" s="122" t="inlineStr">
        <is>
          <t>Insurance</t>
        </is>
      </c>
      <c r="B21" s="88" t="n"/>
      <c r="C21" s="88" t="n"/>
      <c r="D21" s="88" t="n"/>
      <c r="E21" s="88" t="n"/>
      <c r="F21" s="88" t="n"/>
      <c r="G21" s="88" t="n"/>
      <c r="H21" s="88" t="n"/>
      <c r="I21" s="88" t="n"/>
      <c r="J21" s="88" t="n"/>
      <c r="K21" s="88" t="n"/>
      <c r="L21" s="88" t="n"/>
      <c r="M21" s="88" t="n"/>
      <c r="N21" s="88">
        <f>SUM(B21:M21)</f>
        <v/>
      </c>
    </row>
    <row r="22" ht="14.25" customHeight="1" s="137">
      <c r="A22" s="5" t="inlineStr">
        <is>
          <t>TOTAL EXPENSES</t>
        </is>
      </c>
      <c r="B22" s="86">
        <f>SUM(B8:B21)</f>
        <v/>
      </c>
      <c r="C22" s="86">
        <f>SUM(C8:C21)</f>
        <v/>
      </c>
      <c r="D22" s="86">
        <f>SUM(D8:D21)</f>
        <v/>
      </c>
      <c r="E22" s="86">
        <f>SUM(E8:E21)</f>
        <v/>
      </c>
      <c r="F22" s="86">
        <f>SUM(F8:F21)</f>
        <v/>
      </c>
      <c r="G22" s="86">
        <f>SUM(G8:G21)</f>
        <v/>
      </c>
      <c r="H22" s="86">
        <f>SUM(H8:H21)</f>
        <v/>
      </c>
      <c r="I22" s="86">
        <f>SUM(I8:I21)</f>
        <v/>
      </c>
      <c r="J22" s="86">
        <f>SUM(J8:J21)</f>
        <v/>
      </c>
      <c r="K22" s="86">
        <f>SUM(K8:K21)</f>
        <v/>
      </c>
      <c r="L22" s="86">
        <f>SUM(L8:L21)</f>
        <v/>
      </c>
      <c r="M22" s="86">
        <f>SUM(M8:M21)</f>
        <v/>
      </c>
      <c r="N22" s="86">
        <f>SUM(N8:N21)</f>
        <v/>
      </c>
    </row>
    <row r="23" ht="14.25" customHeight="1" s="137"/>
    <row r="24" ht="14.25" customHeight="1" s="137">
      <c r="A24" s="12" t="inlineStr">
        <is>
          <t>YEAR TO DATE LESS EXPENSES</t>
        </is>
      </c>
      <c r="B24" s="87">
        <f>SUM(B5-B22)</f>
        <v/>
      </c>
      <c r="C24" s="87">
        <f>SUM(C5-C22)</f>
        <v/>
      </c>
      <c r="D24" s="87">
        <f>SUM(D5-D22)</f>
        <v/>
      </c>
      <c r="E24" s="87">
        <f>SUM(E5-E22)</f>
        <v/>
      </c>
      <c r="F24" s="87">
        <f>SUM(F5-F22)</f>
        <v/>
      </c>
      <c r="G24" s="87">
        <f>SUM(G5-G22)</f>
        <v/>
      </c>
      <c r="H24" s="87">
        <f>SUM(H5-H22)</f>
        <v/>
      </c>
      <c r="I24" s="87">
        <f>SUM(I5-I22)</f>
        <v/>
      </c>
      <c r="J24" s="87">
        <f>SUM(J5-J22)</f>
        <v/>
      </c>
      <c r="K24" s="87">
        <f>SUM(K5-K22)</f>
        <v/>
      </c>
      <c r="L24" s="87">
        <f>SUM(L5-L22)</f>
        <v/>
      </c>
      <c r="M24" s="87">
        <f>SUM(M5-M22)</f>
        <v/>
      </c>
      <c r="N24" s="87">
        <f>SUM(N5-N22)</f>
        <v/>
      </c>
      <c r="O24" s="84" t="n"/>
      <c r="P24" s="84" t="n"/>
      <c r="Q24" s="84" t="n"/>
      <c r="R24" s="84" t="n"/>
      <c r="S24" s="84" t="n"/>
      <c r="T24" s="84" t="n"/>
      <c r="U24" s="84" t="n"/>
      <c r="V24" s="84" t="n"/>
      <c r="W24" s="84" t="n"/>
      <c r="X24" s="84" t="n"/>
      <c r="Y24" s="84" t="n"/>
      <c r="Z24" s="84" t="n"/>
    </row>
    <row r="25" ht="14.25" customHeight="1" s="137"/>
    <row r="26" ht="14.25" customHeight="1" s="137">
      <c r="A26" s="82" t="n">
        <v>2024</v>
      </c>
    </row>
    <row r="27" ht="14.25" customHeight="1" s="137">
      <c r="A27" s="12" t="inlineStr">
        <is>
          <t>INCOME</t>
        </is>
      </c>
      <c r="B27" s="83" t="inlineStr">
        <is>
          <t>JAN</t>
        </is>
      </c>
      <c r="C27" s="83" t="inlineStr">
        <is>
          <t>FEB</t>
        </is>
      </c>
      <c r="D27" s="83" t="inlineStr">
        <is>
          <t>MAR</t>
        </is>
      </c>
      <c r="E27" s="83" t="inlineStr">
        <is>
          <t>APR</t>
        </is>
      </c>
      <c r="F27" s="83" t="inlineStr">
        <is>
          <t>MAY</t>
        </is>
      </c>
      <c r="G27" s="83" t="inlineStr">
        <is>
          <t>JUN</t>
        </is>
      </c>
      <c r="H27" s="83" t="inlineStr">
        <is>
          <t>JUL</t>
        </is>
      </c>
      <c r="I27" s="83" t="inlineStr">
        <is>
          <t>AUG</t>
        </is>
      </c>
      <c r="J27" s="83" t="inlineStr">
        <is>
          <t>SEP</t>
        </is>
      </c>
      <c r="K27" s="83" t="inlineStr">
        <is>
          <t>OCT</t>
        </is>
      </c>
      <c r="L27" s="83" t="inlineStr">
        <is>
          <t>NOV</t>
        </is>
      </c>
      <c r="M27" s="83" t="inlineStr">
        <is>
          <t>DEC</t>
        </is>
      </c>
      <c r="N27" s="83" t="inlineStr">
        <is>
          <t>YEARLY</t>
        </is>
      </c>
    </row>
    <row r="28" ht="14.25" customHeight="1" s="137">
      <c r="A28" s="122" t="inlineStr">
        <is>
          <t>Art Sales</t>
        </is>
      </c>
      <c r="B28" s="88" t="n"/>
      <c r="C28" s="88" t="n"/>
      <c r="D28" s="88" t="n"/>
      <c r="E28" s="88" t="n"/>
      <c r="F28" s="88" t="n"/>
      <c r="G28" s="88" t="n"/>
      <c r="H28" s="88" t="n"/>
      <c r="I28" s="88" t="n"/>
      <c r="J28" s="88" t="n"/>
      <c r="K28" s="88" t="n"/>
      <c r="L28" s="88" t="n"/>
      <c r="M28" s="88" t="n"/>
      <c r="N28" s="88" t="n">
        <v>26294.06</v>
      </c>
    </row>
    <row r="29" ht="14.25" customHeight="1" s="137">
      <c r="A29" s="122" t="inlineStr">
        <is>
          <t>Consultant</t>
        </is>
      </c>
      <c r="N29" s="122">
        <f>SUM(B29:M29)</f>
        <v/>
      </c>
    </row>
    <row r="30" ht="14.25" customHeight="1" s="137">
      <c r="A30" s="122" t="inlineStr">
        <is>
          <t>Total</t>
        </is>
      </c>
      <c r="B30" s="88">
        <f>SUM(B28:B29)</f>
        <v/>
      </c>
      <c r="C30" s="88">
        <f>SUM(C28:C29)</f>
        <v/>
      </c>
      <c r="D30" s="88">
        <f>SUM(D28:D29)</f>
        <v/>
      </c>
      <c r="E30" s="88">
        <f>SUM(E28:E29)</f>
        <v/>
      </c>
      <c r="F30" s="88">
        <f>SUM(F28:F29)</f>
        <v/>
      </c>
      <c r="G30" s="88">
        <f>SUM(G28:G29)</f>
        <v/>
      </c>
      <c r="H30" s="88">
        <f>SUM(H28:H29)</f>
        <v/>
      </c>
      <c r="I30" s="88">
        <f>SUM(I28:I29)</f>
        <v/>
      </c>
      <c r="J30" s="88">
        <f>SUM(J28:J29)</f>
        <v/>
      </c>
      <c r="K30" s="88">
        <f>SUM(K28:K29)</f>
        <v/>
      </c>
      <c r="L30" s="88">
        <f>SUM(L28:L29)</f>
        <v/>
      </c>
      <c r="M30" s="88">
        <f>SUM(M28:M29)</f>
        <v/>
      </c>
      <c r="N30" s="88">
        <f>SUM(N28:N29)</f>
        <v/>
      </c>
    </row>
    <row r="31" ht="14.25" customHeight="1" s="137">
      <c r="B31" s="88" t="n"/>
      <c r="C31" s="88" t="n"/>
      <c r="D31" s="88" t="n"/>
      <c r="E31" s="88" t="n"/>
      <c r="F31" s="88" t="n"/>
      <c r="G31" s="88" t="n"/>
      <c r="H31" s="88" t="n"/>
      <c r="I31" s="88" t="n"/>
      <c r="J31" s="88" t="n"/>
      <c r="K31" s="88" t="n"/>
      <c r="L31" s="88" t="n"/>
      <c r="M31" s="88" t="n"/>
      <c r="N31" s="88" t="n"/>
    </row>
    <row r="32" ht="14.25" customHeight="1" s="137">
      <c r="A32" s="85" t="inlineStr">
        <is>
          <t>EXPENSES</t>
        </is>
      </c>
      <c r="B32" s="83" t="inlineStr">
        <is>
          <t>JAN</t>
        </is>
      </c>
      <c r="C32" s="83" t="inlineStr">
        <is>
          <t>FEB</t>
        </is>
      </c>
      <c r="D32" s="83" t="inlineStr">
        <is>
          <t>MAR</t>
        </is>
      </c>
      <c r="E32" s="83" t="inlineStr">
        <is>
          <t>APR</t>
        </is>
      </c>
      <c r="F32" s="83" t="inlineStr">
        <is>
          <t>MAY</t>
        </is>
      </c>
      <c r="G32" s="83" t="inlineStr">
        <is>
          <t>JUN</t>
        </is>
      </c>
      <c r="H32" s="83" t="inlineStr">
        <is>
          <t>JUL</t>
        </is>
      </c>
      <c r="I32" s="83" t="inlineStr">
        <is>
          <t>AUG</t>
        </is>
      </c>
      <c r="J32" s="83" t="inlineStr">
        <is>
          <t>SEP</t>
        </is>
      </c>
      <c r="K32" s="83" t="inlineStr">
        <is>
          <t>OCT</t>
        </is>
      </c>
      <c r="L32" s="83" t="inlineStr">
        <is>
          <t>NOV</t>
        </is>
      </c>
      <c r="M32" s="83" t="inlineStr">
        <is>
          <t>DEC</t>
        </is>
      </c>
      <c r="N32" s="83" t="inlineStr">
        <is>
          <t>YEARLY</t>
        </is>
      </c>
    </row>
    <row r="33" ht="14.25" customHeight="1" s="137">
      <c r="A33" s="122" t="inlineStr">
        <is>
          <t>Supplies (office and operating)</t>
        </is>
      </c>
      <c r="B33" s="88" t="n">
        <v>13.59</v>
      </c>
      <c r="C33" s="88" t="n">
        <v>5.94</v>
      </c>
      <c r="D33" s="88" t="n">
        <v>31.89</v>
      </c>
      <c r="E33" s="88" t="n"/>
      <c r="F33" s="88" t="n"/>
      <c r="G33" s="88" t="n"/>
      <c r="H33" s="88" t="n"/>
      <c r="I33" s="88" t="n"/>
      <c r="J33" s="88" t="n"/>
      <c r="K33" s="88" t="n"/>
      <c r="L33" s="88" t="n"/>
      <c r="M33" s="88" t="n"/>
      <c r="N33" s="88">
        <f>SUM(B33:M33)</f>
        <v/>
      </c>
    </row>
    <row r="34" ht="14.25" customHeight="1" s="137">
      <c r="A34" s="122" t="inlineStr">
        <is>
          <t>Office Construction</t>
        </is>
      </c>
      <c r="B34" s="88" t="n"/>
      <c r="C34" s="88" t="n"/>
      <c r="D34" s="88" t="n"/>
      <c r="E34" s="88" t="n"/>
      <c r="F34" s="88" t="n"/>
      <c r="G34" s="88" t="n"/>
      <c r="H34" s="88" t="n"/>
      <c r="I34" s="88" t="n"/>
      <c r="J34" s="88" t="n"/>
      <c r="K34" s="88" t="n"/>
      <c r="L34" s="88" t="n"/>
      <c r="M34" s="88" t="n"/>
      <c r="N34" s="88">
        <f>SUM(B34:M34)</f>
        <v/>
      </c>
    </row>
    <row r="35" ht="14.25" customHeight="1" s="137">
      <c r="A35" s="122" t="inlineStr">
        <is>
          <t xml:space="preserve">Office Interior </t>
        </is>
      </c>
      <c r="B35" s="88" t="n"/>
      <c r="C35" s="88" t="n"/>
      <c r="D35" s="88" t="n"/>
      <c r="E35" s="88" t="n"/>
      <c r="F35" s="88" t="n"/>
      <c r="G35" s="88" t="n"/>
      <c r="H35" s="88" t="n"/>
      <c r="I35" s="88" t="n"/>
      <c r="J35" s="88" t="n"/>
      <c r="K35" s="88" t="n"/>
      <c r="L35" s="88" t="n"/>
      <c r="M35" s="88" t="n"/>
      <c r="N35" s="88">
        <f>SUM(B35:M35)</f>
        <v/>
      </c>
    </row>
    <row r="36" ht="14.25" customHeight="1" s="137">
      <c r="A36" s="122" t="inlineStr">
        <is>
          <t>Office Furniture</t>
        </is>
      </c>
      <c r="B36" s="88" t="n"/>
      <c r="C36" s="88" t="n"/>
      <c r="D36" s="88" t="n"/>
      <c r="E36" s="88" t="n"/>
      <c r="F36" s="88" t="n"/>
      <c r="G36" s="88" t="n">
        <v>263.98</v>
      </c>
      <c r="H36" s="88" t="n">
        <v>165</v>
      </c>
      <c r="I36" s="88" t="n"/>
      <c r="J36" s="88" t="n"/>
      <c r="K36" s="88" t="n"/>
      <c r="L36" s="88" t="n"/>
      <c r="M36" s="88" t="n"/>
      <c r="N36" s="88">
        <f>SUM(B36:M36)</f>
        <v/>
      </c>
    </row>
    <row r="37" ht="14.25" customHeight="1" s="137">
      <c r="A37" s="122" t="inlineStr">
        <is>
          <t>Repairs and maintenance</t>
        </is>
      </c>
      <c r="B37" s="88" t="n"/>
      <c r="C37" s="88" t="n"/>
      <c r="D37" s="88" t="n"/>
      <c r="E37" s="88" t="n"/>
      <c r="F37" s="88" t="n"/>
      <c r="G37" s="88" t="n"/>
      <c r="H37" s="88" t="n"/>
      <c r="I37" s="88" t="n"/>
      <c r="J37" s="88" t="n"/>
      <c r="K37" s="88" t="n"/>
      <c r="L37" s="88" t="n"/>
      <c r="M37" s="88" t="n"/>
      <c r="N37" s="88">
        <f>SUM(B37:M37)</f>
        <v/>
      </c>
    </row>
    <row r="38" ht="14.25" customHeight="1" s="137">
      <c r="A38" s="122" t="inlineStr">
        <is>
          <t>Advertising</t>
        </is>
      </c>
      <c r="B38" s="88" t="n"/>
      <c r="C38" s="88" t="n"/>
      <c r="D38" s="88" t="n">
        <v>60</v>
      </c>
      <c r="E38" s="88" t="n">
        <v>164.86</v>
      </c>
      <c r="F38" s="88" t="n">
        <v>34.91</v>
      </c>
      <c r="G38" s="88" t="n"/>
      <c r="H38" s="88" t="n"/>
      <c r="I38" s="88" t="n"/>
      <c r="J38" s="88" t="n"/>
      <c r="K38" s="88" t="n"/>
      <c r="L38" s="88" t="n"/>
      <c r="M38" s="88" t="n"/>
      <c r="N38" s="88">
        <f>SUM(B38:M38)</f>
        <v/>
      </c>
    </row>
    <row r="39" ht="14.25" customHeight="1" s="137">
      <c r="A39" s="122" t="inlineStr">
        <is>
          <t>Travel, Meals, and Entertainment</t>
        </is>
      </c>
      <c r="B39" s="88" t="n"/>
      <c r="C39" s="88" t="n">
        <v>1169.05</v>
      </c>
      <c r="D39" s="88" t="n"/>
      <c r="E39" s="88" t="n">
        <v>1613.5</v>
      </c>
      <c r="F39" s="88" t="n"/>
      <c r="G39" s="88" t="n"/>
      <c r="H39" s="88" t="n"/>
      <c r="I39" s="88" t="n"/>
      <c r="J39" s="88" t="n">
        <v>923.42</v>
      </c>
      <c r="K39" s="88" t="n"/>
      <c r="L39" s="88" t="n">
        <v>1059.45</v>
      </c>
      <c r="M39" s="88" t="n"/>
      <c r="N39" s="88">
        <f>SUM(B39:M39)</f>
        <v/>
      </c>
    </row>
    <row r="40" ht="14.25" customHeight="1" s="137">
      <c r="A40" s="122" t="inlineStr">
        <is>
          <t>Accounting and legal</t>
        </is>
      </c>
      <c r="B40" s="88" t="n"/>
      <c r="C40" s="88" t="n"/>
      <c r="D40" s="88" t="n"/>
      <c r="E40" s="88" t="n"/>
      <c r="F40" s="88" t="n"/>
      <c r="G40" s="88" t="n"/>
      <c r="H40" s="88" t="n"/>
      <c r="I40" s="88" t="n"/>
      <c r="J40" s="88" t="n"/>
      <c r="K40" s="88" t="n"/>
      <c r="L40" s="88" t="n"/>
      <c r="M40" s="88" t="n"/>
      <c r="N40" s="88">
        <f>SUM(B40:M40)</f>
        <v/>
      </c>
    </row>
    <row r="41" ht="14.25" customHeight="1" s="137">
      <c r="A41" s="122" t="inlineStr">
        <is>
          <t>Cellphone and Internet</t>
        </is>
      </c>
      <c r="B41" s="88" t="n">
        <v>77.66</v>
      </c>
      <c r="C41" s="88" t="n">
        <v>77.45</v>
      </c>
      <c r="D41" s="88" t="n">
        <v>77.45</v>
      </c>
      <c r="E41" s="88" t="n">
        <v>77.43000000000001</v>
      </c>
      <c r="F41" s="88" t="n">
        <v>77.43000000000001</v>
      </c>
      <c r="G41" s="88" t="n">
        <v>162.86</v>
      </c>
      <c r="H41" s="88" t="n">
        <v>267.46</v>
      </c>
      <c r="I41" s="88" t="n">
        <v>88.54000000000001</v>
      </c>
      <c r="J41" s="88" t="n">
        <v>88.72</v>
      </c>
      <c r="K41" s="88" t="n">
        <v>93.61</v>
      </c>
      <c r="L41" s="88" t="n">
        <v>111.83</v>
      </c>
      <c r="M41" s="88" t="n">
        <v>106.67</v>
      </c>
      <c r="N41" s="88">
        <f>SUM(B41:M41)</f>
        <v/>
      </c>
    </row>
    <row r="42" ht="14.25" customHeight="1" s="137">
      <c r="A42" s="122" t="inlineStr">
        <is>
          <t>Software Fees</t>
        </is>
      </c>
      <c r="B42" s="88" t="n">
        <v>30</v>
      </c>
      <c r="C42" s="88" t="n">
        <v>30</v>
      </c>
      <c r="D42" s="88" t="n">
        <v>30</v>
      </c>
      <c r="E42" s="88" t="n">
        <v>30</v>
      </c>
      <c r="F42" s="88" t="n">
        <v>30</v>
      </c>
      <c r="G42" s="88" t="n">
        <v>30</v>
      </c>
      <c r="H42" s="88" t="n">
        <v>30</v>
      </c>
      <c r="I42" s="88" t="n">
        <v>30</v>
      </c>
      <c r="J42" s="88" t="n">
        <v>30</v>
      </c>
      <c r="K42" s="88" t="n">
        <v>50</v>
      </c>
      <c r="L42" s="88" t="n">
        <v>50</v>
      </c>
      <c r="M42" s="88" t="n">
        <v>50</v>
      </c>
      <c r="N42" s="88">
        <f>SUM(B42:M42)</f>
        <v/>
      </c>
    </row>
    <row r="43" ht="14.25" customHeight="1" s="137">
      <c r="A43" s="122" t="inlineStr">
        <is>
          <t>Tech</t>
        </is>
      </c>
      <c r="B43" s="88" t="n"/>
      <c r="C43" s="88" t="n"/>
      <c r="D43" s="88" t="n"/>
      <c r="E43" s="88" t="n">
        <v>20</v>
      </c>
      <c r="F43" s="88" t="n">
        <v>192</v>
      </c>
      <c r="G43" s="88" t="n"/>
      <c r="H43" s="88" t="n"/>
      <c r="I43" s="88" t="n"/>
      <c r="J43" s="88" t="n"/>
      <c r="K43" s="88" t="n"/>
      <c r="L43" s="88" t="n">
        <v>628.59</v>
      </c>
      <c r="M43" s="88" t="n"/>
      <c r="N43" s="88">
        <f>SUM(B43:M43)</f>
        <v/>
      </c>
    </row>
    <row r="44" ht="14.25" customHeight="1" s="137">
      <c r="A44" s="122" t="inlineStr">
        <is>
          <t>Consultant Fees</t>
        </is>
      </c>
      <c r="B44" s="88" t="n"/>
      <c r="C44" s="88" t="n"/>
      <c r="D44" s="88" t="n"/>
      <c r="E44" s="88" t="n"/>
      <c r="F44" s="88" t="n"/>
      <c r="G44" s="88" t="n"/>
      <c r="H44" s="88" t="n"/>
      <c r="I44" s="88" t="n"/>
      <c r="J44" s="88" t="n">
        <v>316.5</v>
      </c>
      <c r="K44" s="88" t="n"/>
      <c r="L44" s="88" t="n"/>
      <c r="M44" s="88" t="n"/>
      <c r="N44" s="88">
        <f>SUM(B44:M44)</f>
        <v/>
      </c>
    </row>
    <row r="45" ht="14.25" customHeight="1" s="137">
      <c r="A45" s="122" t="inlineStr">
        <is>
          <t>Art Library</t>
        </is>
      </c>
      <c r="B45" s="88" t="n"/>
      <c r="C45" s="88" t="n"/>
      <c r="D45" s="88" t="n"/>
      <c r="E45" s="88" t="n"/>
      <c r="F45" s="88" t="n"/>
      <c r="G45" s="88" t="n"/>
      <c r="H45" s="88" t="n"/>
      <c r="I45" s="88" t="n"/>
      <c r="J45" s="88" t="n"/>
      <c r="K45" s="88" t="n"/>
      <c r="L45" s="88" t="n"/>
      <c r="M45" s="88" t="n">
        <v>197.44</v>
      </c>
      <c r="N45" s="88">
        <f>SUM(B45:M45)</f>
        <v/>
      </c>
    </row>
    <row r="46" ht="14.25" customHeight="1" s="137">
      <c r="A46" s="122" t="inlineStr">
        <is>
          <t>Utilities</t>
        </is>
      </c>
      <c r="B46" s="88" t="n"/>
      <c r="C46" s="88" t="n"/>
      <c r="D46" s="88" t="n"/>
      <c r="E46" s="88" t="n"/>
      <c r="F46" s="88" t="n"/>
      <c r="G46" s="88" t="n"/>
      <c r="H46" s="88" t="n"/>
      <c r="I46" s="88" t="n"/>
      <c r="J46" s="88" t="n"/>
      <c r="K46" s="88" t="n"/>
      <c r="L46" s="88" t="n"/>
      <c r="M46" s="88" t="n"/>
      <c r="N46" s="88">
        <f>SUM(B46:M46)</f>
        <v/>
      </c>
    </row>
    <row r="47" ht="14.25" customHeight="1" s="137">
      <c r="A47" s="122" t="inlineStr">
        <is>
          <t>Insurance</t>
        </is>
      </c>
      <c r="B47" s="88" t="n"/>
      <c r="C47" s="88" t="n"/>
      <c r="D47" s="88" t="n"/>
      <c r="E47" s="88" t="n"/>
      <c r="F47" s="88" t="n"/>
      <c r="G47" s="88" t="n"/>
      <c r="H47" s="88" t="n"/>
      <c r="I47" s="88" t="n"/>
      <c r="J47" s="88" t="n"/>
      <c r="K47" s="88" t="n"/>
      <c r="L47" s="88" t="n"/>
      <c r="M47" s="88" t="n"/>
      <c r="N47" s="88">
        <f>SUM(B47:M47)</f>
        <v/>
      </c>
    </row>
    <row r="48" ht="14.25" customHeight="1" s="137">
      <c r="A48" s="5" t="inlineStr">
        <is>
          <t>TOTAL EXPENSES</t>
        </is>
      </c>
      <c r="B48" s="86">
        <f>SUM(B33:B47)</f>
        <v/>
      </c>
      <c r="C48" s="86">
        <f>SUM(C33:C47)</f>
        <v/>
      </c>
      <c r="D48" s="86">
        <f>SUM(D33:D47)</f>
        <v/>
      </c>
      <c r="E48" s="86">
        <f>SUM(E33:E47)</f>
        <v/>
      </c>
      <c r="F48" s="86">
        <f>SUM(F33:F47)</f>
        <v/>
      </c>
      <c r="G48" s="86">
        <f>SUM(G33:G47)</f>
        <v/>
      </c>
      <c r="H48" s="86">
        <f>SUM(H33:H47)</f>
        <v/>
      </c>
      <c r="I48" s="86">
        <f>SUM(I33:I47)</f>
        <v/>
      </c>
      <c r="J48" s="86">
        <f>SUM(J33:J47)</f>
        <v/>
      </c>
      <c r="K48" s="86">
        <f>SUM(K33:K47)</f>
        <v/>
      </c>
      <c r="L48" s="86">
        <f>SUM(L33:L47)</f>
        <v/>
      </c>
      <c r="M48" s="86">
        <f>SUM(M33:M47)</f>
        <v/>
      </c>
      <c r="N48" s="86">
        <f>SUM(N33:N47)</f>
        <v/>
      </c>
    </row>
    <row r="49" ht="14.25" customHeight="1" s="137"/>
    <row r="50" ht="14.25" customHeight="1" s="137">
      <c r="A50" s="12" t="inlineStr">
        <is>
          <t>YEAR TO DATE LESS EXPENSES</t>
        </is>
      </c>
      <c r="B50" s="87">
        <f>SUM(B30-B48)</f>
        <v/>
      </c>
      <c r="C50" s="87">
        <f>SUM(C30-C48)</f>
        <v/>
      </c>
      <c r="D50" s="87">
        <f>SUM(D30-D48)</f>
        <v/>
      </c>
      <c r="E50" s="87">
        <f>SUM(E30-E48)</f>
        <v/>
      </c>
      <c r="F50" s="87">
        <f>SUM(F30-F48)</f>
        <v/>
      </c>
      <c r="G50" s="87">
        <f>SUM(G30-G48)</f>
        <v/>
      </c>
      <c r="H50" s="87">
        <f>SUM(H30-H48)</f>
        <v/>
      </c>
      <c r="I50" s="87">
        <f>SUM(I30-I48)</f>
        <v/>
      </c>
      <c r="J50" s="87">
        <f>SUM(J30-J48)</f>
        <v/>
      </c>
      <c r="K50" s="87">
        <f>SUM(K30-K48)</f>
        <v/>
      </c>
      <c r="L50" s="87">
        <f>SUM(L30-L48)</f>
        <v/>
      </c>
      <c r="M50" s="87">
        <f>SUM(M30-M48)</f>
        <v/>
      </c>
      <c r="N50" s="87">
        <f>SUM(N30-N48)</f>
        <v/>
      </c>
    </row>
    <row r="51" ht="14.25" customHeight="1" s="137">
      <c r="A51" s="151" t="n">
        <v>2025</v>
      </c>
    </row>
    <row r="52" ht="14.25" customHeight="1" s="137">
      <c r="A52" s="12" t="inlineStr">
        <is>
          <t>INCOME</t>
        </is>
      </c>
      <c r="B52" s="83" t="inlineStr">
        <is>
          <t>JAN</t>
        </is>
      </c>
      <c r="C52" s="83" t="inlineStr">
        <is>
          <t>FEB</t>
        </is>
      </c>
      <c r="D52" s="83" t="inlineStr">
        <is>
          <t>MAR</t>
        </is>
      </c>
      <c r="E52" s="83" t="inlineStr">
        <is>
          <t>APR</t>
        </is>
      </c>
      <c r="F52" s="83" t="inlineStr">
        <is>
          <t>MAY</t>
        </is>
      </c>
      <c r="G52" s="83" t="inlineStr">
        <is>
          <t>JUN</t>
        </is>
      </c>
      <c r="H52" s="83" t="inlineStr">
        <is>
          <t>JUL</t>
        </is>
      </c>
      <c r="I52" s="83" t="inlineStr">
        <is>
          <t>AUG</t>
        </is>
      </c>
      <c r="J52" s="83" t="inlineStr">
        <is>
          <t>SEP</t>
        </is>
      </c>
      <c r="K52" s="83" t="inlineStr">
        <is>
          <t>OCT</t>
        </is>
      </c>
      <c r="L52" s="83" t="inlineStr">
        <is>
          <t>NOV</t>
        </is>
      </c>
      <c r="M52" s="83" t="inlineStr">
        <is>
          <t>DEC</t>
        </is>
      </c>
      <c r="N52" s="83" t="inlineStr">
        <is>
          <t>YEARLY</t>
        </is>
      </c>
    </row>
    <row r="53" ht="14.25" customHeight="1" s="137">
      <c r="A53" s="122" t="inlineStr">
        <is>
          <t>Art Sales</t>
        </is>
      </c>
      <c r="B53" s="192" t="n">
        <v>14000</v>
      </c>
      <c r="C53" s="192" t="n">
        <v>135000</v>
      </c>
      <c r="D53" s="179" t="n">
        <v>0</v>
      </c>
      <c r="E53" s="179" t="n">
        <v>0</v>
      </c>
      <c r="F53" s="179" t="n">
        <v>0</v>
      </c>
      <c r="G53" s="179" t="n">
        <v>0</v>
      </c>
      <c r="H53" s="179" t="n">
        <v>0</v>
      </c>
      <c r="I53" s="179" t="n">
        <v>0</v>
      </c>
      <c r="J53" s="179" t="n">
        <v>0</v>
      </c>
      <c r="K53" s="179" t="n">
        <v>0</v>
      </c>
      <c r="L53" s="179" t="n">
        <v>0</v>
      </c>
      <c r="M53" s="179" t="n">
        <v>0</v>
      </c>
      <c r="N53" s="88">
        <f>SUM(B53:M53)</f>
        <v/>
      </c>
    </row>
    <row r="54" ht="14.25" customHeight="1" s="137">
      <c r="A54" s="122" t="inlineStr">
        <is>
          <t>Consultant</t>
        </is>
      </c>
      <c r="B54" s="179" t="n">
        <v>0</v>
      </c>
      <c r="C54" s="179" t="n">
        <v>0</v>
      </c>
      <c r="D54" s="179" t="n">
        <v>0</v>
      </c>
      <c r="E54" s="179" t="n">
        <v>0</v>
      </c>
      <c r="F54" s="179" t="n">
        <v>0</v>
      </c>
      <c r="G54" s="179" t="n">
        <v>0</v>
      </c>
      <c r="H54" s="179" t="n">
        <v>0</v>
      </c>
      <c r="I54" s="179" t="n">
        <v>0</v>
      </c>
      <c r="J54" s="179" t="n">
        <v>0</v>
      </c>
      <c r="K54" s="179" t="n">
        <v>0</v>
      </c>
      <c r="L54" s="179" t="n">
        <v>0</v>
      </c>
      <c r="M54" s="179" t="n">
        <v>0</v>
      </c>
      <c r="N54" s="193">
        <f>SUM(B54:M54)</f>
        <v/>
      </c>
    </row>
    <row r="55" ht="14.25" customHeight="1" s="137">
      <c r="A55" s="122" t="inlineStr">
        <is>
          <t>Total</t>
        </is>
      </c>
      <c r="B55" s="88">
        <f>SUM(B53:B54)</f>
        <v/>
      </c>
      <c r="C55" s="88">
        <f>SUM(C53:C54)</f>
        <v/>
      </c>
      <c r="D55" s="88">
        <f>SUM(D53:D54)</f>
        <v/>
      </c>
      <c r="E55" s="88">
        <f>SUM(E53:E54)</f>
        <v/>
      </c>
      <c r="F55" s="88">
        <f>SUM(F53:F54)</f>
        <v/>
      </c>
      <c r="G55" s="88">
        <f>SUM(G53:G54)</f>
        <v/>
      </c>
      <c r="H55" s="88">
        <f>SUM(H53:H54)</f>
        <v/>
      </c>
      <c r="I55" s="88">
        <f>SUM(I53:I54)</f>
        <v/>
      </c>
      <c r="J55" s="88">
        <f>SUM(J53:J54)</f>
        <v/>
      </c>
      <c r="K55" s="88">
        <f>SUM(K53:K54)</f>
        <v/>
      </c>
      <c r="L55" s="88">
        <f>SUM(L53:L54)</f>
        <v/>
      </c>
      <c r="M55" s="88">
        <f>SUM(M53:M54)</f>
        <v/>
      </c>
      <c r="N55" s="88">
        <f>SUM(N53:N54)</f>
        <v/>
      </c>
    </row>
    <row r="56" ht="14.25" customHeight="1" s="137">
      <c r="B56" s="88" t="n"/>
      <c r="C56" s="88" t="n"/>
      <c r="D56" s="88" t="n"/>
      <c r="E56" s="88" t="n"/>
      <c r="F56" s="88" t="n"/>
      <c r="G56" s="88" t="n"/>
      <c r="H56" s="88" t="n"/>
      <c r="I56" s="88" t="n"/>
      <c r="J56" s="88" t="n"/>
      <c r="K56" s="88" t="n"/>
      <c r="L56" s="88" t="n"/>
      <c r="M56" s="88" t="n"/>
      <c r="N56" s="88" t="n"/>
    </row>
    <row r="57" ht="14.25" customHeight="1" s="137">
      <c r="A57" s="85" t="inlineStr">
        <is>
          <t>EXPENSES</t>
        </is>
      </c>
      <c r="B57" s="83" t="inlineStr">
        <is>
          <t>JAN</t>
        </is>
      </c>
      <c r="C57" s="83" t="inlineStr">
        <is>
          <t>FEB</t>
        </is>
      </c>
      <c r="D57" s="83" t="inlineStr">
        <is>
          <t>MAR</t>
        </is>
      </c>
      <c r="E57" s="83" t="inlineStr">
        <is>
          <t>APR</t>
        </is>
      </c>
      <c r="F57" s="83" t="inlineStr">
        <is>
          <t>MAY</t>
        </is>
      </c>
      <c r="G57" s="83" t="inlineStr">
        <is>
          <t>JUN</t>
        </is>
      </c>
      <c r="H57" s="83" t="inlineStr">
        <is>
          <t>JUL</t>
        </is>
      </c>
      <c r="I57" s="83" t="inlineStr">
        <is>
          <t>AUG</t>
        </is>
      </c>
      <c r="J57" s="83" t="inlineStr">
        <is>
          <t>SEP</t>
        </is>
      </c>
      <c r="K57" s="83" t="inlineStr">
        <is>
          <t>OCT</t>
        </is>
      </c>
      <c r="L57" s="83" t="inlineStr">
        <is>
          <t>NOV</t>
        </is>
      </c>
      <c r="M57" s="83" t="inlineStr">
        <is>
          <t>DEC</t>
        </is>
      </c>
      <c r="N57" s="83" t="inlineStr">
        <is>
          <t>YEARLY</t>
        </is>
      </c>
    </row>
    <row r="58" ht="14.25" customHeight="1" s="137">
      <c r="A58" s="122" t="inlineStr">
        <is>
          <t>Supplies (office and operating)</t>
        </is>
      </c>
      <c r="B58" s="194" t="n">
        <v>0</v>
      </c>
      <c r="C58" s="194" t="n">
        <v>0</v>
      </c>
      <c r="D58" s="194" t="n">
        <v>0</v>
      </c>
      <c r="E58" s="88" t="n"/>
      <c r="F58" s="88" t="n"/>
      <c r="G58" s="88" t="n"/>
      <c r="H58" s="88" t="n"/>
      <c r="I58" s="88" t="n"/>
      <c r="J58" s="88" t="n"/>
      <c r="K58" s="88" t="n"/>
      <c r="L58" s="88" t="n"/>
      <c r="M58" s="88" t="n"/>
      <c r="N58" s="88">
        <f>SUM(B58:M58)</f>
        <v/>
      </c>
    </row>
    <row r="59" ht="14.25" customHeight="1" s="137">
      <c r="A59" s="122" t="inlineStr">
        <is>
          <t>Office Construction</t>
        </is>
      </c>
      <c r="B59" s="88" t="n"/>
      <c r="C59" s="88" t="n"/>
      <c r="D59" s="88" t="n"/>
      <c r="E59" s="88" t="n"/>
      <c r="F59" s="88" t="n"/>
      <c r="G59" s="88" t="n"/>
      <c r="H59" s="88" t="n"/>
      <c r="I59" s="88" t="n"/>
      <c r="J59" s="88" t="n"/>
      <c r="K59" s="88" t="n"/>
      <c r="L59" s="88" t="n"/>
      <c r="M59" s="88" t="n"/>
      <c r="N59" s="88">
        <f>SUM(B59:M59)</f>
        <v/>
      </c>
    </row>
    <row r="60" ht="14.25" customHeight="1" s="137">
      <c r="A60" s="122" t="inlineStr">
        <is>
          <t xml:space="preserve">Office Interior </t>
        </is>
      </c>
      <c r="B60" s="88" t="n"/>
      <c r="C60" s="88" t="n"/>
      <c r="D60" s="88" t="n"/>
      <c r="E60" s="88" t="n"/>
      <c r="F60" s="88" t="n"/>
      <c r="G60" s="88" t="n"/>
      <c r="H60" s="88" t="n"/>
      <c r="I60" s="88" t="n"/>
      <c r="J60" s="88" t="n"/>
      <c r="K60" s="88" t="n"/>
      <c r="L60" s="88" t="n"/>
      <c r="M60" s="88" t="n"/>
      <c r="N60" s="88">
        <f>SUM(B60:M60)</f>
        <v/>
      </c>
    </row>
    <row r="61" ht="14.25" customHeight="1" s="137">
      <c r="A61" s="122" t="inlineStr">
        <is>
          <t>Office Furniture</t>
        </is>
      </c>
      <c r="B61" s="88" t="n"/>
      <c r="C61" s="88" t="n"/>
      <c r="D61" s="88" t="n"/>
      <c r="E61" s="88" t="n"/>
      <c r="F61" s="88" t="n"/>
      <c r="G61" s="194" t="n">
        <v>0</v>
      </c>
      <c r="H61" s="194" t="n">
        <v>0</v>
      </c>
      <c r="I61" s="88" t="n"/>
      <c r="J61" s="88" t="n"/>
      <c r="K61" s="88" t="n"/>
      <c r="L61" s="88" t="n"/>
      <c r="M61" s="88" t="n"/>
      <c r="N61" s="88">
        <f>SUM(B61:M61)</f>
        <v/>
      </c>
    </row>
    <row r="62" ht="14.25" customHeight="1" s="137">
      <c r="A62" s="122" t="inlineStr">
        <is>
          <t>Repairs and maintenance</t>
        </is>
      </c>
      <c r="B62" s="88" t="n"/>
      <c r="C62" s="88" t="n"/>
      <c r="D62" s="88" t="n"/>
      <c r="E62" s="88" t="n"/>
      <c r="F62" s="88" t="n"/>
      <c r="G62" s="88" t="n"/>
      <c r="H62" s="88" t="n"/>
      <c r="I62" s="88" t="n"/>
      <c r="J62" s="88" t="n"/>
      <c r="K62" s="88" t="n"/>
      <c r="L62" s="88" t="n"/>
      <c r="M62" s="88" t="n"/>
      <c r="N62" s="88">
        <f>SUM(B62:M62)</f>
        <v/>
      </c>
    </row>
    <row r="63" ht="14.25" customHeight="1" s="137">
      <c r="A63" s="122" t="inlineStr">
        <is>
          <t>Advertising</t>
        </is>
      </c>
      <c r="B63" s="88" t="n">
        <v>0</v>
      </c>
      <c r="C63" s="88" t="n">
        <v>0</v>
      </c>
      <c r="D63" s="152" t="n">
        <v>755.98</v>
      </c>
      <c r="E63" s="88" t="n">
        <v>0</v>
      </c>
      <c r="F63" s="152" t="n">
        <v>199</v>
      </c>
      <c r="G63" s="88" t="n">
        <v>0</v>
      </c>
      <c r="H63" s="88" t="n">
        <v>0</v>
      </c>
      <c r="I63" s="88" t="n">
        <v>0</v>
      </c>
      <c r="J63" s="88" t="n">
        <v>0</v>
      </c>
      <c r="K63" s="88" t="n">
        <v>0</v>
      </c>
      <c r="L63" s="88" t="n">
        <v>0</v>
      </c>
      <c r="M63" s="88" t="n">
        <v>0</v>
      </c>
      <c r="N63" s="88">
        <f>SUM(B63:M63)</f>
        <v/>
      </c>
    </row>
    <row r="64" ht="14.25" customHeight="1" s="137">
      <c r="A64" s="122" t="inlineStr">
        <is>
          <t>Travel, Meals, and Entertainment</t>
        </is>
      </c>
      <c r="B64" s="88" t="n">
        <v>0</v>
      </c>
      <c r="C64" s="152" t="n">
        <v>20</v>
      </c>
      <c r="D64" s="88" t="n">
        <v>0</v>
      </c>
      <c r="E64" s="88" t="n">
        <v>0</v>
      </c>
      <c r="F64" s="152" t="n">
        <v>20</v>
      </c>
      <c r="G64" s="88" t="n">
        <v>0</v>
      </c>
      <c r="H64" s="152" t="n">
        <v>20</v>
      </c>
      <c r="I64" s="152" t="n">
        <v>20</v>
      </c>
      <c r="J64" s="88" t="n">
        <v>0</v>
      </c>
      <c r="K64" s="152" t="n">
        <v>20</v>
      </c>
      <c r="L64" s="152" t="n">
        <v>53</v>
      </c>
      <c r="M64" s="88" t="n">
        <v>0</v>
      </c>
      <c r="N64" s="88">
        <f>SUM(B64:M64)</f>
        <v/>
      </c>
    </row>
    <row r="65" ht="14.25" customHeight="1" s="137">
      <c r="A65" s="122" t="inlineStr">
        <is>
          <t>Accounting and legal</t>
        </is>
      </c>
      <c r="B65" s="88" t="n"/>
      <c r="C65" s="88" t="n"/>
      <c r="D65" s="88" t="n"/>
      <c r="E65" s="88" t="n"/>
      <c r="F65" s="88" t="n"/>
      <c r="G65" s="88" t="n"/>
      <c r="H65" s="88" t="n"/>
      <c r="I65" s="88" t="n"/>
      <c r="J65" s="88" t="n"/>
      <c r="K65" s="88" t="n"/>
      <c r="L65" s="88" t="n"/>
      <c r="M65" s="88" t="n"/>
      <c r="N65" s="88">
        <f>SUM(B65:M65)</f>
        <v/>
      </c>
    </row>
    <row r="66" ht="14.25" customHeight="1" s="137">
      <c r="A66" s="122" t="inlineStr">
        <is>
          <t>Cellphone and Internet</t>
        </is>
      </c>
      <c r="B66" s="152" t="n">
        <v>51.12</v>
      </c>
      <c r="C66" s="152" t="n">
        <v>93.26000000000001</v>
      </c>
      <c r="D66" s="152" t="n">
        <v>98.26000000000001</v>
      </c>
      <c r="E66" s="152" t="n">
        <v>98.26000000000001</v>
      </c>
      <c r="F66" s="152" t="n">
        <v>98.26000000000001</v>
      </c>
      <c r="G66" s="152" t="n">
        <v>98.26000000000001</v>
      </c>
      <c r="H66" s="152" t="n">
        <v>98.23</v>
      </c>
      <c r="I66" s="152" t="n">
        <v>98.34</v>
      </c>
      <c r="J66" s="152" t="n">
        <v>98.34</v>
      </c>
      <c r="K66" s="152" t="n">
        <v>98.39</v>
      </c>
      <c r="L66" s="152" t="n">
        <v>98.39</v>
      </c>
      <c r="M66" s="152" t="n">
        <v>97.91</v>
      </c>
      <c r="N66" s="88">
        <f>SUM(B66:M66)</f>
        <v/>
      </c>
    </row>
    <row r="67" ht="14.25" customHeight="1" s="137">
      <c r="A67" s="122" t="inlineStr">
        <is>
          <t>Software Fees</t>
        </is>
      </c>
      <c r="B67" s="152" t="n">
        <v>22.17</v>
      </c>
      <c r="C67" s="152" t="n">
        <v>22.17</v>
      </c>
      <c r="D67" s="152" t="n">
        <v>22.17</v>
      </c>
      <c r="E67" s="152" t="n">
        <v>22.17</v>
      </c>
      <c r="F67" s="152" t="n">
        <v>22.17</v>
      </c>
      <c r="G67" s="152" t="n">
        <v>22.17</v>
      </c>
      <c r="H67" s="152" t="n">
        <v>22.17</v>
      </c>
      <c r="I67" s="152" t="n">
        <v>2.17</v>
      </c>
      <c r="J67" s="152" t="n">
        <v>57.17</v>
      </c>
      <c r="K67" s="152" t="n">
        <v>37.17</v>
      </c>
      <c r="L67" s="152" t="n">
        <v>17.17</v>
      </c>
      <c r="M67" s="152" t="n">
        <v>57.17</v>
      </c>
      <c r="N67" s="88">
        <f>SUM(B67:M67)</f>
        <v/>
      </c>
    </row>
    <row r="68" ht="14.25" customHeight="1" s="137">
      <c r="A68" s="122" t="inlineStr">
        <is>
          <t>Tech</t>
        </is>
      </c>
      <c r="B68" s="88" t="n">
        <v>0</v>
      </c>
      <c r="C68" s="88" t="n">
        <v>0</v>
      </c>
      <c r="D68" s="88" t="n">
        <v>0</v>
      </c>
      <c r="E68" s="152" t="n">
        <v>20</v>
      </c>
      <c r="F68" s="152" t="n">
        <v>192</v>
      </c>
      <c r="G68" s="88" t="n">
        <v>0</v>
      </c>
      <c r="H68" s="88" t="n">
        <v>0</v>
      </c>
      <c r="I68" s="88" t="n">
        <v>0</v>
      </c>
      <c r="J68" s="88" t="n">
        <v>0</v>
      </c>
      <c r="K68" s="88" t="n">
        <v>0</v>
      </c>
      <c r="L68" s="88" t="n">
        <v>0</v>
      </c>
      <c r="M68" s="88" t="n">
        <v>0</v>
      </c>
      <c r="N68" s="88">
        <f>SUM(B68:M68)</f>
        <v/>
      </c>
    </row>
    <row r="69" ht="14.25" customHeight="1" s="137">
      <c r="A69" s="122" t="inlineStr">
        <is>
          <t>Consultant Fees</t>
        </is>
      </c>
      <c r="B69" s="88" t="n"/>
      <c r="C69" s="88" t="n"/>
      <c r="D69" s="88" t="n"/>
      <c r="E69" s="88" t="n"/>
      <c r="F69" s="88" t="n"/>
      <c r="G69" s="88" t="n"/>
      <c r="H69" s="88" t="n"/>
      <c r="I69" s="88" t="n"/>
      <c r="J69" s="194" t="n">
        <v>0</v>
      </c>
      <c r="K69" s="88" t="n"/>
      <c r="L69" s="88" t="n"/>
      <c r="M69" s="88" t="n"/>
      <c r="N69" s="88">
        <f>SUM(B69:M69)</f>
        <v/>
      </c>
    </row>
    <row r="70" ht="14.25" customHeight="1" s="137">
      <c r="A70" s="122" t="inlineStr">
        <is>
          <t>Art Library</t>
        </is>
      </c>
      <c r="B70" s="152" t="n">
        <v>153.44</v>
      </c>
      <c r="C70" s="152" t="n">
        <v>78.47</v>
      </c>
      <c r="D70" s="88" t="n">
        <v>0</v>
      </c>
      <c r="E70" s="152" t="n">
        <v>63.69</v>
      </c>
      <c r="F70" s="88" t="n">
        <v>0</v>
      </c>
      <c r="G70" s="88" t="n">
        <v>0</v>
      </c>
      <c r="H70" s="88" t="n">
        <v>0</v>
      </c>
      <c r="I70" s="88" t="n">
        <v>0</v>
      </c>
      <c r="J70" s="88" t="n">
        <v>0</v>
      </c>
      <c r="K70" s="88" t="n">
        <v>0</v>
      </c>
      <c r="L70" s="88" t="n">
        <v>0</v>
      </c>
      <c r="M70" s="88" t="n">
        <v>0</v>
      </c>
      <c r="N70" s="88">
        <f>SUM(B70:M70)</f>
        <v/>
      </c>
    </row>
    <row r="71" ht="14.25" customHeight="1" s="137">
      <c r="A71" s="122" t="inlineStr">
        <is>
          <t>Utilities</t>
        </is>
      </c>
      <c r="B71" s="88" t="n"/>
      <c r="C71" s="88" t="n"/>
      <c r="D71" s="88" t="n"/>
      <c r="E71" s="88" t="n"/>
      <c r="F71" s="88" t="n"/>
      <c r="G71" s="88" t="n"/>
      <c r="H71" s="88" t="n"/>
      <c r="I71" s="88" t="n"/>
      <c r="J71" s="88" t="n"/>
      <c r="K71" s="88" t="n"/>
      <c r="L71" s="88" t="n"/>
      <c r="M71" s="88" t="n"/>
      <c r="N71" s="88">
        <f>SUM(B71:M71)</f>
        <v/>
      </c>
    </row>
    <row r="72" ht="14.25" customHeight="1" s="137">
      <c r="A72" s="122" t="inlineStr">
        <is>
          <t>Insurance</t>
        </is>
      </c>
      <c r="B72" s="88" t="n"/>
      <c r="C72" s="88" t="n"/>
      <c r="D72" s="88" t="n"/>
      <c r="E72" s="88" t="n"/>
      <c r="F72" s="88" t="n"/>
      <c r="G72" s="88" t="n"/>
      <c r="H72" s="88" t="n"/>
      <c r="I72" s="88" t="n"/>
      <c r="J72" s="88" t="n"/>
      <c r="K72" s="88" t="n"/>
      <c r="L72" s="88" t="n"/>
      <c r="M72" s="88" t="n"/>
      <c r="N72" s="88">
        <f>SUM(B72:M72)</f>
        <v/>
      </c>
    </row>
    <row r="73" ht="14.25" customHeight="1" s="137">
      <c r="A73" s="5" t="inlineStr">
        <is>
          <t>TOTAL EXPENSES</t>
        </is>
      </c>
      <c r="B73" s="86">
        <f>SUM(B58:B72)</f>
        <v/>
      </c>
      <c r="C73" s="86">
        <f>SUM(C58:C72)</f>
        <v/>
      </c>
      <c r="D73" s="86">
        <f>SUM(D58:D72)</f>
        <v/>
      </c>
      <c r="E73" s="86">
        <f>SUM(E58:E72)</f>
        <v/>
      </c>
      <c r="F73" s="86">
        <f>SUM(F58:F72)</f>
        <v/>
      </c>
      <c r="G73" s="86">
        <f>SUM(G58:G72)</f>
        <v/>
      </c>
      <c r="H73" s="86">
        <f>SUM(H58:H72)</f>
        <v/>
      </c>
      <c r="I73" s="86">
        <f>SUM(I58:I72)</f>
        <v/>
      </c>
      <c r="J73" s="86">
        <f>SUM(J58:J72)</f>
        <v/>
      </c>
      <c r="K73" s="86">
        <f>SUM(K58:K72)</f>
        <v/>
      </c>
      <c r="L73" s="86">
        <f>SUM(L58:L72)</f>
        <v/>
      </c>
      <c r="M73" s="86">
        <f>SUM(M58:M72)</f>
        <v/>
      </c>
      <c r="N73" s="86">
        <f>SUM(N58:N72)</f>
        <v/>
      </c>
    </row>
    <row r="74" ht="14.25" customHeight="1" s="137"/>
    <row r="75" ht="72" customHeight="1" s="137">
      <c r="A75" s="182" t="inlineStr">
        <is>
          <t>2025 Mercury unbundled 2026-09-20: Art Sales = MATCHED cash only (Berk $14,000 Jan + Berk $30,000 / mosaics $105,000 Feb = $149,000). Prior mixed Mercury dump removed. Consultant $0 until EOEB remainder $130,270.00 and L5 $87,396.32 are answered. Coinbase is Investments, not this tab. Newstar $23,581 is Art Sales COGS, not operating expense. 2024 leftover supplies/furniture/consultant-fee numbers on this 2025 block were zeroed. GCM 1099 is personal. Not tax advice.</t>
        </is>
      </c>
    </row>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3">
    <mergeCell ref="A26:N26"/>
    <mergeCell ref="A75:N76"/>
    <mergeCell ref="A1:N1"/>
  </mergeCells>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Z77"/>
  <sheetViews>
    <sheetView workbookViewId="0">
      <selection activeCell="A1" sqref="A1"/>
    </sheetView>
  </sheetViews>
  <sheetFormatPr baseColWidth="8" defaultColWidth="14.43" defaultRowHeight="15" customHeight="1"/>
  <cols>
    <col width="45.14" customWidth="1" style="137" min="1" max="1"/>
    <col width="17.29" customWidth="1" style="137" min="2" max="2"/>
    <col width="19.14" customWidth="1" style="137" min="3" max="3"/>
    <col width="21.57" customWidth="1" style="137" min="4" max="4"/>
    <col width="8.710000000000001" customWidth="1" style="137" min="5" max="26"/>
  </cols>
  <sheetData>
    <row r="1" ht="14.25" customHeight="1" s="137">
      <c r="A1" s="89" t="inlineStr">
        <is>
          <t>Book</t>
        </is>
      </c>
      <c r="B1" s="89" t="inlineStr">
        <is>
          <t>From</t>
        </is>
      </c>
      <c r="C1" s="90" t="inlineStr">
        <is>
          <t>Purchase Price</t>
        </is>
      </c>
      <c r="D1" s="91" t="inlineStr">
        <is>
          <t xml:space="preserve">Purchase Date </t>
        </is>
      </c>
      <c r="E1" s="5" t="inlineStr">
        <is>
          <t>Method</t>
        </is>
      </c>
    </row>
    <row r="2" ht="14.25" customHeight="1" s="137">
      <c r="A2" s="122" t="inlineStr">
        <is>
          <t>A Collection of Pre Columbian Auction Catalogues and Art Refrence Books</t>
        </is>
      </c>
      <c r="B2" s="122" t="inlineStr">
        <is>
          <t>N. Fagin</t>
        </is>
      </c>
      <c r="C2" s="88" t="n">
        <v>669.21</v>
      </c>
      <c r="D2" s="92" t="n">
        <v>44767</v>
      </c>
      <c r="E2" s="122" t="inlineStr">
        <is>
          <t xml:space="preserve">Check </t>
        </is>
      </c>
    </row>
    <row r="3" ht="14.25" customHeight="1" s="137">
      <c r="A3" s="122" t="inlineStr">
        <is>
          <t>A Collection of Numismatic Journals</t>
        </is>
      </c>
      <c r="B3" s="122" t="inlineStr">
        <is>
          <t>John Meyes</t>
        </is>
      </c>
      <c r="C3" s="88" t="n">
        <v>200</v>
      </c>
      <c r="D3" s="92" t="n">
        <v>44839</v>
      </c>
      <c r="E3" s="122" t="inlineStr">
        <is>
          <t xml:space="preserve">Check </t>
        </is>
      </c>
    </row>
    <row r="4" ht="14.25" customHeight="1" s="137">
      <c r="A4" s="122" t="inlineStr">
        <is>
          <t xml:space="preserve">A Collection of Joel Malter Catalogues </t>
        </is>
      </c>
      <c r="B4" s="122" t="inlineStr">
        <is>
          <t>M. Malter</t>
        </is>
      </c>
      <c r="C4" s="88" t="n">
        <v>301.46</v>
      </c>
      <c r="D4" s="92" t="n">
        <v>44634</v>
      </c>
      <c r="E4" s="122" t="inlineStr">
        <is>
          <t xml:space="preserve">Check </t>
        </is>
      </c>
    </row>
    <row r="5" ht="14.25" customHeight="1" s="137">
      <c r="A5" s="122" t="inlineStr">
        <is>
          <t>A Collection of Antiquities Catalogues</t>
        </is>
      </c>
      <c r="B5" s="122" t="inlineStr">
        <is>
          <t>C. Murphy</t>
        </is>
      </c>
      <c r="C5" s="88" t="n">
        <v>700</v>
      </c>
      <c r="D5" s="92" t="n">
        <v>44519</v>
      </c>
      <c r="E5" s="122" t="inlineStr">
        <is>
          <t xml:space="preserve">Check </t>
        </is>
      </c>
    </row>
    <row r="6" ht="14.25" customHeight="1" s="137">
      <c r="A6" s="122" t="inlineStr">
        <is>
          <t>The Beverley Collection of Gems at Alnwick Castle (The Philip Wilson Gems and Jewellery Series)</t>
        </is>
      </c>
      <c r="B6" s="122" t="inlineStr">
        <is>
          <t>Abebooks</t>
        </is>
      </c>
      <c r="C6" s="88" t="n">
        <v>30.05</v>
      </c>
      <c r="D6" s="92" t="n">
        <v>44905</v>
      </c>
      <c r="E6" s="122" t="inlineStr">
        <is>
          <t>Credit Card</t>
        </is>
      </c>
    </row>
    <row r="7" ht="14.25" customHeight="1" s="137">
      <c r="A7" s="122" t="inlineStr">
        <is>
          <t>Masterpieces in Miniature The Philip Wilson Gems and Jewellery Series Engraved Gems from Prehistory to the Present</t>
        </is>
      </c>
      <c r="B7" s="122" t="inlineStr">
        <is>
          <t>Abebooks</t>
        </is>
      </c>
      <c r="C7" s="88" t="n">
        <v>50.37</v>
      </c>
      <c r="D7" s="92" t="n">
        <v>44905</v>
      </c>
      <c r="E7" s="122" t="inlineStr">
        <is>
          <t>Credit Card</t>
        </is>
      </c>
    </row>
    <row r="8" ht="14.25" customHeight="1" s="137">
      <c r="A8" s="122" t="inlineStr">
        <is>
          <t>The First Treatise on Museums Samuel Quiccheberg's Inscriptiones, 1565 Texts Documents Paperback BIBLIOTHECA PAEDIATRICA REF KARGER</t>
        </is>
      </c>
      <c r="B8" s="122" t="inlineStr">
        <is>
          <t>Abebooks</t>
        </is>
      </c>
      <c r="C8" s="88" t="n">
        <v>30.64</v>
      </c>
      <c r="D8" s="92" t="n">
        <v>44812</v>
      </c>
      <c r="E8" s="122" t="inlineStr">
        <is>
          <t>Credit Card</t>
        </is>
      </c>
    </row>
    <row r="9" ht="14.25" customHeight="1" s="137">
      <c r="A9" s="122" t="inlineStr">
        <is>
          <t>Greek Gems and Finger Rings: Early Bronze to Late Classical</t>
        </is>
      </c>
      <c r="B9" s="122" t="inlineStr">
        <is>
          <t>Abebooks</t>
        </is>
      </c>
      <c r="C9" s="88" t="n">
        <v>16.22</v>
      </c>
      <c r="D9" s="92" t="n">
        <v>44796</v>
      </c>
      <c r="E9" s="122" t="inlineStr">
        <is>
          <t>Credit Card</t>
        </is>
      </c>
    </row>
    <row r="10" ht="14.25" customHeight="1" s="137">
      <c r="A10" s="122" t="inlineStr">
        <is>
          <t>The Maya Book of the Dead: The Ceramic Codex</t>
        </is>
      </c>
      <c r="B10" s="122" t="inlineStr">
        <is>
          <t>Abebooks</t>
        </is>
      </c>
      <c r="C10" s="88" t="n">
        <v>73.3</v>
      </c>
      <c r="D10" s="92" t="n">
        <v>44782</v>
      </c>
      <c r="E10" s="122" t="inlineStr">
        <is>
          <t>Credit Card</t>
        </is>
      </c>
    </row>
    <row r="11" ht="14.25" customHeight="1" s="137">
      <c r="A11" s="122" t="inlineStr">
        <is>
          <t>21 Masterpieces of Pre-Columbian Sculpture</t>
        </is>
      </c>
      <c r="B11" s="122" t="inlineStr">
        <is>
          <t>Abebooks</t>
        </is>
      </c>
      <c r="C11" s="88" t="n">
        <v>79.69</v>
      </c>
      <c r="D11" s="92" t="n">
        <v>44782</v>
      </c>
      <c r="E11" s="122" t="inlineStr">
        <is>
          <t>Credit Card</t>
        </is>
      </c>
    </row>
    <row r="12" ht="14.25" customHeight="1" s="137">
      <c r="A12" s="122" t="inlineStr">
        <is>
          <t>TABLEAUX ANCIENS DES XVIe, XVIIe, XVIIIe ET XIXe SIECLES. OBJETS D'ARTS, SIEGES ET MEUBLES DES xviiE, XVIIIe ET XIXe SIECLES</t>
        </is>
      </c>
      <c r="B12" s="122" t="inlineStr">
        <is>
          <t>Abebooks</t>
        </is>
      </c>
      <c r="C12" s="88" t="n">
        <v>24.47</v>
      </c>
      <c r="D12" s="92" t="n">
        <v>44782</v>
      </c>
      <c r="E12" s="122" t="inlineStr">
        <is>
          <t>Credit Card</t>
        </is>
      </c>
    </row>
    <row r="13" ht="14.25" customHeight="1" s="137">
      <c r="A13" s="122" t="inlineStr">
        <is>
          <t>Ladders to Heaven: Art Treasures from Lands of the Bible</t>
        </is>
      </c>
      <c r="B13" s="122" t="inlineStr">
        <is>
          <t>Abebooks</t>
        </is>
      </c>
      <c r="C13" s="88" t="n">
        <v>10.97</v>
      </c>
      <c r="D13" s="92" t="n">
        <v>37336</v>
      </c>
      <c r="E13" s="122" t="inlineStr">
        <is>
          <t>Credit Card</t>
        </is>
      </c>
    </row>
    <row r="14" ht="14.25" customHeight="1" s="137">
      <c r="A14" s="122" t="inlineStr">
        <is>
          <t>Palladion Antike Kunst Katalog 1976</t>
        </is>
      </c>
      <c r="B14" s="122" t="inlineStr">
        <is>
          <t>Abebooks</t>
        </is>
      </c>
      <c r="C14" s="88" t="n">
        <v>24.44</v>
      </c>
      <c r="D14" s="92" t="n">
        <v>44641</v>
      </c>
      <c r="E14" s="122" t="inlineStr">
        <is>
          <t>Credit Card</t>
        </is>
      </c>
    </row>
    <row r="15" ht="14.25" customHeight="1" s="137">
      <c r="A15" s="122" t="inlineStr">
        <is>
          <t>Gifts of the Nile: Ancient Egyptian Faience</t>
        </is>
      </c>
      <c r="B15" s="122" t="inlineStr">
        <is>
          <t>Abebooks</t>
        </is>
      </c>
      <c r="C15" s="88" t="n">
        <v>13.84</v>
      </c>
      <c r="D15" s="92" t="n">
        <v>44622</v>
      </c>
      <c r="E15" s="122" t="inlineStr">
        <is>
          <t>Credit Card</t>
        </is>
      </c>
    </row>
    <row r="16" ht="14.25" customHeight="1" s="137">
      <c r="A16" s="122" t="inlineStr">
        <is>
          <t>She - An Exhibition at Cordier &amp; Ekstrom NY 1970</t>
        </is>
      </c>
      <c r="B16" s="122" t="inlineStr">
        <is>
          <t>Abebooks</t>
        </is>
      </c>
      <c r="C16" s="88" t="n">
        <v>36.07</v>
      </c>
      <c r="D16" s="92" t="n">
        <v>44825</v>
      </c>
      <c r="E16" s="122" t="inlineStr">
        <is>
          <t>Credit Card</t>
        </is>
      </c>
    </row>
    <row r="17" ht="14.25" customHeight="1" s="137">
      <c r="A17" s="122" t="inlineStr">
        <is>
          <t>Antuqua Auction Catalog's 7 volumes see photos LOT G4</t>
        </is>
      </c>
      <c r="B17" s="122" t="inlineStr">
        <is>
          <t>ebay</t>
        </is>
      </c>
      <c r="C17" s="93" t="n">
        <v>23.1</v>
      </c>
      <c r="D17" s="92" t="n">
        <v>44918</v>
      </c>
      <c r="E17" s="122" t="inlineStr">
        <is>
          <t>Credit Card</t>
        </is>
      </c>
    </row>
    <row r="18" ht="14.25" customHeight="1" s="137">
      <c r="A18" s="122" t="inlineStr">
        <is>
          <t>Kunst Und Handwerk German Auction Catalog(in german)LOT G15</t>
        </is>
      </c>
      <c r="B18" s="122" t="inlineStr">
        <is>
          <t>ebay</t>
        </is>
      </c>
      <c r="C18" s="93" t="n">
        <v>0</v>
      </c>
      <c r="D18" s="92" t="n">
        <v>44917</v>
      </c>
      <c r="E18" s="122" t="inlineStr">
        <is>
          <t>Credit Card</t>
        </is>
      </c>
    </row>
    <row r="19" ht="14.25" customHeight="1" s="137">
      <c r="A19" s="122" t="inlineStr">
        <is>
          <t>Numismatic &amp; Ancient Art Gallery NAAG Auction Catalog from 1991 LOT G12</t>
        </is>
      </c>
      <c r="B19" s="122" t="inlineStr">
        <is>
          <t>ebay</t>
        </is>
      </c>
      <c r="C19" s="93" t="n">
        <v>0</v>
      </c>
      <c r="D19" s="92" t="n">
        <v>44917</v>
      </c>
      <c r="E19" s="122" t="inlineStr">
        <is>
          <t>Credit Card</t>
        </is>
      </c>
    </row>
    <row r="20" ht="14.25" customHeight="1" s="137">
      <c r="A20" s="122" t="inlineStr">
        <is>
          <t>Antike Kunstobjekte Auction Catalog's from Germany (in german) LOT G17</t>
        </is>
      </c>
      <c r="B20" s="122" t="inlineStr">
        <is>
          <t>ebay</t>
        </is>
      </c>
      <c r="C20" s="93" t="n">
        <v>0</v>
      </c>
      <c r="D20" s="92" t="n">
        <v>44917</v>
      </c>
      <c r="E20" s="122" t="inlineStr">
        <is>
          <t>Credit Card</t>
        </is>
      </c>
    </row>
    <row r="21" ht="14.25" customHeight="1" s="137">
      <c r="A21" s="122" t="inlineStr">
        <is>
          <t>Ancient Art and Antiquities Alex Malloy 1973 Catalogue; Art; Quality Packaging</t>
        </is>
      </c>
      <c r="B21" s="122" t="inlineStr">
        <is>
          <t>ebay</t>
        </is>
      </c>
      <c r="C21" s="93" t="n">
        <v>25.48</v>
      </c>
      <c r="D21" s="92" t="n">
        <v>44910</v>
      </c>
      <c r="E21" s="122" t="inlineStr">
        <is>
          <t>Credit Card</t>
        </is>
      </c>
    </row>
    <row r="22" ht="14.25" customHeight="1" s="137">
      <c r="A22" s="122" t="inlineStr">
        <is>
          <t>Vintage Alex G. Malloy 1978 Ancient Art &amp; Antiquities Catalogue Scarce</t>
        </is>
      </c>
      <c r="B22" s="122" t="inlineStr">
        <is>
          <t>ebay</t>
        </is>
      </c>
      <c r="C22" s="93" t="n">
        <v>0</v>
      </c>
      <c r="D22" s="92" t="n">
        <v>44908</v>
      </c>
      <c r="E22" s="122" t="inlineStr">
        <is>
          <t>Credit Card</t>
        </is>
      </c>
    </row>
    <row r="23" ht="14.25" customHeight="1" s="137">
      <c r="A23" s="122" t="inlineStr">
        <is>
          <t>Power Tools The Stone Age and Bronze Age in North Europe Exhibition Catalogue</t>
        </is>
      </c>
      <c r="B23" s="122" t="inlineStr">
        <is>
          <t>ebay</t>
        </is>
      </c>
      <c r="C23" s="93" t="n">
        <v>82.64</v>
      </c>
      <c r="D23" s="92" t="n">
        <v>44908</v>
      </c>
      <c r="E23" s="122" t="inlineStr">
        <is>
          <t>Credit Card</t>
        </is>
      </c>
    </row>
    <row r="24" ht="14.25" customHeight="1" s="137">
      <c r="A24" s="122" t="inlineStr">
        <is>
          <t>1906 Illustrated Catalogue of Antiquities and Casts of Ancient Sculpture</t>
        </is>
      </c>
      <c r="B24" s="122" t="inlineStr">
        <is>
          <t>ebay</t>
        </is>
      </c>
      <c r="C24" s="93" t="n">
        <v>13.16</v>
      </c>
      <c r="D24" s="92" t="n">
        <v>44903</v>
      </c>
      <c r="E24" s="122" t="inlineStr">
        <is>
          <t>Credit Card</t>
        </is>
      </c>
    </row>
    <row r="25" ht="14.25" customHeight="1" s="137">
      <c r="A25" s="122" t="inlineStr">
        <is>
          <t>Frank L Kovacs Ancient Coins &amp; Antiquities Mail Bid Sale XIV October 16, 1998</t>
        </is>
      </c>
      <c r="B25" s="122" t="inlineStr">
        <is>
          <t>ebay</t>
        </is>
      </c>
      <c r="C25" s="93" t="n">
        <v>15.79</v>
      </c>
      <c r="D25" s="92" t="n">
        <v>44901</v>
      </c>
      <c r="E25" s="122" t="inlineStr">
        <is>
          <t>Credit Card</t>
        </is>
      </c>
    </row>
    <row r="26" ht="14.25" customHeight="1" s="137">
      <c r="A26" s="122" t="inlineStr">
        <is>
          <t>The MAYA Fourth Edition Fully Revised Used Very Good Condition As Is Nice/ Clean</t>
        </is>
      </c>
      <c r="B26" s="122" t="inlineStr">
        <is>
          <t>ebay</t>
        </is>
      </c>
      <c r="C26" s="93" t="n">
        <v>10.08</v>
      </c>
      <c r="D26" s="92" t="n">
        <v>44782</v>
      </c>
      <c r="E26" s="122" t="inlineStr">
        <is>
          <t>Credit Card</t>
        </is>
      </c>
    </row>
    <row r="27" ht="14.25" customHeight="1" s="137">
      <c r="A27" s="122" t="inlineStr">
        <is>
          <t>Teotihuacan: Art from the City of the Gods - Paperback - GOOD</t>
        </is>
      </c>
      <c r="B27" s="122" t="inlineStr">
        <is>
          <t>ebay</t>
        </is>
      </c>
      <c r="C27" s="93" t="n">
        <v>10.23</v>
      </c>
      <c r="D27" s="92" t="n">
        <v>44779</v>
      </c>
      <c r="E27" s="122" t="inlineStr">
        <is>
          <t>Credit Card</t>
        </is>
      </c>
    </row>
    <row r="28" ht="14.25" customHeight="1" s="137">
      <c r="A28" s="122" t="inlineStr">
        <is>
          <t>Arte Primitivo The Millicent Wylly Estate Ancient Art Auction Catalog 1998</t>
        </is>
      </c>
      <c r="B28" s="122" t="inlineStr">
        <is>
          <t>ebay</t>
        </is>
      </c>
      <c r="C28" s="93" t="n">
        <v>17.73</v>
      </c>
      <c r="D28" s="92" t="n">
        <v>44778</v>
      </c>
      <c r="E28" s="122" t="inlineStr">
        <is>
          <t>Credit Card</t>
        </is>
      </c>
    </row>
    <row r="29" ht="14.25" customHeight="1" s="137">
      <c r="A29" s="122" t="inlineStr">
        <is>
          <t xml:space="preserve">Gorny &amp; Mosch Auction #268.2019 Munich Ancient Art.Like New .(60) </t>
        </is>
      </c>
      <c r="B29" s="122" t="inlineStr">
        <is>
          <t>ebay</t>
        </is>
      </c>
      <c r="C29" s="93" t="n">
        <v>14.91</v>
      </c>
      <c r="D29" s="92" t="n">
        <v>44778</v>
      </c>
      <c r="E29" s="122" t="inlineStr">
        <is>
          <t>Credit Card</t>
        </is>
      </c>
    </row>
    <row r="30" ht="14.25" customHeight="1" s="137">
      <c r="A30" s="122" t="inlineStr">
        <is>
          <t>1967 MANGA GRECIA ANCIENT ART OF THE MEDITERRANEAN EXHIBIT PROGRAM - J 3801</t>
        </is>
      </c>
      <c r="B30" s="122" t="inlineStr">
        <is>
          <t>ebay</t>
        </is>
      </c>
      <c r="C30" s="93" t="n">
        <v>25.84</v>
      </c>
      <c r="D30" s="92" t="n">
        <v>44777</v>
      </c>
      <c r="E30" s="122" t="inlineStr">
        <is>
          <t>Credit Card</t>
        </is>
      </c>
    </row>
    <row r="31" ht="14.25" customHeight="1" s="137">
      <c r="A31" s="122" t="inlineStr">
        <is>
          <t>1971 Michel Dumez-Onof, London W.I., Art Booklet Catalog "Ancient Works of Art"</t>
        </is>
      </c>
      <c r="B31" s="122" t="inlineStr">
        <is>
          <t>ebay</t>
        </is>
      </c>
      <c r="C31" s="93" t="n">
        <v>42.9</v>
      </c>
      <c r="D31" s="92" t="n">
        <v>44777</v>
      </c>
      <c r="E31" s="122" t="inlineStr">
        <is>
          <t>Credit Card</t>
        </is>
      </c>
    </row>
    <row r="32" ht="14.25" customHeight="1" s="137">
      <c r="A32" s="122" t="inlineStr">
        <is>
          <t>Hans Schulman Ancient Art Roman Greek Cycladic Vintage Auction Coin Catalog</t>
        </is>
      </c>
      <c r="B32" s="122" t="inlineStr">
        <is>
          <t>ebay</t>
        </is>
      </c>
      <c r="C32" s="93" t="n">
        <v>20.79</v>
      </c>
      <c r="D32" s="92" t="n">
        <v>44776</v>
      </c>
      <c r="E32" s="122" t="inlineStr">
        <is>
          <t>Credit Card</t>
        </is>
      </c>
    </row>
    <row r="33" ht="14.25" customHeight="1" s="137">
      <c r="A33" s="122" t="inlineStr">
        <is>
          <t>Deities Dignitaries in Ancient Egyptian Art L'Ibis Gallery NYC 1989 Catalog</t>
        </is>
      </c>
      <c r="B33" s="122" t="inlineStr">
        <is>
          <t>ebay</t>
        </is>
      </c>
      <c r="C33" s="93" t="n">
        <v>14.03</v>
      </c>
      <c r="D33" s="92" t="n">
        <v>44774</v>
      </c>
      <c r="E33" s="122" t="inlineStr">
        <is>
          <t>Credit Card</t>
        </is>
      </c>
    </row>
    <row r="34" ht="14.25" customHeight="1" s="137">
      <c r="A34" s="122" t="inlineStr">
        <is>
          <t>HERITAGE Antiquities Greek Egypt Mesopotamia Seals Native American Catalog 2008</t>
        </is>
      </c>
      <c r="B34" s="122" t="inlineStr">
        <is>
          <t>ebay</t>
        </is>
      </c>
      <c r="C34" s="93" t="n">
        <v>9.85</v>
      </c>
      <c r="D34" s="92" t="n">
        <v>44755</v>
      </c>
      <c r="E34" s="122" t="inlineStr">
        <is>
          <t>Credit Card</t>
        </is>
      </c>
    </row>
    <row r="35" ht="14.25" customHeight="1" s="137">
      <c r="A35" s="122" t="inlineStr">
        <is>
          <t xml:space="preserve">Sotheby's New York - Antiquitues, Pre-Columbian, Ethnographic, &amp; Later Works </t>
        </is>
      </c>
      <c r="B35" s="122" t="inlineStr">
        <is>
          <t>ebay</t>
        </is>
      </c>
      <c r="C35" s="93" t="n">
        <v>12.08</v>
      </c>
      <c r="D35" s="92" t="n">
        <v>44755</v>
      </c>
      <c r="E35" s="122" t="inlineStr">
        <is>
          <t>Credit Card</t>
        </is>
      </c>
    </row>
    <row r="36" ht="14.25" customHeight="1" s="137">
      <c r="A36" s="122" t="inlineStr">
        <is>
          <t>Wealth of The Ancient World, Nelson Bunker Hunt Collection￼, Art &amp; Coins 1983 HC</t>
        </is>
      </c>
      <c r="B36" s="122" t="inlineStr">
        <is>
          <t>ebay</t>
        </is>
      </c>
      <c r="C36" s="93" t="n">
        <v>16.54</v>
      </c>
      <c r="D36" s="92" t="n">
        <v>44642</v>
      </c>
      <c r="E36" s="122" t="inlineStr">
        <is>
          <t>Credit Card</t>
        </is>
      </c>
    </row>
    <row r="37" ht="14.25" customHeight="1" s="137">
      <c r="A37" s="122" t="inlineStr">
        <is>
          <t>50 Figures From A Site In Veracruz Kerr, Justin Merrin Gallery 1970</t>
        </is>
      </c>
      <c r="B37" s="122" t="inlineStr">
        <is>
          <t>ebay</t>
        </is>
      </c>
      <c r="C37" s="93" t="n">
        <v>13.2</v>
      </c>
      <c r="D37" s="92" t="n">
        <v>44636</v>
      </c>
      <c r="E37" s="122" t="inlineStr">
        <is>
          <t>Credit Card</t>
        </is>
      </c>
    </row>
    <row r="38" ht="14.25" customHeight="1" s="137">
      <c r="A38" s="122" t="inlineStr">
        <is>
          <t>Vintage Alex G. Malloy 1978 Ancient Art &amp; Antiquities Catalogue Scarce, Like New</t>
        </is>
      </c>
      <c r="B38" s="122" t="inlineStr">
        <is>
          <t>ebay</t>
        </is>
      </c>
      <c r="C38" s="93" t="n">
        <v>47.38</v>
      </c>
      <c r="D38" s="92" t="n">
        <v>44635</v>
      </c>
      <c r="E38" s="122" t="inlineStr">
        <is>
          <t>Credit Card</t>
        </is>
      </c>
    </row>
    <row r="39" ht="14.25" customHeight="1" s="137">
      <c r="A39" s="122" t="inlineStr">
        <is>
          <t>SUMMA GALLERIES Catalog 3 1977  Ancient Art Ancient Vases Sculptures-Staplebound</t>
        </is>
      </c>
      <c r="B39" s="122" t="inlineStr">
        <is>
          <t>ebay</t>
        </is>
      </c>
      <c r="C39" s="93" t="n">
        <v>47.38</v>
      </c>
      <c r="D39" s="92" t="n">
        <v>44635</v>
      </c>
      <c r="E39" s="122" t="inlineStr">
        <is>
          <t>Credit Card</t>
        </is>
      </c>
    </row>
    <row r="40" ht="14.25" customHeight="1" s="137">
      <c r="A40" s="122" t="inlineStr">
        <is>
          <t>Vintage Alex G. Malloy 1973 Ancient Art &amp; Antiquities Catalogue Scarce, Like New</t>
        </is>
      </c>
      <c r="B40" s="122" t="inlineStr">
        <is>
          <t>ebay</t>
        </is>
      </c>
      <c r="C40" s="93" t="n">
        <v>47.38</v>
      </c>
      <c r="D40" s="92" t="n">
        <v>44635</v>
      </c>
      <c r="E40" s="122" t="inlineStr">
        <is>
          <t>Credit Card</t>
        </is>
      </c>
    </row>
    <row r="41" ht="14.25" customHeight="1" s="137">
      <c r="A41" s="122" t="inlineStr">
        <is>
          <t>Vintage Alex G. Malloy 1978 Ancient Art &amp; Antiquities Catalogue Scarce, Like New</t>
        </is>
      </c>
      <c r="B41" s="122" t="inlineStr">
        <is>
          <t>ebay</t>
        </is>
      </c>
      <c r="C41" s="93" t="n">
        <v>47.38</v>
      </c>
      <c r="D41" s="92" t="n">
        <v>44635</v>
      </c>
      <c r="E41" s="122" t="inlineStr">
        <is>
          <t>Credit Card</t>
        </is>
      </c>
    </row>
    <row r="42" ht="14.25" customHeight="1" s="137">
      <c r="A42" s="122" t="inlineStr">
        <is>
          <t>Vintage Alex G. Malloy 1977 Ancient Art &amp; Antiquities Catalogue Scarce, Like New</t>
        </is>
      </c>
      <c r="B42" s="122" t="inlineStr">
        <is>
          <t>ebay</t>
        </is>
      </c>
      <c r="C42" s="93" t="n">
        <v>47.38</v>
      </c>
      <c r="D42" s="92" t="n">
        <v>44635</v>
      </c>
      <c r="E42" s="122" t="inlineStr">
        <is>
          <t>Credit Card</t>
        </is>
      </c>
    </row>
    <row r="43" ht="14.25" customHeight="1" s="137">
      <c r="A43" s="122" t="inlineStr">
        <is>
          <t>Vintage Alex G. Malloy 1974 Ancient Art &amp; Antiquities Catalogue Scarce, Like New</t>
        </is>
      </c>
      <c r="B43" s="122" t="inlineStr">
        <is>
          <t>ebay</t>
        </is>
      </c>
      <c r="C43" s="93" t="n">
        <v>47.38</v>
      </c>
      <c r="D43" s="92" t="n">
        <v>44635</v>
      </c>
      <c r="E43" s="122" t="inlineStr">
        <is>
          <t>Credit Card</t>
        </is>
      </c>
    </row>
    <row r="44" ht="14.25" customHeight="1" s="137">
      <c r="A44" s="122" t="inlineStr">
        <is>
          <t>Vintage Alex G. Malloy 1974 Ancient Art &amp; Antiquities Catalogue Scarce, Like New</t>
        </is>
      </c>
      <c r="B44" s="122" t="inlineStr">
        <is>
          <t>ebay</t>
        </is>
      </c>
      <c r="C44" s="93" t="n">
        <v>47.38</v>
      </c>
      <c r="D44" s="92" t="n">
        <v>44635</v>
      </c>
      <c r="E44" s="122" t="inlineStr">
        <is>
          <t>Credit Card</t>
        </is>
      </c>
    </row>
    <row r="45" ht="14.25" customHeight="1" s="137">
      <c r="A45" s="122" t="inlineStr">
        <is>
          <t>Art of the Ancient World Catalog Volume XV 2004 Royal Athena Galleries NY PPB</t>
        </is>
      </c>
      <c r="B45" s="122" t="inlineStr">
        <is>
          <t>ebay</t>
        </is>
      </c>
      <c r="C45" s="93" t="n">
        <v>21.03</v>
      </c>
      <c r="D45" s="92" t="n">
        <v>44635</v>
      </c>
      <c r="E45" s="122" t="inlineStr">
        <is>
          <t>Credit Card</t>
        </is>
      </c>
    </row>
    <row r="46" ht="14.25" customHeight="1" s="137">
      <c r="A46" s="122" t="inlineStr">
        <is>
          <t>SUMMA GALLERIES Auction Catalog 1976  Ancient Art Ancient Vases Sculptures Book</t>
        </is>
      </c>
      <c r="B46" s="122" t="inlineStr">
        <is>
          <t>ebay</t>
        </is>
      </c>
      <c r="C46" s="93" t="n">
        <v>22</v>
      </c>
      <c r="D46" s="92" t="n">
        <v>44634</v>
      </c>
      <c r="E46" s="122" t="inlineStr">
        <is>
          <t>Credit Card</t>
        </is>
      </c>
    </row>
    <row r="47" ht="14.25" customHeight="1" s="137">
      <c r="A47" s="122" t="inlineStr">
        <is>
          <t>Ancient Bronzes Ceramics and Seals  The Nasli M  Heeramaneck Collecti</t>
        </is>
      </c>
      <c r="B47" s="122" t="inlineStr">
        <is>
          <t>ebay</t>
        </is>
      </c>
      <c r="C47" s="93" t="n">
        <v>6.38</v>
      </c>
      <c r="D47" s="92" t="n">
        <v>44634</v>
      </c>
      <c r="E47" s="122" t="inlineStr">
        <is>
          <t>Credit Card</t>
        </is>
      </c>
    </row>
    <row r="48" ht="14.25" customHeight="1" s="137">
      <c r="A48" s="122" t="inlineStr">
        <is>
          <t>HTF 1965 Illustrated Catalog Jerome Eisenberg Art Ancient World Chicago +Pricing</t>
        </is>
      </c>
      <c r="B48" s="122" t="inlineStr">
        <is>
          <t>ebay</t>
        </is>
      </c>
      <c r="C48" s="93" t="n">
        <v>20.7</v>
      </c>
      <c r="D48" s="92" t="n">
        <v>44626</v>
      </c>
      <c r="E48" s="122" t="inlineStr">
        <is>
          <t>Credit Card</t>
        </is>
      </c>
    </row>
    <row r="49" ht="14.25" customHeight="1" s="137">
      <c r="A49" s="122" t="inlineStr">
        <is>
          <t xml:space="preserve"> Art Of The Ancient World Volume II, Dec. 1966 Eisenberg, Jerome M New York</t>
        </is>
      </c>
      <c r="B49" s="122" t="inlineStr">
        <is>
          <t>ebay</t>
        </is>
      </c>
      <c r="C49" s="93" t="n">
        <v>11</v>
      </c>
      <c r="D49" s="92" t="n">
        <v>44626</v>
      </c>
      <c r="E49" s="122" t="inlineStr">
        <is>
          <t>Credit Card</t>
        </is>
      </c>
    </row>
    <row r="50" ht="14.25" customHeight="1" s="137">
      <c r="A50" s="122" t="inlineStr">
        <is>
          <t>Royal Portraits and the Hellenistic Kingdoms (1999, paperback)</t>
        </is>
      </c>
      <c r="B50" s="122" t="inlineStr">
        <is>
          <t>ebay</t>
        </is>
      </c>
      <c r="C50" s="93" t="n">
        <v>20</v>
      </c>
      <c r="D50" s="92" t="n">
        <v>44626</v>
      </c>
      <c r="E50" s="122" t="inlineStr">
        <is>
          <t>Credit Card</t>
        </is>
      </c>
    </row>
    <row r="51" ht="14.25" customHeight="1" s="137">
      <c r="A51" s="122" t="inlineStr">
        <is>
          <t>Amenhotep III: Egypt's Radiant Pharaoh</t>
        </is>
      </c>
      <c r="B51" s="122" t="inlineStr">
        <is>
          <t>Amazon</t>
        </is>
      </c>
      <c r="C51" s="93" t="n">
        <v>36.71</v>
      </c>
      <c r="D51" s="92" t="n">
        <v>44621</v>
      </c>
      <c r="E51" s="122" t="inlineStr">
        <is>
          <t>Credit Card</t>
        </is>
      </c>
    </row>
    <row r="52" ht="14.25" customHeight="1" s="137">
      <c r="A52" s="122" t="inlineStr">
        <is>
          <t>ART PRECOLOMBIEN : COLLECTION LILIANE ET MICHEL DURAND-DESSERT.</t>
        </is>
      </c>
      <c r="B52" s="122" t="inlineStr">
        <is>
          <t xml:space="preserve">Amazon </t>
        </is>
      </c>
      <c r="C52" s="93" t="n">
        <v>40.13</v>
      </c>
      <c r="D52" s="92" t="n">
        <v>44754</v>
      </c>
      <c r="E52" s="122" t="inlineStr">
        <is>
          <t>Credit Card</t>
        </is>
      </c>
    </row>
    <row r="53" ht="14.25" customHeight="1" s="137">
      <c r="A53" s="122" t="inlineStr">
        <is>
          <t>Ten Centuries That Shaped the West: Greek and Roman Art in Texas Collections.</t>
        </is>
      </c>
      <c r="B53" s="94" t="inlineStr">
        <is>
          <t xml:space="preserve">Amazon </t>
        </is>
      </c>
      <c r="C53" s="93" t="n">
        <v>9.460000000000001</v>
      </c>
      <c r="D53" s="92" t="n">
        <v>44763</v>
      </c>
      <c r="E53" s="122" t="inlineStr">
        <is>
          <t>Credit Card</t>
        </is>
      </c>
    </row>
    <row r="54" ht="14.25" customHeight="1" s="137">
      <c r="A54" s="122" t="inlineStr">
        <is>
          <t>Cabinets of Curiosities</t>
        </is>
      </c>
      <c r="B54" s="94" t="inlineStr">
        <is>
          <t xml:space="preserve">Amazon </t>
        </is>
      </c>
      <c r="C54" s="93" t="n">
        <v>26.35</v>
      </c>
      <c r="D54" s="92" t="n">
        <v>44811</v>
      </c>
      <c r="E54" s="122" t="inlineStr">
        <is>
          <t>Credit Card</t>
        </is>
      </c>
    </row>
    <row r="55" ht="14.25" customHeight="1" s="137">
      <c r="A55" s="122" t="inlineStr">
        <is>
          <t>The Content family collection of ancient cameos</t>
        </is>
      </c>
      <c r="B55" s="94" t="inlineStr">
        <is>
          <t xml:space="preserve">Amazon </t>
        </is>
      </c>
      <c r="C55" s="93" t="n">
        <v>50.49</v>
      </c>
      <c r="D55" s="92" t="n">
        <v>44905</v>
      </c>
      <c r="E55" s="122" t="inlineStr">
        <is>
          <t>Credit Card</t>
        </is>
      </c>
    </row>
    <row r="56" ht="14.25" customHeight="1" s="137">
      <c r="A56" s="122" t="inlineStr">
        <is>
          <t>100 Werke Antiker Kleinkunst Katalog 1</t>
        </is>
      </c>
      <c r="B56" s="94" t="inlineStr">
        <is>
          <t>Abebooks</t>
        </is>
      </c>
      <c r="C56" s="93" t="n">
        <v>18.06</v>
      </c>
      <c r="D56" s="92" t="n">
        <v>44919</v>
      </c>
      <c r="E56" s="122" t="inlineStr">
        <is>
          <t>Credit Card</t>
        </is>
      </c>
    </row>
    <row r="57" ht="14.25" customHeight="1" s="137">
      <c r="A57" s="95" t="inlineStr">
        <is>
          <t>Total</t>
        </is>
      </c>
      <c r="B57" s="95" t="n"/>
      <c r="C57" s="96">
        <f>SUM(C2:C56)</f>
        <v/>
      </c>
      <c r="D57" s="97" t="n"/>
      <c r="E57" s="98" t="n"/>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8" t="n"/>
    </row>
    <row r="58" ht="14.25" customHeight="1" s="137">
      <c r="C58" s="88" t="n"/>
      <c r="D58" s="92" t="n"/>
    </row>
    <row r="59" ht="14.25" customHeight="1" s="137">
      <c r="A59" s="89" t="n">
        <v>2023</v>
      </c>
      <c r="C59" s="88" t="n"/>
      <c r="D59" s="92" t="n"/>
    </row>
    <row r="60" ht="14.25" customHeight="1" s="137">
      <c r="A60" s="122" t="inlineStr">
        <is>
          <t>A Catalogue of Engraved Gems in the British Museum: Department of Greek and Roman Antiquities</t>
        </is>
      </c>
      <c r="B60" s="94" t="inlineStr">
        <is>
          <t>Abebooks</t>
        </is>
      </c>
      <c r="C60" s="93" t="n">
        <v>5.37</v>
      </c>
      <c r="D60" s="92" t="n">
        <v>44563</v>
      </c>
      <c r="E60" s="122" t="inlineStr">
        <is>
          <t>Credit Card</t>
        </is>
      </c>
    </row>
    <row r="61" ht="14.25" customHeight="1" s="137">
      <c r="A61" s="122" t="inlineStr">
        <is>
          <t>Cyclinder Seals</t>
        </is>
      </c>
      <c r="B61" s="122" t="inlineStr">
        <is>
          <t>Ebay</t>
        </is>
      </c>
      <c r="C61" s="88" t="n">
        <v>20</v>
      </c>
      <c r="D61" s="92" t="n"/>
      <c r="E61" s="122" t="inlineStr">
        <is>
          <t>Credit Card</t>
        </is>
      </c>
    </row>
    <row r="62" ht="14.25" customHeight="1" s="137">
      <c r="A62" s="99" t="inlineStr">
        <is>
          <t>A Collection of Auction and Dealer Catalogues</t>
        </is>
      </c>
      <c r="B62" s="99" t="inlineStr">
        <is>
          <t>Forge&amp;Lynch</t>
        </is>
      </c>
      <c r="C62" s="100" t="n">
        <v>5000</v>
      </c>
      <c r="D62" s="101" t="n"/>
      <c r="E62" s="99" t="inlineStr">
        <is>
          <t>Wire</t>
        </is>
      </c>
      <c r="F62" s="99" t="n"/>
      <c r="G62" s="99" t="n"/>
      <c r="H62" s="99" t="n"/>
      <c r="I62" s="99" t="n"/>
      <c r="J62" s="99" t="n"/>
      <c r="K62" s="99" t="n"/>
      <c r="L62" s="99" t="n"/>
      <c r="M62" s="99" t="n"/>
      <c r="N62" s="99" t="n"/>
      <c r="O62" s="99" t="n"/>
      <c r="P62" s="99" t="n"/>
      <c r="Q62" s="99" t="n"/>
      <c r="R62" s="99" t="n"/>
      <c r="S62" s="99" t="n"/>
      <c r="T62" s="99" t="n"/>
      <c r="U62" s="99" t="n"/>
      <c r="V62" s="99" t="n"/>
      <c r="W62" s="99" t="n"/>
      <c r="X62" s="99" t="n"/>
      <c r="Y62" s="99" t="n"/>
      <c r="Z62" s="99" t="n"/>
    </row>
    <row r="63" ht="14.25" customHeight="1" s="137">
      <c r="A63" s="5" t="inlineStr">
        <is>
          <t>Total</t>
        </is>
      </c>
      <c r="B63" s="5" t="n"/>
      <c r="C63" s="86" t="n">
        <v>5025.37</v>
      </c>
      <c r="D63" s="92" t="n"/>
    </row>
    <row r="64" ht="14.25" customHeight="1" s="137">
      <c r="C64" s="88" t="n"/>
      <c r="D64" s="92" t="n"/>
    </row>
    <row r="65" ht="14.25" customHeight="1" s="137">
      <c r="A65" s="89" t="n">
        <v>2024</v>
      </c>
      <c r="C65" s="88" t="n"/>
      <c r="D65" s="92" t="n"/>
    </row>
    <row r="66" ht="14.25" customHeight="1" s="137">
      <c r="A66" s="122" t="inlineStr">
        <is>
          <t>Lost Cities of the Mayas:</t>
        </is>
      </c>
      <c r="B66" s="122" t="inlineStr">
        <is>
          <t>Abebooks</t>
        </is>
      </c>
      <c r="C66" s="88" t="n">
        <v>65.56</v>
      </c>
      <c r="D66" s="92" t="n"/>
      <c r="E66" s="122" t="inlineStr">
        <is>
          <t>Credit Card</t>
        </is>
      </c>
    </row>
    <row r="67" ht="14.25" customHeight="1" s="137">
      <c r="A67" s="102" t="inlineStr">
        <is>
          <t>Renaissance Jewels and Jeweled Objects, from the Melvin Gutman Collection</t>
        </is>
      </c>
      <c r="B67" s="122" t="inlineStr">
        <is>
          <t>Abebooks</t>
        </is>
      </c>
      <c r="C67" s="88" t="n">
        <v>25.23</v>
      </c>
      <c r="D67" s="92" t="n"/>
      <c r="E67" s="122" t="inlineStr">
        <is>
          <t>Credit Card</t>
        </is>
      </c>
    </row>
    <row r="68" ht="14.25" customHeight="1" s="137">
      <c r="A68" s="102" t="inlineStr">
        <is>
          <t>Christie's Catalogue Northwick Park</t>
        </is>
      </c>
      <c r="B68" s="122" t="inlineStr">
        <is>
          <t>Ebay</t>
        </is>
      </c>
      <c r="C68" s="88" t="n">
        <v>28.55</v>
      </c>
      <c r="D68" s="92" t="n">
        <v>45654</v>
      </c>
      <c r="E68" s="122" t="inlineStr">
        <is>
          <t>Credit Card</t>
        </is>
      </c>
    </row>
    <row r="69" ht="14.25" customHeight="1" s="137">
      <c r="A69" s="102" t="inlineStr">
        <is>
          <t>Harmer Rooke 1986</t>
        </is>
      </c>
      <c r="B69" s="122" t="inlineStr">
        <is>
          <t>Ebay</t>
        </is>
      </c>
      <c r="C69" s="88" t="n">
        <v>11.69</v>
      </c>
      <c r="D69" s="92" t="n">
        <v>45546</v>
      </c>
      <c r="E69" s="122" t="inlineStr">
        <is>
          <t>Credit Card</t>
        </is>
      </c>
    </row>
    <row r="70" ht="14.25" customHeight="1" s="137">
      <c r="A70" s="102" t="inlineStr">
        <is>
          <t>Grimani Palace Flyer</t>
        </is>
      </c>
      <c r="B70" s="122" t="inlineStr">
        <is>
          <t>Ebay</t>
        </is>
      </c>
      <c r="C70" s="88" t="n">
        <v>16.91</v>
      </c>
      <c r="D70" s="92" t="n">
        <v>45442</v>
      </c>
      <c r="E70" s="122" t="inlineStr">
        <is>
          <t>Credit Card</t>
        </is>
      </c>
    </row>
    <row r="71" ht="14.25" customHeight="1" s="137">
      <c r="A71" s="102" t="inlineStr">
        <is>
          <t>CoC Book</t>
        </is>
      </c>
      <c r="B71" s="122" t="inlineStr">
        <is>
          <t>Amazon</t>
        </is>
      </c>
      <c r="C71" s="88" t="n">
        <v>49.5</v>
      </c>
      <c r="D71" s="92" t="n"/>
      <c r="E71" s="122" t="inlineStr">
        <is>
          <t>Credit Card</t>
        </is>
      </c>
    </row>
    <row r="72" ht="14.25" customHeight="1" s="137">
      <c r="A72" s="95" t="inlineStr">
        <is>
          <t>Total</t>
        </is>
      </c>
      <c r="B72" s="95" t="n"/>
      <c r="C72" s="96">
        <f>SUM(C66:C71)</f>
        <v/>
      </c>
      <c r="D72" s="97" t="n"/>
      <c r="E72" s="98" t="n"/>
      <c r="F72" s="98" t="n"/>
      <c r="G72" s="98" t="n"/>
      <c r="H72" s="98" t="n"/>
      <c r="I72" s="98" t="n"/>
      <c r="J72" s="98" t="n"/>
      <c r="K72" s="98" t="n"/>
      <c r="L72" s="98" t="n"/>
      <c r="M72" s="98" t="n"/>
      <c r="N72" s="98" t="n"/>
      <c r="O72" s="98" t="n"/>
      <c r="P72" s="98" t="n"/>
      <c r="Q72" s="98" t="n"/>
      <c r="R72" s="98" t="n"/>
      <c r="S72" s="98" t="n"/>
      <c r="T72" s="98" t="n"/>
      <c r="U72" s="98" t="n"/>
      <c r="V72" s="98" t="n"/>
      <c r="W72" s="98" t="n"/>
      <c r="X72" s="98" t="n"/>
      <c r="Y72" s="98" t="n"/>
      <c r="Z72" s="98" t="n"/>
    </row>
    <row r="73" ht="14.25" customHeight="1" s="137">
      <c r="C73" s="88" t="n"/>
      <c r="D73" s="92" t="n"/>
    </row>
    <row r="74" ht="14.25" customHeight="1" s="137">
      <c r="A74" s="89" t="n">
        <v>2025</v>
      </c>
      <c r="C74" s="88" t="n"/>
      <c r="D74" s="92" t="n"/>
    </row>
    <row r="75" ht="14.25" customHeight="1" s="137">
      <c r="A75" s="122" t="inlineStr">
        <is>
          <t>Jewelry Books</t>
        </is>
      </c>
      <c r="B75" s="122" t="inlineStr">
        <is>
          <t>Fred Schultz Library</t>
        </is>
      </c>
      <c r="C75" s="103" t="n">
        <v>1000</v>
      </c>
      <c r="D75" s="92" t="n">
        <v>45664</v>
      </c>
      <c r="E75" s="122" t="inlineStr">
        <is>
          <t>Wire</t>
        </is>
      </c>
    </row>
    <row r="76" ht="14.25" customHeight="1" s="137">
      <c r="C76" s="88" t="n"/>
      <c r="D76" s="92" t="n"/>
    </row>
    <row r="77" ht="14.25" customHeight="1" s="137">
      <c r="C77" s="88" t="n"/>
      <c r="D77" s="92" t="n"/>
    </row>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pageMargins left="0.7" right="0.7" top="0.75" bottom="0.75" header="0" footer="0"/>
  <pageSetup orientation="portrait"/>
</worksheet>
</file>

<file path=xl/worksheets/sheet6.xml><?xml version="1.0" encoding="utf-8"?>
<worksheet xmlns="http://schemas.openxmlformats.org/spreadsheetml/2006/main">
  <sheetPr>
    <tabColor rgb="FF7030A0"/>
    <outlinePr summaryBelow="1" summaryRight="1"/>
    <pageSetUpPr/>
  </sheetPr>
  <dimension ref="A1:Z132"/>
  <sheetViews>
    <sheetView workbookViewId="0">
      <selection activeCell="A1" sqref="A1"/>
    </sheetView>
  </sheetViews>
  <sheetFormatPr baseColWidth="8" defaultColWidth="14.43" defaultRowHeight="15" customHeight="1"/>
  <cols>
    <col width="47.86" customWidth="1" style="137" min="1" max="1"/>
    <col width="20.57" customWidth="1" style="137" min="2" max="2"/>
    <col width="19.57" customWidth="1" style="137" min="3" max="3"/>
    <col width="16.57" customWidth="1" style="137" min="4" max="4"/>
    <col width="19.14" customWidth="1" style="137" min="5" max="5"/>
    <col width="17.43" customWidth="1" style="137" min="6" max="6"/>
    <col width="24.86" customWidth="1" style="137" min="7" max="7"/>
    <col width="16.14" customWidth="1" style="137" min="8" max="8"/>
    <col width="13.57" customWidth="1" style="137" min="9" max="9"/>
    <col width="19.43" customWidth="1" style="137" min="10" max="10"/>
    <col width="8.710000000000001" customWidth="1" style="137" min="11" max="26"/>
  </cols>
  <sheetData>
    <row r="1" ht="14.25" customHeight="1" s="137">
      <c r="B1" s="104" t="n"/>
      <c r="C1" s="88" t="n"/>
      <c r="F1" s="88" t="n"/>
      <c r="I1" s="105" t="n"/>
    </row>
    <row r="2" ht="14.25" customHeight="1" s="137">
      <c r="A2" s="106" t="inlineStr">
        <is>
          <t>Sales 2022</t>
        </is>
      </c>
      <c r="B2" s="106" t="n"/>
      <c r="C2" s="106" t="n"/>
      <c r="D2" s="106" t="n"/>
      <c r="E2" s="106" t="n"/>
      <c r="F2" s="106" t="n"/>
      <c r="G2" s="106" t="n"/>
      <c r="H2" s="106" t="n"/>
      <c r="I2" s="105" t="n"/>
    </row>
    <row r="3" ht="14.25" customHeight="1" s="137">
      <c r="A3" s="89" t="inlineStr">
        <is>
          <t>Object</t>
        </is>
      </c>
      <c r="B3" s="107" t="inlineStr">
        <is>
          <t>From</t>
        </is>
      </c>
      <c r="C3" s="90" t="inlineStr">
        <is>
          <t>Cost</t>
        </is>
      </c>
      <c r="D3" s="89" t="inlineStr">
        <is>
          <t xml:space="preserve">Purchase Date </t>
        </is>
      </c>
      <c r="E3" s="89" t="inlineStr">
        <is>
          <t>To</t>
        </is>
      </c>
      <c r="F3" s="90" t="inlineStr">
        <is>
          <t>Sale Price</t>
        </is>
      </c>
      <c r="G3" s="89" t="inlineStr">
        <is>
          <t>Sale Date</t>
        </is>
      </c>
      <c r="H3" s="89" t="inlineStr">
        <is>
          <t>Net Income</t>
        </is>
      </c>
      <c r="I3" s="108" t="inlineStr">
        <is>
          <t>ROI (%)</t>
        </is>
      </c>
      <c r="J3" s="89" t="inlineStr">
        <is>
          <t xml:space="preserve">Days in Inventory </t>
        </is>
      </c>
    </row>
    <row r="4" ht="14.25" customHeight="1" s="137">
      <c r="A4" s="122" t="inlineStr">
        <is>
          <t>An Ashanti Wood Fertility Figure</t>
        </is>
      </c>
      <c r="B4" s="104" t="inlineStr">
        <is>
          <t>Live Auctioneers</t>
        </is>
      </c>
      <c r="C4" s="88" t="n">
        <v>450</v>
      </c>
      <c r="D4" s="92" t="n">
        <v>44344</v>
      </c>
      <c r="E4" s="122" t="inlineStr">
        <is>
          <t>Hindman</t>
        </is>
      </c>
      <c r="F4" s="88" t="n">
        <v>500</v>
      </c>
      <c r="G4" s="92" t="n">
        <v>44755</v>
      </c>
      <c r="H4" s="88">
        <f>SUM(F4-C4)</f>
        <v/>
      </c>
      <c r="I4" s="105">
        <f>H4/C4</f>
        <v/>
      </c>
      <c r="J4" s="122">
        <f>G4-D4</f>
        <v/>
      </c>
    </row>
    <row r="5" ht="14.25" customHeight="1" s="137">
      <c r="A5" s="122" t="inlineStr">
        <is>
          <t>A Large Maya Hardstone Celt</t>
        </is>
      </c>
      <c r="B5" s="104" t="inlineStr">
        <is>
          <t>Live Auctioneers</t>
        </is>
      </c>
      <c r="C5" s="88" t="n">
        <v>906.37</v>
      </c>
      <c r="D5" s="92" t="n">
        <v>44535</v>
      </c>
      <c r="E5" s="122" t="inlineStr">
        <is>
          <t>Hindman</t>
        </is>
      </c>
      <c r="F5" s="88" t="n">
        <v>1000</v>
      </c>
      <c r="G5" s="92" t="n">
        <v>44755</v>
      </c>
      <c r="H5" s="88">
        <f>SUM(F5-C5)</f>
        <v/>
      </c>
      <c r="I5" s="105">
        <f>H5/C5</f>
        <v/>
      </c>
      <c r="J5" s="122">
        <f>G5-D5</f>
        <v/>
      </c>
    </row>
    <row r="6" ht="14.25" customHeight="1" s="137">
      <c r="A6" s="122" t="inlineStr">
        <is>
          <t>A Mezcala Stone Figure</t>
        </is>
      </c>
      <c r="B6" s="104" t="inlineStr">
        <is>
          <t>Live Auctioneers</t>
        </is>
      </c>
      <c r="C6" s="109" t="n">
        <v>239</v>
      </c>
      <c r="D6" s="92" t="n">
        <v>44548</v>
      </c>
      <c r="E6" s="122" t="inlineStr">
        <is>
          <t>Hindman</t>
        </is>
      </c>
      <c r="F6" s="88" t="n">
        <v>400</v>
      </c>
      <c r="G6" s="92" t="n">
        <v>44755</v>
      </c>
      <c r="H6" s="88">
        <f>SUM(F6-C6)</f>
        <v/>
      </c>
      <c r="I6" s="105">
        <f>H6/C6</f>
        <v/>
      </c>
      <c r="J6" s="122">
        <f>G6-D6</f>
        <v/>
      </c>
    </row>
    <row r="7" ht="14.25" customHeight="1" s="137">
      <c r="A7" s="122" t="inlineStr">
        <is>
          <t>A Veracruz Sonriente Figure</t>
        </is>
      </c>
      <c r="B7" s="104" t="inlineStr">
        <is>
          <t>Live Auctioneers</t>
        </is>
      </c>
      <c r="C7" s="88" t="n">
        <v>900</v>
      </c>
      <c r="D7" s="92" t="n">
        <v>44569</v>
      </c>
      <c r="E7" s="122" t="inlineStr">
        <is>
          <t>Hindman</t>
        </is>
      </c>
      <c r="F7" s="88" t="n">
        <v>1100</v>
      </c>
      <c r="G7" s="92" t="n">
        <v>44755</v>
      </c>
      <c r="H7" s="88">
        <f>SUM(F7-C7)</f>
        <v/>
      </c>
      <c r="I7" s="105">
        <f>H7/C7</f>
        <v/>
      </c>
      <c r="J7" s="122">
        <f>G7-D7</f>
        <v/>
      </c>
    </row>
    <row r="8" ht="14.25" customHeight="1" s="137">
      <c r="A8" s="122" t="inlineStr">
        <is>
          <t>A Tairona Metal Tumbaga</t>
        </is>
      </c>
      <c r="B8" s="104" t="inlineStr">
        <is>
          <t>Live Auctioneers</t>
        </is>
      </c>
      <c r="C8" s="88" t="n">
        <v>172</v>
      </c>
      <c r="D8" s="92" t="n">
        <v>44569</v>
      </c>
      <c r="E8" s="122" t="inlineStr">
        <is>
          <t>Hindman</t>
        </is>
      </c>
      <c r="F8" s="88" t="n">
        <v>375</v>
      </c>
      <c r="G8" s="92" t="n">
        <v>44755</v>
      </c>
      <c r="H8" s="88">
        <f>SUM(F8-C8)</f>
        <v/>
      </c>
      <c r="I8" s="105">
        <f>H8/C8</f>
        <v/>
      </c>
      <c r="J8" s="122">
        <f>G8-D8</f>
        <v/>
      </c>
    </row>
    <row r="9" ht="14.25" customHeight="1" s="137">
      <c r="A9" s="122" t="inlineStr">
        <is>
          <t>Four Thracian Gilt-Silver Double Eagle Plaques</t>
        </is>
      </c>
      <c r="B9" s="104" t="inlineStr">
        <is>
          <t>Hindman</t>
        </is>
      </c>
      <c r="C9" s="88" t="n">
        <v>400</v>
      </c>
      <c r="D9" s="92" t="n">
        <v>44343</v>
      </c>
      <c r="E9" s="122" t="inlineStr">
        <is>
          <t>Hindman</t>
        </is>
      </c>
      <c r="F9" s="88" t="n">
        <v>500</v>
      </c>
      <c r="G9" s="92" t="n">
        <v>44877</v>
      </c>
      <c r="H9" s="88">
        <f>SUM(F9-C9)</f>
        <v/>
      </c>
      <c r="I9" s="105">
        <f>H9/C9</f>
        <v/>
      </c>
      <c r="J9" s="122">
        <f>G9-D9</f>
        <v/>
      </c>
    </row>
    <row r="10" ht="14.25" customHeight="1" s="137">
      <c r="A10" s="122" t="inlineStr">
        <is>
          <t>A Thracian Gilt-Silver Tondo of a Female Bust</t>
        </is>
      </c>
      <c r="B10" s="104" t="inlineStr">
        <is>
          <t>Hindman</t>
        </is>
      </c>
      <c r="C10" s="88" t="n">
        <v>375</v>
      </c>
      <c r="D10" s="92" t="n">
        <v>44343</v>
      </c>
      <c r="E10" s="122" t="inlineStr">
        <is>
          <t>Hindman</t>
        </is>
      </c>
      <c r="F10" s="88" t="n">
        <v>700</v>
      </c>
      <c r="G10" s="92" t="n">
        <v>44877</v>
      </c>
      <c r="H10" s="88">
        <f>SUM(F10-C10)</f>
        <v/>
      </c>
      <c r="I10" s="105">
        <f>H10/C10</f>
        <v/>
      </c>
      <c r="J10" s="122">
        <f>G10-D10</f>
        <v/>
      </c>
    </row>
    <row r="11" ht="14.25" customHeight="1" s="137">
      <c r="A11" s="122" t="inlineStr">
        <is>
          <t>A Pair of Canosan Painted Pottery Oinochoai</t>
        </is>
      </c>
      <c r="B11" s="104" t="inlineStr">
        <is>
          <t>Hindman</t>
        </is>
      </c>
      <c r="C11" s="88" t="n">
        <v>6250</v>
      </c>
      <c r="D11" s="92" t="n">
        <v>44343</v>
      </c>
      <c r="E11" s="92" t="inlineStr">
        <is>
          <t>Hindman</t>
        </is>
      </c>
      <c r="F11" s="88" t="n">
        <v>15000</v>
      </c>
      <c r="G11" s="92" t="n">
        <v>44877</v>
      </c>
      <c r="H11" s="88">
        <f>SUM(F11-C11)</f>
        <v/>
      </c>
      <c r="I11" s="105">
        <f>H11/C11</f>
        <v/>
      </c>
      <c r="J11" s="122">
        <f>G11-D11</f>
        <v/>
      </c>
    </row>
    <row r="12" ht="14.25" customHeight="1" s="137">
      <c r="A12" s="122" t="inlineStr">
        <is>
          <t xml:space="preserve">Thirteen Saharan Stone Bracelets and Discoidals </t>
        </is>
      </c>
      <c r="B12" s="104" t="inlineStr">
        <is>
          <t>Amyas Naegele</t>
        </is>
      </c>
      <c r="C12" s="88" t="n">
        <v>6100</v>
      </c>
      <c r="D12" s="92" t="n">
        <v>44692</v>
      </c>
      <c r="E12" s="122" t="inlineStr">
        <is>
          <t>Aquinas Hobor</t>
        </is>
      </c>
      <c r="F12" s="88" t="n">
        <v>8000</v>
      </c>
      <c r="G12" s="92" t="n">
        <v>44908</v>
      </c>
      <c r="H12" s="88">
        <f>SUM(F12-C12)</f>
        <v/>
      </c>
      <c r="I12" s="105">
        <f>H12/C12</f>
        <v/>
      </c>
      <c r="J12" s="122">
        <f>G12-D12</f>
        <v/>
      </c>
    </row>
    <row r="13" ht="14.25" customHeight="1" s="137">
      <c r="A13" s="122" t="inlineStr">
        <is>
          <t>A Greek Style Bronze Corinthian Helmet</t>
        </is>
      </c>
      <c r="B13" s="104" t="inlineStr">
        <is>
          <t>EBay</t>
        </is>
      </c>
      <c r="C13" s="88" t="n">
        <v>5250.97</v>
      </c>
      <c r="D13" s="92" t="n">
        <v>44895</v>
      </c>
      <c r="E13" s="122" t="inlineStr">
        <is>
          <t>Marco Mercanti</t>
        </is>
      </c>
      <c r="F13" s="88" t="n">
        <v>9000</v>
      </c>
      <c r="G13" s="92" t="n">
        <v>44908</v>
      </c>
      <c r="H13" s="88">
        <f>SUM(F13-C13)</f>
        <v/>
      </c>
      <c r="I13" s="105">
        <f>H13/C13</f>
        <v/>
      </c>
      <c r="J13" s="122">
        <f>G13-D13</f>
        <v/>
      </c>
    </row>
    <row r="14" ht="14.25" customHeight="1" s="137">
      <c r="A14" s="5" t="inlineStr">
        <is>
          <t>Total</t>
        </is>
      </c>
      <c r="B14" s="104" t="n"/>
      <c r="C14" s="86">
        <f>SUM(C4:C13)</f>
        <v/>
      </c>
      <c r="D14" s="92" t="n"/>
      <c r="F14" s="86">
        <f>SUM(F4:F13)</f>
        <v/>
      </c>
      <c r="G14" s="92" t="n"/>
      <c r="H14" s="110">
        <f>SUM(H4:H13)</f>
        <v/>
      </c>
      <c r="I14" s="105">
        <f>H14/C14</f>
        <v/>
      </c>
      <c r="J14" s="111">
        <f>AVERAGE(J4:J13)</f>
        <v/>
      </c>
    </row>
    <row r="15" ht="14.25" customHeight="1" s="137">
      <c r="A15" s="106" t="inlineStr">
        <is>
          <t>Sales 2023</t>
        </is>
      </c>
      <c r="B15" s="106" t="n"/>
      <c r="C15" s="106" t="n"/>
      <c r="D15" s="106" t="n"/>
      <c r="E15" s="106" t="n"/>
      <c r="F15" s="106" t="n"/>
      <c r="G15" s="106" t="n"/>
      <c r="H15" s="106" t="n"/>
      <c r="I15" s="105" t="n"/>
    </row>
    <row r="16" ht="14.25" customHeight="1" s="137">
      <c r="A16" s="89" t="inlineStr">
        <is>
          <t>Object</t>
        </is>
      </c>
      <c r="B16" s="107" t="inlineStr">
        <is>
          <t>From</t>
        </is>
      </c>
      <c r="C16" s="90" t="inlineStr">
        <is>
          <t>Cost</t>
        </is>
      </c>
      <c r="D16" s="89" t="inlineStr">
        <is>
          <t xml:space="preserve">Purchase Date </t>
        </is>
      </c>
      <c r="E16" s="89" t="inlineStr">
        <is>
          <t>To</t>
        </is>
      </c>
      <c r="F16" s="90" t="inlineStr">
        <is>
          <t>Sale Price</t>
        </is>
      </c>
      <c r="G16" s="89" t="inlineStr">
        <is>
          <t>Sale Date</t>
        </is>
      </c>
      <c r="H16" s="89" t="inlineStr">
        <is>
          <t>Net Income</t>
        </is>
      </c>
      <c r="I16" s="105" t="n"/>
    </row>
    <row r="17" ht="14.25" customHeight="1" s="137">
      <c r="A17" s="122" t="inlineStr">
        <is>
          <t>Greek Bronze Cheek Pieces</t>
        </is>
      </c>
      <c r="B17" s="104" t="inlineStr">
        <is>
          <t>eBay</t>
        </is>
      </c>
      <c r="C17" s="88" t="n">
        <v>2870.43</v>
      </c>
      <c r="D17" s="92" t="n">
        <v>44918</v>
      </c>
      <c r="E17" s="122" t="inlineStr">
        <is>
          <t>Hindman</t>
        </is>
      </c>
      <c r="F17" s="88" t="n">
        <v>8500</v>
      </c>
      <c r="G17" s="92" t="n">
        <v>45071</v>
      </c>
      <c r="H17" s="88">
        <f>SUM(F17-C17)</f>
        <v/>
      </c>
      <c r="I17" s="105">
        <f>H17/C17</f>
        <v/>
      </c>
      <c r="J17" s="122">
        <f>G17-D17</f>
        <v/>
      </c>
    </row>
    <row r="18" ht="14.25" customHeight="1" s="137">
      <c r="A18" s="122" t="inlineStr">
        <is>
          <t>Egyptian Neolithic Flint Tools (2)</t>
        </is>
      </c>
      <c r="B18" s="104" t="inlineStr">
        <is>
          <t>Arte Primitivo</t>
        </is>
      </c>
      <c r="C18" s="88" t="n">
        <v>392.14</v>
      </c>
      <c r="D18" s="92" t="n">
        <v>44908</v>
      </c>
      <c r="E18" s="122" t="inlineStr">
        <is>
          <t>Hindman</t>
        </is>
      </c>
      <c r="F18" s="88" t="n">
        <v>2500</v>
      </c>
      <c r="G18" s="92" t="n">
        <v>45071</v>
      </c>
      <c r="H18" s="88">
        <f>SUM(F18-C18)</f>
        <v/>
      </c>
      <c r="I18" s="105">
        <f>H18/C18</f>
        <v/>
      </c>
      <c r="J18" s="122">
        <f>G18-D18</f>
        <v/>
      </c>
    </row>
    <row r="19" ht="14.25" customHeight="1" s="137">
      <c r="A19" s="122" t="inlineStr">
        <is>
          <t>Apulian Red Figure Fragment</t>
        </is>
      </c>
      <c r="B19" s="104" t="inlineStr">
        <is>
          <t>Aaron Berk</t>
        </is>
      </c>
      <c r="C19" s="88" t="n">
        <v>750</v>
      </c>
      <c r="D19" s="92" t="n">
        <v>44718</v>
      </c>
      <c r="E19" s="122" t="inlineStr">
        <is>
          <t>Hindman</t>
        </is>
      </c>
      <c r="F19" s="88" t="n">
        <v>600</v>
      </c>
      <c r="G19" s="92" t="n">
        <v>45071</v>
      </c>
      <c r="H19" s="88">
        <f>SUM(F19-C19)</f>
        <v/>
      </c>
      <c r="I19" s="105">
        <f>H19/C19</f>
        <v/>
      </c>
      <c r="J19" s="122">
        <f>G19-D19</f>
        <v/>
      </c>
    </row>
    <row r="20" ht="14.25" customHeight="1" s="137">
      <c r="A20" s="122" t="inlineStr">
        <is>
          <t>A Roman-Style Rock Crystal Amphoriskos</t>
        </is>
      </c>
      <c r="B20" s="104" t="inlineStr">
        <is>
          <t>Live Auctioneers</t>
        </is>
      </c>
      <c r="C20" s="88" t="n">
        <v>1351.78</v>
      </c>
      <c r="D20" s="92" t="n">
        <v>44770</v>
      </c>
      <c r="E20" s="122" t="inlineStr">
        <is>
          <t>Hindman</t>
        </is>
      </c>
      <c r="F20" s="88" t="n">
        <v>1900</v>
      </c>
      <c r="G20" s="92" t="n">
        <v>45071</v>
      </c>
      <c r="H20" s="88">
        <f>SUM(F20-C20)</f>
        <v/>
      </c>
      <c r="I20" s="105">
        <f>H20/C20</f>
        <v/>
      </c>
      <c r="J20" s="122">
        <f>G20-D20</f>
        <v/>
      </c>
    </row>
    <row r="21" ht="14.25" customHeight="1" s="137">
      <c r="A21" s="5" t="inlineStr">
        <is>
          <t>A Roman Mosaic</t>
        </is>
      </c>
      <c r="B21" s="104" t="inlineStr">
        <is>
          <t>ebay</t>
        </is>
      </c>
      <c r="C21" s="88" t="n">
        <v>3938</v>
      </c>
      <c r="D21" s="92" t="n">
        <v>45087</v>
      </c>
      <c r="E21" s="122" t="inlineStr">
        <is>
          <t>Aaron Berk</t>
        </is>
      </c>
      <c r="F21" s="88" t="n">
        <v>8500</v>
      </c>
      <c r="G21" s="92" t="n">
        <v>45099</v>
      </c>
      <c r="H21" s="88">
        <f>SUM(F21-C21)</f>
        <v/>
      </c>
      <c r="I21" s="105">
        <f>H21/C21</f>
        <v/>
      </c>
      <c r="J21" s="122">
        <f>G21-D21</f>
        <v/>
      </c>
    </row>
    <row r="22" ht="14.25" customHeight="1" s="137">
      <c r="A22" s="122" t="inlineStr">
        <is>
          <t>Pre-Columbian Jade Earspools</t>
        </is>
      </c>
      <c r="B22" s="104" t="inlineStr">
        <is>
          <t>Live Auctioneers</t>
        </is>
      </c>
      <c r="C22" s="88" t="n">
        <v>233</v>
      </c>
      <c r="D22" s="92" t="n">
        <v>45086</v>
      </c>
      <c r="E22" s="122" t="inlineStr">
        <is>
          <t>Aaron Berk</t>
        </is>
      </c>
      <c r="F22" s="88" t="n">
        <v>500</v>
      </c>
      <c r="G22" s="92" t="n">
        <v>45099</v>
      </c>
      <c r="H22" s="88">
        <f>SUM(F22-C22)</f>
        <v/>
      </c>
      <c r="I22" s="105">
        <f>H22/C22</f>
        <v/>
      </c>
      <c r="J22" s="122">
        <f>G22-D22</f>
        <v/>
      </c>
    </row>
    <row r="23" ht="14.25" customHeight="1" s="137">
      <c r="A23" s="122" t="inlineStr">
        <is>
          <t>Teo Alabaster Mask</t>
        </is>
      </c>
      <c r="B23" s="104" t="inlineStr">
        <is>
          <t>Live Auctioneers</t>
        </is>
      </c>
      <c r="C23" s="88" t="n">
        <v>701.5</v>
      </c>
      <c r="D23" s="92" t="n">
        <v>45086</v>
      </c>
      <c r="E23" s="122" t="inlineStr">
        <is>
          <t>Aaron Berk</t>
        </is>
      </c>
      <c r="F23" s="88" t="n">
        <v>2000</v>
      </c>
      <c r="G23" s="92" t="n">
        <v>45099</v>
      </c>
      <c r="H23" s="88">
        <f>SUM(F23-C23)</f>
        <v/>
      </c>
      <c r="I23" s="105">
        <f>H23/C23</f>
        <v/>
      </c>
      <c r="J23" s="122">
        <f>G23-D23</f>
        <v/>
      </c>
    </row>
    <row r="24" ht="14.25" customHeight="1" s="137">
      <c r="A24" s="122" t="inlineStr">
        <is>
          <t>Mezcala Stone Temple</t>
        </is>
      </c>
      <c r="B24" s="104" t="inlineStr">
        <is>
          <t>Live Auctioneers</t>
        </is>
      </c>
      <c r="C24" s="88" t="n">
        <v>233</v>
      </c>
      <c r="D24" s="92" t="n">
        <v>45086</v>
      </c>
      <c r="E24" s="122" t="inlineStr">
        <is>
          <t>Aaron Berk</t>
        </is>
      </c>
      <c r="F24" s="88" t="n">
        <v>500</v>
      </c>
      <c r="G24" s="92" t="n">
        <v>45099</v>
      </c>
      <c r="H24" s="88">
        <f>SUM(F24-C24)</f>
        <v/>
      </c>
      <c r="I24" s="105">
        <f>H24/C24</f>
        <v/>
      </c>
      <c r="J24" s="122">
        <f>G24-D24</f>
        <v/>
      </c>
    </row>
    <row r="25" ht="14.25" customHeight="1" s="137">
      <c r="A25" s="122" t="inlineStr">
        <is>
          <t>Mezcala Stone Figure</t>
        </is>
      </c>
      <c r="B25" s="104" t="inlineStr">
        <is>
          <t>Live Auctioneers</t>
        </is>
      </c>
      <c r="C25" s="88" t="n">
        <v>233</v>
      </c>
      <c r="D25" s="92" t="n">
        <v>45086</v>
      </c>
      <c r="E25" s="122" t="inlineStr">
        <is>
          <t>Aaron Berk</t>
        </is>
      </c>
      <c r="F25" s="88" t="n">
        <v>500</v>
      </c>
      <c r="G25" s="92" t="n">
        <v>45099</v>
      </c>
      <c r="H25" s="88">
        <f>SUM(F25-C25)</f>
        <v/>
      </c>
      <c r="I25" s="105">
        <f>H25/C25</f>
        <v/>
      </c>
      <c r="J25" s="122">
        <f>G25-D25</f>
        <v/>
      </c>
    </row>
    <row r="26" ht="14.25" customHeight="1" s="137">
      <c r="A26" s="122" t="inlineStr">
        <is>
          <t>GREEK BRONZE HELMET OF PHRYGIAN TYPE</t>
        </is>
      </c>
      <c r="B26" s="104" t="inlineStr">
        <is>
          <t>ebay</t>
        </is>
      </c>
      <c r="C26" s="88" t="n">
        <v>2000</v>
      </c>
      <c r="D26" s="92" t="n">
        <v>44918</v>
      </c>
      <c r="E26" s="122" t="inlineStr">
        <is>
          <t>Aaron Berk</t>
        </is>
      </c>
      <c r="F26" s="88" t="n">
        <v>7000</v>
      </c>
      <c r="G26" s="92" t="n">
        <v>45099</v>
      </c>
      <c r="H26" s="88">
        <f>SUM(F26-C26)</f>
        <v/>
      </c>
      <c r="I26" s="105">
        <f>H26/C26</f>
        <v/>
      </c>
      <c r="J26" s="122">
        <f>G26-D26</f>
        <v/>
      </c>
    </row>
    <row r="27" ht="14.25" customHeight="1" s="137">
      <c r="A27" s="122" t="inlineStr">
        <is>
          <t>Bactrian Style Stone Votive</t>
        </is>
      </c>
      <c r="B27" s="104" t="inlineStr">
        <is>
          <t>ebay</t>
        </is>
      </c>
      <c r="C27" s="88" t="n">
        <v>990</v>
      </c>
      <c r="D27" s="92" t="n">
        <v>44918</v>
      </c>
      <c r="E27" s="122" t="inlineStr">
        <is>
          <t>Aaron Berk</t>
        </is>
      </c>
      <c r="F27" s="88" t="n">
        <v>1000</v>
      </c>
      <c r="G27" s="92" t="n">
        <v>45099</v>
      </c>
      <c r="H27" s="88">
        <f>SUM(F27-C27)</f>
        <v/>
      </c>
      <c r="I27" s="105">
        <f>H27/C27</f>
        <v/>
      </c>
      <c r="J27" s="122">
        <f>G27-D27</f>
        <v/>
      </c>
    </row>
    <row r="28" ht="14.25" customHeight="1" s="137">
      <c r="A28" s="122" t="inlineStr">
        <is>
          <t>A Roman Bronze Knife</t>
        </is>
      </c>
      <c r="B28" s="104" t="inlineStr">
        <is>
          <t>Ebay</t>
        </is>
      </c>
      <c r="C28" s="103" t="n">
        <v>110</v>
      </c>
      <c r="D28" s="92" t="n">
        <v>44988</v>
      </c>
      <c r="E28" s="122" t="inlineStr">
        <is>
          <t>Gift</t>
        </is>
      </c>
      <c r="F28" s="88" t="n">
        <v>100</v>
      </c>
      <c r="G28" s="92" t="n">
        <v>45097</v>
      </c>
      <c r="H28" s="88">
        <f>SUM(F28-C28)</f>
        <v/>
      </c>
      <c r="I28" s="105">
        <f>H28/C28</f>
        <v/>
      </c>
      <c r="J28" s="122">
        <f>G28-D28</f>
        <v/>
      </c>
    </row>
    <row r="29" ht="14.25" customHeight="1" s="137">
      <c r="A29" s="122" t="inlineStr">
        <is>
          <t>Collection of Cylinder Seals</t>
        </is>
      </c>
      <c r="B29" s="104" t="inlineStr">
        <is>
          <t>Erdal Dere</t>
        </is>
      </c>
      <c r="C29" s="103" t="n">
        <v>360000</v>
      </c>
      <c r="D29" s="92" t="n">
        <v>45135</v>
      </c>
      <c r="E29" s="122" t="inlineStr">
        <is>
          <t>Aaron Berk</t>
        </is>
      </c>
      <c r="F29" s="88" t="n">
        <v>410000</v>
      </c>
      <c r="G29" s="92" t="n">
        <v>45135</v>
      </c>
      <c r="H29" s="88">
        <f>SUM(F29-C29)</f>
        <v/>
      </c>
      <c r="I29" s="105">
        <f>H29/C29</f>
        <v/>
      </c>
      <c r="J29" s="122">
        <f>G29-D29</f>
        <v/>
      </c>
    </row>
    <row r="30" ht="14.25" customHeight="1" s="137">
      <c r="A30" s="122" t="inlineStr">
        <is>
          <t>An Egyptian Cylinder Seal</t>
        </is>
      </c>
      <c r="B30" s="104" t="inlineStr">
        <is>
          <t>Erdal Dere</t>
        </is>
      </c>
      <c r="C30" s="103" t="n">
        <v>3600</v>
      </c>
      <c r="D30" s="92" t="n">
        <v>45191</v>
      </c>
      <c r="E30" s="122" t="inlineStr">
        <is>
          <t>Aaron Berk</t>
        </is>
      </c>
      <c r="F30" s="88" t="n">
        <v>4000</v>
      </c>
      <c r="G30" s="92" t="n">
        <v>45192</v>
      </c>
      <c r="H30" s="88">
        <f>SUM(F30-C30)</f>
        <v/>
      </c>
      <c r="I30" s="105">
        <f>H30/C30</f>
        <v/>
      </c>
      <c r="J30" s="122">
        <f>G30-D30</f>
        <v/>
      </c>
    </row>
    <row r="31" ht="14.25" customHeight="1" s="137">
      <c r="A31" s="122" t="inlineStr">
        <is>
          <t>A Collection of Tablets</t>
        </is>
      </c>
      <c r="B31" s="104" t="inlineStr">
        <is>
          <t>Danny Anavian</t>
        </is>
      </c>
      <c r="C31" s="103" t="n">
        <v>45000</v>
      </c>
      <c r="D31" s="92" t="n">
        <v>45237</v>
      </c>
      <c r="E31" s="122" t="inlineStr">
        <is>
          <t>Aaron Berk</t>
        </is>
      </c>
      <c r="F31" s="103" t="n">
        <v>55000</v>
      </c>
      <c r="G31" s="92" t="n">
        <v>45244</v>
      </c>
      <c r="H31" s="88">
        <f>SUM(F31-C31)</f>
        <v/>
      </c>
      <c r="I31" s="105">
        <f>H31/C31</f>
        <v/>
      </c>
      <c r="J31" s="122">
        <f>G31-D31</f>
        <v/>
      </c>
    </row>
    <row r="32" ht="14.25" customHeight="1" s="137">
      <c r="A32" s="122" t="inlineStr">
        <is>
          <t>A Gold Coin</t>
        </is>
      </c>
      <c r="B32" s="104" t="inlineStr">
        <is>
          <t>Erdal Dere</t>
        </is>
      </c>
      <c r="C32" s="103" t="n">
        <v>4000</v>
      </c>
      <c r="D32" s="92" t="n">
        <v>45246</v>
      </c>
      <c r="E32" s="122" t="inlineStr">
        <is>
          <t>Felix Brejente</t>
        </is>
      </c>
      <c r="F32" s="88" t="n">
        <v>4700</v>
      </c>
      <c r="G32" s="92" t="n">
        <v>45246</v>
      </c>
      <c r="H32" s="88">
        <f>SUM(F32-C32)</f>
        <v/>
      </c>
      <c r="I32" s="105">
        <f>H32/C32</f>
        <v/>
      </c>
      <c r="J32" s="122">
        <f>G32-D32</f>
        <v/>
      </c>
    </row>
    <row r="33" ht="14.25" customHeight="1" s="137">
      <c r="A33" s="122" t="inlineStr">
        <is>
          <t>Bactrian Chlorite Vessel</t>
        </is>
      </c>
      <c r="B33" s="104" t="inlineStr">
        <is>
          <t>Ebay</t>
        </is>
      </c>
      <c r="C33" s="88" t="n">
        <v>10</v>
      </c>
      <c r="D33" s="92" t="n">
        <v>44895</v>
      </c>
      <c r="E33" s="105" t="inlineStr">
        <is>
          <t>Hindman</t>
        </is>
      </c>
      <c r="F33" s="88" t="n">
        <v>2000</v>
      </c>
      <c r="G33" s="92" t="n">
        <v>45265</v>
      </c>
      <c r="H33" s="88">
        <f>SUM(F33-C33)</f>
        <v/>
      </c>
      <c r="I33" s="105">
        <f>H33/C33</f>
        <v/>
      </c>
      <c r="J33" s="122">
        <f>G33-D33</f>
        <v/>
      </c>
    </row>
    <row r="34" ht="14.25" customHeight="1" s="137">
      <c r="A34" s="122" t="inlineStr">
        <is>
          <t>An Egyptian Limestone Head of Hathor</t>
        </is>
      </c>
      <c r="B34" s="104" t="inlineStr">
        <is>
          <t>Ebay</t>
        </is>
      </c>
      <c r="C34" s="88" t="n">
        <v>50</v>
      </c>
      <c r="D34" s="92" t="n">
        <v>44911</v>
      </c>
      <c r="E34" s="122" t="inlineStr">
        <is>
          <t>Harlan J. Berk</t>
        </is>
      </c>
      <c r="F34" s="88" t="n">
        <v>1000</v>
      </c>
      <c r="G34" s="92" t="n">
        <v>45261</v>
      </c>
      <c r="H34" s="88">
        <f>SUM(F34-C34)</f>
        <v/>
      </c>
      <c r="I34" s="105">
        <f>H34/C34</f>
        <v/>
      </c>
      <c r="J34" s="122">
        <f>G34-D34</f>
        <v/>
      </c>
    </row>
    <row r="35" ht="14.25" customHeight="1" s="137">
      <c r="A35" s="122" t="inlineStr">
        <is>
          <t>Native America Banner Stone (Butterfly)</t>
        </is>
      </c>
      <c r="B35" s="104" t="inlineStr">
        <is>
          <t>Amyas Naegele</t>
        </is>
      </c>
      <c r="C35" s="88" t="n">
        <v>50</v>
      </c>
      <c r="D35" s="92" t="n">
        <v>44911</v>
      </c>
      <c r="E35" s="122" t="inlineStr">
        <is>
          <t>Harlan J. Berk</t>
        </is>
      </c>
      <c r="F35" s="88" t="n">
        <v>100</v>
      </c>
      <c r="G35" s="92" t="n">
        <v>45261</v>
      </c>
      <c r="H35" s="88">
        <f>SUM(F35-C35)</f>
        <v/>
      </c>
      <c r="I35" s="105">
        <f>H35/C35</f>
        <v/>
      </c>
      <c r="J35" s="122">
        <f>G35-D35</f>
        <v/>
      </c>
    </row>
    <row r="36" ht="14.25" customHeight="1" s="137">
      <c r="A36" s="122" t="inlineStr">
        <is>
          <t>Native America Banner Stone (Anthro)</t>
        </is>
      </c>
      <c r="B36" s="104" t="inlineStr">
        <is>
          <t>Amyas Naegele</t>
        </is>
      </c>
      <c r="C36" s="88" t="n">
        <v>50</v>
      </c>
      <c r="D36" s="92" t="n">
        <v>44911</v>
      </c>
      <c r="E36" s="122" t="inlineStr">
        <is>
          <t>Harlan J. Berk</t>
        </is>
      </c>
      <c r="F36" s="88" t="n">
        <v>100</v>
      </c>
      <c r="G36" s="92" t="n">
        <v>45261</v>
      </c>
      <c r="H36" s="88">
        <f>SUM(F36-C36)</f>
        <v/>
      </c>
      <c r="I36" s="105">
        <f>H36/C36</f>
        <v/>
      </c>
      <c r="J36" s="122">
        <f>G36-D36</f>
        <v/>
      </c>
    </row>
    <row r="37" ht="14.25" customHeight="1" s="137">
      <c r="A37" s="5" t="inlineStr">
        <is>
          <t>Total</t>
        </is>
      </c>
      <c r="B37" s="104" t="n"/>
      <c r="C37" s="86">
        <f>SUM(C17:C36)</f>
        <v/>
      </c>
      <c r="D37" s="92" t="n"/>
      <c r="F37" s="86">
        <f>SUM(F17:F36)</f>
        <v/>
      </c>
      <c r="G37" s="92" t="n"/>
      <c r="H37" s="110">
        <f>SUM(H17:H36)</f>
        <v/>
      </c>
      <c r="I37" s="105">
        <f>H37/C37</f>
        <v/>
      </c>
      <c r="J37" s="111">
        <f>AVERAGE(J17:J36)</f>
        <v/>
      </c>
    </row>
    <row r="38" ht="14.25" customHeight="1" s="137">
      <c r="A38" s="106" t="inlineStr">
        <is>
          <t>Sales 2024</t>
        </is>
      </c>
      <c r="B38" s="106" t="n"/>
      <c r="C38" s="106" t="n"/>
      <c r="D38" s="106" t="n"/>
      <c r="E38" s="106" t="n"/>
      <c r="F38" s="106" t="n"/>
      <c r="G38" s="106" t="n"/>
      <c r="H38" s="106" t="n"/>
      <c r="I38" s="105" t="n"/>
    </row>
    <row r="39" ht="14.25" customHeight="1" s="137">
      <c r="A39" s="89" t="inlineStr">
        <is>
          <t>Object</t>
        </is>
      </c>
      <c r="B39" s="107" t="inlineStr">
        <is>
          <t>From</t>
        </is>
      </c>
      <c r="C39" s="90" t="inlineStr">
        <is>
          <t>Cost</t>
        </is>
      </c>
      <c r="D39" s="89" t="inlineStr">
        <is>
          <t xml:space="preserve">Purchase Date </t>
        </is>
      </c>
      <c r="E39" s="89" t="inlineStr">
        <is>
          <t>To</t>
        </is>
      </c>
      <c r="F39" s="90" t="inlineStr">
        <is>
          <t>Sale Price</t>
        </is>
      </c>
      <c r="G39" s="89" t="inlineStr">
        <is>
          <t>Sale Date</t>
        </is>
      </c>
      <c r="H39" s="89" t="inlineStr">
        <is>
          <t>Net Income</t>
        </is>
      </c>
      <c r="I39" s="105" t="n"/>
    </row>
    <row r="40" ht="14.25" customHeight="1" s="137">
      <c r="A40" s="122" t="inlineStr">
        <is>
          <t>A Valdivian Stone Votive Axe</t>
        </is>
      </c>
      <c r="B40" s="104" t="inlineStr">
        <is>
          <t>Arte Primitivo</t>
        </is>
      </c>
      <c r="C40" s="103" t="n">
        <v>470</v>
      </c>
      <c r="D40" s="92" t="n">
        <v>45196</v>
      </c>
      <c r="E40" s="122" t="inlineStr">
        <is>
          <t>Hindman</t>
        </is>
      </c>
      <c r="F40" s="88" t="n">
        <v>600</v>
      </c>
      <c r="G40" s="92" t="n">
        <v>45000</v>
      </c>
      <c r="H40" s="88">
        <f>SUM(F40-C40)</f>
        <v/>
      </c>
      <c r="I40" s="105">
        <f>H40/C40</f>
        <v/>
      </c>
    </row>
    <row r="41" ht="14.25" customHeight="1" s="137">
      <c r="A41" s="122" t="inlineStr">
        <is>
          <t>A Roman Marble Leg</t>
        </is>
      </c>
      <c r="B41" s="104" t="inlineStr">
        <is>
          <t>Harlan J. Berk</t>
        </is>
      </c>
      <c r="C41" s="103" t="n">
        <v>2500</v>
      </c>
      <c r="D41" s="92" t="n">
        <v>45379</v>
      </c>
      <c r="E41" s="122" t="inlineStr">
        <is>
          <t>WhiteCube</t>
        </is>
      </c>
      <c r="F41" s="88" t="n">
        <v>2982</v>
      </c>
      <c r="G41" s="92" t="n">
        <v>45379</v>
      </c>
      <c r="H41" s="88">
        <f>SUM(F41-C41)</f>
        <v/>
      </c>
      <c r="I41" s="105">
        <f>H41/C41</f>
        <v/>
      </c>
    </row>
    <row r="42" ht="14.25" customHeight="1" s="137">
      <c r="A42" s="122" t="inlineStr">
        <is>
          <t>Sword 10th Century Viking</t>
        </is>
      </c>
      <c r="B42" s="104" t="inlineStr">
        <is>
          <t>Zevantiques</t>
        </is>
      </c>
      <c r="C42" s="103" t="n">
        <v>1416.99</v>
      </c>
      <c r="D42" s="92" t="n">
        <v>45311</v>
      </c>
      <c r="E42" s="122" t="inlineStr">
        <is>
          <t>Harlan J. Berk</t>
        </is>
      </c>
      <c r="F42" s="88" t="n">
        <v>6500</v>
      </c>
      <c r="G42" s="92" t="n">
        <v>45448</v>
      </c>
      <c r="H42" s="88">
        <f>SUM(F42-C42)</f>
        <v/>
      </c>
      <c r="I42" s="105">
        <f>H42/C42</f>
        <v/>
      </c>
    </row>
    <row r="43" ht="14.25" customHeight="1" s="137">
      <c r="A43" s="122" t="inlineStr">
        <is>
          <t>A Collection of Cylinder Seal</t>
        </is>
      </c>
      <c r="B43" s="104" t="inlineStr">
        <is>
          <t>Erdal Dere</t>
        </is>
      </c>
      <c r="C43" s="103" t="n">
        <v>33000</v>
      </c>
      <c r="D43" s="92" t="n">
        <v>45468</v>
      </c>
      <c r="E43" s="122" t="inlineStr">
        <is>
          <t>Harlan J. Berk</t>
        </is>
      </c>
      <c r="F43" s="88" t="n">
        <v>36000</v>
      </c>
      <c r="G43" s="92" t="n">
        <v>45468</v>
      </c>
      <c r="H43" s="88">
        <f>SUM(F43-C43)</f>
        <v/>
      </c>
      <c r="I43" s="105" t="n"/>
    </row>
    <row r="44" ht="14.25" customHeight="1" s="137">
      <c r="A44" s="122" t="inlineStr">
        <is>
          <t>A Roman Glass Beaker</t>
        </is>
      </c>
      <c r="B44" s="104" t="inlineStr">
        <is>
          <t>Erdal Dere</t>
        </is>
      </c>
      <c r="C44" s="103" t="n">
        <v>25000</v>
      </c>
      <c r="D44" s="92" t="n">
        <v>45408</v>
      </c>
      <c r="E44" s="122" t="inlineStr">
        <is>
          <t>Erdal Dere</t>
        </is>
      </c>
      <c r="F44" s="88" t="n">
        <v>37500</v>
      </c>
      <c r="G44" s="92" t="n">
        <v>45656</v>
      </c>
      <c r="H44" s="88">
        <f>SUM(F44-C44)</f>
        <v/>
      </c>
      <c r="I44" s="105">
        <f>H44/C44</f>
        <v/>
      </c>
    </row>
    <row r="45" ht="14.25" customHeight="1" s="137">
      <c r="A45" s="122" t="inlineStr">
        <is>
          <t>An Egyptian Limestone Head of a Pharaoh</t>
        </is>
      </c>
      <c r="B45" s="104" t="inlineStr">
        <is>
          <t>Live Auctioneers</t>
        </is>
      </c>
      <c r="C45" s="103" t="n">
        <v>1885.96</v>
      </c>
      <c r="D45" s="92" t="n">
        <v>45414</v>
      </c>
      <c r="E45" s="122" t="inlineStr">
        <is>
          <t>Harlan J. Berk</t>
        </is>
      </c>
      <c r="F45" s="88" t="n">
        <v>5500</v>
      </c>
      <c r="G45" s="92" t="n">
        <v>45621</v>
      </c>
      <c r="H45" s="88">
        <f>SUM(F45-C45)</f>
        <v/>
      </c>
      <c r="I45" s="105">
        <f>H45/C45</f>
        <v/>
      </c>
    </row>
    <row r="46" ht="14.25" customHeight="1" s="137">
      <c r="A46" s="122" t="inlineStr">
        <is>
          <t>Indus Valley Vessels</t>
        </is>
      </c>
      <c r="B46" s="104" t="inlineStr">
        <is>
          <t>Ebay</t>
        </is>
      </c>
      <c r="C46" s="88" t="n">
        <v>214.99</v>
      </c>
      <c r="D46" s="92" t="n">
        <v>45345</v>
      </c>
      <c r="E46" s="122" t="inlineStr">
        <is>
          <t>Hindman</t>
        </is>
      </c>
      <c r="F46" s="88" t="n">
        <v>1700</v>
      </c>
      <c r="G46" s="92" t="n">
        <v>45435</v>
      </c>
      <c r="H46" s="88">
        <f>SUM(F46-C46)</f>
        <v/>
      </c>
      <c r="I46" s="105">
        <f>H46/C46</f>
        <v/>
      </c>
    </row>
    <row r="47" ht="14.25" customHeight="1" s="137">
      <c r="A47" s="5" t="inlineStr">
        <is>
          <t>Total</t>
        </is>
      </c>
      <c r="B47" s="104" t="n"/>
      <c r="C47" s="112">
        <f>SUM(C40:C46)</f>
        <v/>
      </c>
      <c r="D47" s="92" t="n"/>
      <c r="F47" s="86">
        <f>SUM(F40:F46)</f>
        <v/>
      </c>
      <c r="G47" s="92" t="n"/>
      <c r="H47" s="110">
        <f>SUM(H40:H46)</f>
        <v/>
      </c>
      <c r="I47" s="105">
        <f>H47/C47</f>
        <v/>
      </c>
      <c r="J47" s="111">
        <f>AVERAGE(J26:J46)</f>
        <v/>
      </c>
    </row>
    <row r="48" ht="14.25" customHeight="1" s="137">
      <c r="B48" s="104" t="n"/>
      <c r="C48" s="88" t="n"/>
      <c r="F48" s="88" t="n"/>
      <c r="I48" s="105" t="n"/>
    </row>
    <row r="49" ht="14.25" customHeight="1" s="137">
      <c r="A49" s="106" t="inlineStr">
        <is>
          <t>Sales 2025</t>
        </is>
      </c>
      <c r="B49" s="106" t="n"/>
      <c r="C49" s="106" t="n"/>
      <c r="D49" s="106" t="n"/>
      <c r="E49" s="106" t="n"/>
      <c r="F49" s="106" t="n"/>
      <c r="G49" s="106" t="n"/>
      <c r="H49" s="106" t="n"/>
      <c r="I49" s="105" t="n"/>
    </row>
    <row r="50" ht="14.25" customHeight="1" s="137">
      <c r="A50" s="89" t="inlineStr">
        <is>
          <t>Object</t>
        </is>
      </c>
      <c r="B50" s="107" t="inlineStr">
        <is>
          <t>From</t>
        </is>
      </c>
      <c r="C50" s="90" t="inlineStr">
        <is>
          <t>Cost</t>
        </is>
      </c>
      <c r="D50" s="89" t="inlineStr">
        <is>
          <t xml:space="preserve">Purchase Date </t>
        </is>
      </c>
      <c r="E50" s="89" t="inlineStr">
        <is>
          <t>To</t>
        </is>
      </c>
      <c r="F50" s="90" t="inlineStr">
        <is>
          <t>Sale Price</t>
        </is>
      </c>
      <c r="G50" s="89" t="inlineStr">
        <is>
          <t>Sale Date</t>
        </is>
      </c>
      <c r="H50" s="89" t="inlineStr">
        <is>
          <t>Net Income</t>
        </is>
      </c>
      <c r="I50" s="105" t="n"/>
    </row>
    <row r="51" ht="14.25" customHeight="1" s="137">
      <c r="A51" s="113" t="inlineStr">
        <is>
          <t>A Group of 10 Engraved Gems</t>
        </is>
      </c>
      <c r="B51" s="104" t="inlineStr">
        <is>
          <t>Erdal Dere</t>
        </is>
      </c>
      <c r="C51" s="114" t="n">
        <v>1000</v>
      </c>
      <c r="D51" s="113" t="n"/>
      <c r="E51" s="113" t="inlineStr">
        <is>
          <t>Harlan J. Berk</t>
        </is>
      </c>
      <c r="F51" s="114" t="n"/>
      <c r="G51" s="115" t="n">
        <v>45695</v>
      </c>
      <c r="H51" s="113">
        <f>IF(OR(F51="",C51=""),"",F51-C51)</f>
        <v/>
      </c>
      <c r="I51" s="105">
        <f>IF(OR(H51="",C51=0),"",H51/C51)</f>
        <v/>
      </c>
    </row>
    <row r="52" ht="14.25" customHeight="1" s="137">
      <c r="A52" s="113" t="inlineStr">
        <is>
          <t>A Greek Amber(?) Ram's Head Protome</t>
        </is>
      </c>
      <c r="B52" s="104" t="inlineStr">
        <is>
          <t>Erdal Dere</t>
        </is>
      </c>
      <c r="C52" s="114" t="n">
        <v>300</v>
      </c>
      <c r="D52" s="113" t="n"/>
      <c r="E52" s="113" t="inlineStr">
        <is>
          <t>Harlan J. Berk</t>
        </is>
      </c>
      <c r="F52" s="114" t="n"/>
      <c r="G52" s="115" t="n">
        <v>45695</v>
      </c>
      <c r="H52" s="113">
        <f>IF(OR(F52="",C52=""),"",F52-C52)</f>
        <v/>
      </c>
      <c r="I52" s="105">
        <f>IF(OR(H52="",C52=0),"",H52/C52)</f>
        <v/>
      </c>
    </row>
    <row r="53" ht="14.25" customHeight="1" s="137">
      <c r="A53" s="113" t="inlineStr">
        <is>
          <t>A Stone Cylinder Seal</t>
        </is>
      </c>
      <c r="B53" s="104" t="inlineStr">
        <is>
          <t>Estate Sale</t>
        </is>
      </c>
      <c r="C53" s="114" t="n">
        <v>300</v>
      </c>
      <c r="D53" s="113" t="n"/>
      <c r="E53" s="113" t="inlineStr">
        <is>
          <t>Harlan J. Berk</t>
        </is>
      </c>
      <c r="F53" s="114" t="n"/>
      <c r="G53" s="115" t="n">
        <v>45695</v>
      </c>
      <c r="H53" s="113">
        <f>IF(OR(F53="",C53=""),"",F53-C53)</f>
        <v/>
      </c>
      <c r="I53" s="105">
        <f>IF(OR(H53="",C53=0),"",H53/C53)</f>
        <v/>
      </c>
    </row>
    <row r="54" ht="14.25" customHeight="1" s="137">
      <c r="A54" s="113" t="inlineStr">
        <is>
          <t>Commission on Cypriot Head</t>
        </is>
      </c>
      <c r="B54" s="104" t="inlineStr">
        <is>
          <t>Asher Edelman</t>
        </is>
      </c>
      <c r="C54" s="88" t="n">
        <v>1000</v>
      </c>
      <c r="D54" s="113" t="n"/>
      <c r="E54" s="113" t="inlineStr">
        <is>
          <t>Harlan J. Berk</t>
        </is>
      </c>
      <c r="F54" s="114" t="n"/>
      <c r="G54" s="115" t="n">
        <v>45695</v>
      </c>
      <c r="H54" s="113">
        <f>IF(OR(F54="",C54=""),"",F54-C54)</f>
        <v/>
      </c>
      <c r="I54" s="105">
        <f>IF(OR(H54="",C54=0),"",H54/C54)</f>
        <v/>
      </c>
    </row>
    <row r="55" ht="14.25" customHeight="1" s="137">
      <c r="A55" s="113" t="inlineStr">
        <is>
          <t>Commission on Seal Collection</t>
        </is>
      </c>
      <c r="B55" s="104" t="inlineStr">
        <is>
          <t>Erdal Dere</t>
        </is>
      </c>
      <c r="C55" s="114" t="n">
        <v>1000</v>
      </c>
      <c r="D55" s="113" t="n"/>
      <c r="E55" s="113" t="inlineStr">
        <is>
          <t>Harlan J. Berk</t>
        </is>
      </c>
      <c r="F55" s="114" t="n"/>
      <c r="G55" s="115" t="n">
        <v>45695</v>
      </c>
      <c r="H55" s="113">
        <f>IF(OR(F55="",C55=""),"",F55-C55)</f>
        <v/>
      </c>
      <c r="I55" s="105">
        <f>IF(OR(H55="",C55=0),"",H55/C55)</f>
        <v/>
      </c>
    </row>
    <row r="56" ht="14.25" customHeight="1" s="137">
      <c r="A56" s="113" t="inlineStr">
        <is>
          <t>Scythian Faience Horse Plaque</t>
        </is>
      </c>
      <c r="B56" s="104" t="inlineStr">
        <is>
          <t>Estate Sale</t>
        </is>
      </c>
      <c r="C56" s="114" t="n">
        <v>1000</v>
      </c>
      <c r="D56" s="113" t="n"/>
      <c r="E56" s="113" t="inlineStr">
        <is>
          <t>Harlan J. Berk</t>
        </is>
      </c>
      <c r="F56" s="114" t="n"/>
      <c r="G56" s="115" t="n">
        <v>45695</v>
      </c>
      <c r="H56" s="113">
        <f>IF(OR(F56="",C56=""),"",F56-C56)</f>
        <v/>
      </c>
      <c r="I56" s="105">
        <f>IF(OR(H56="",C56=0),"",H56/C56)</f>
        <v/>
      </c>
    </row>
    <row r="57" ht="14.25" customHeight="1" s="137">
      <c r="A57" s="113" t="inlineStr">
        <is>
          <t>Syro-Hittite Terracotta Figure</t>
        </is>
      </c>
      <c r="B57" s="104" t="inlineStr">
        <is>
          <t>Estate Sale</t>
        </is>
      </c>
      <c r="C57" s="114" t="n">
        <v>600</v>
      </c>
      <c r="D57" s="113" t="n"/>
      <c r="E57" s="113" t="inlineStr">
        <is>
          <t>Harlan J. Berk</t>
        </is>
      </c>
      <c r="F57" s="114" t="n"/>
      <c r="G57" s="115" t="n">
        <v>45695</v>
      </c>
      <c r="H57" s="113">
        <f>IF(OR(F57="",C57=""),"",F57-C57)</f>
        <v/>
      </c>
      <c r="I57" s="105">
        <f>IF(OR(H57="",C57=0),"",H57/C57)</f>
        <v/>
      </c>
    </row>
    <row r="58" ht="14.25" customHeight="1" s="137">
      <c r="A58" s="113" t="inlineStr">
        <is>
          <t>A Group of 6 Roman Oil Lamps</t>
        </is>
      </c>
      <c r="B58" s="104" t="inlineStr">
        <is>
          <t>Estate Sale</t>
        </is>
      </c>
      <c r="C58" s="114" t="n">
        <v>600</v>
      </c>
      <c r="D58" s="113" t="n"/>
      <c r="E58" s="113" t="inlineStr">
        <is>
          <t>Harlan J. Berk</t>
        </is>
      </c>
      <c r="F58" s="114" t="n"/>
      <c r="G58" s="115" t="n">
        <v>45695</v>
      </c>
      <c r="H58" s="113">
        <f>IF(OR(F58="",C58=""),"",F58-C58)</f>
        <v/>
      </c>
      <c r="I58" s="105">
        <f>IF(OR(H58="",C58=0),"",H58/C58)</f>
        <v/>
      </c>
    </row>
    <row r="59" ht="14.25" customHeight="1" s="137">
      <c r="A59" s="113" t="inlineStr">
        <is>
          <t>A Cypriot Limestine Head</t>
        </is>
      </c>
      <c r="B59" s="104" t="inlineStr">
        <is>
          <t>Estate Sale</t>
        </is>
      </c>
      <c r="C59" s="114" t="n">
        <v>1000</v>
      </c>
      <c r="D59" s="113" t="n"/>
      <c r="E59" s="113" t="inlineStr">
        <is>
          <t>Harlan J. Berk</t>
        </is>
      </c>
      <c r="F59" s="114" t="n"/>
      <c r="G59" s="115" t="n">
        <v>45695</v>
      </c>
      <c r="H59" s="113">
        <f>IF(OR(F59="",C59=""),"",F59-C59)</f>
        <v/>
      </c>
      <c r="I59" s="105">
        <f>IF(OR(H59="",C59=0),"",H59/C59)</f>
        <v/>
      </c>
    </row>
    <row r="60" ht="14.25" customHeight="1" s="137">
      <c r="A60" s="113" t="inlineStr">
        <is>
          <t>A Roman Marble Torso</t>
        </is>
      </c>
      <c r="B60" s="104" t="inlineStr">
        <is>
          <t>William Pearlstein</t>
        </is>
      </c>
      <c r="C60" s="114" t="n">
        <v>4000</v>
      </c>
      <c r="D60" s="113" t="n"/>
      <c r="E60" s="113" t="inlineStr">
        <is>
          <t>Harlan J. Berk</t>
        </is>
      </c>
      <c r="F60" s="114" t="n"/>
      <c r="G60" s="115" t="n">
        <v>45695</v>
      </c>
      <c r="H60" s="113">
        <f>IF(OR(F60="",C60=""),"",F60-C60)</f>
        <v/>
      </c>
      <c r="I60" s="105">
        <f>IF(OR(H60="",C60=0),"",H60/C60)</f>
        <v/>
      </c>
    </row>
    <row r="61" ht="14.25" customHeight="1" s="137">
      <c r="A61" s="113" t="inlineStr">
        <is>
          <t>Cypriot Bichrome Juglet</t>
        </is>
      </c>
      <c r="B61" s="104" t="inlineStr">
        <is>
          <t>Live Auctioneers</t>
        </is>
      </c>
      <c r="C61" s="114" t="n">
        <v>600</v>
      </c>
      <c r="D61" s="113" t="n"/>
      <c r="E61" s="113" t="inlineStr">
        <is>
          <t>Harlan J. Berk</t>
        </is>
      </c>
      <c r="F61" s="114" t="n"/>
      <c r="G61" s="115" t="n">
        <v>45695</v>
      </c>
      <c r="H61" s="113">
        <f>IF(OR(F61="",C61=""),"",F61-C61)</f>
        <v/>
      </c>
      <c r="I61" s="105">
        <f>IF(OR(H61="",C61=0),"",H61/C61)</f>
        <v/>
      </c>
    </row>
    <row r="62" ht="14.25" customHeight="1" s="137">
      <c r="A62" s="122" t="inlineStr">
        <is>
          <t>An Attic Black-Figured Fragment</t>
        </is>
      </c>
      <c r="B62" s="116" t="inlineStr">
        <is>
          <t>Hindman</t>
        </is>
      </c>
      <c r="C62" s="88" t="n">
        <v>334.44</v>
      </c>
      <c r="D62" s="92" t="n">
        <v>45071</v>
      </c>
      <c r="E62" s="105" t="inlineStr">
        <is>
          <t>Harlan J. Berk</t>
        </is>
      </c>
      <c r="G62" s="115" t="n">
        <v>45695</v>
      </c>
      <c r="H62" s="0">
        <f>IF(OR(F62="",C62=""),"",F62-C62)</f>
        <v/>
      </c>
      <c r="I62" s="0">
        <f>IF(OR(H62="",C62=0),"",H62/C62)</f>
        <v/>
      </c>
    </row>
    <row r="63" ht="14.25" customHeight="1" s="137">
      <c r="A63" s="122" t="inlineStr">
        <is>
          <t>A Luristan Bronze Ibex</t>
        </is>
      </c>
      <c r="B63" s="116" t="inlineStr">
        <is>
          <t>Hindman</t>
        </is>
      </c>
      <c r="C63" s="88" t="n">
        <v>234.44</v>
      </c>
      <c r="D63" s="92" t="n">
        <v>45071</v>
      </c>
      <c r="E63" s="105" t="inlineStr">
        <is>
          <t>Harlan J. Berk</t>
        </is>
      </c>
      <c r="G63" s="115" t="n">
        <v>45695</v>
      </c>
      <c r="H63" s="0">
        <f>IF(OR(F63="",C63=""),"",F63-C63)</f>
        <v/>
      </c>
      <c r="I63" s="0">
        <f>IF(OR(H63="",C63=0),"",H63/C63)</f>
        <v/>
      </c>
    </row>
    <row r="64" ht="14.25" customHeight="1" s="137">
      <c r="A64" s="122" t="inlineStr">
        <is>
          <t>An Egyptian Swivel Ring with Scarab</t>
        </is>
      </c>
      <c r="B64" s="116" t="inlineStr">
        <is>
          <t>Live Auctioneers</t>
        </is>
      </c>
      <c r="C64" s="88" t="n">
        <v>2228.76</v>
      </c>
      <c r="D64" s="92" t="n"/>
      <c r="E64" s="105" t="inlineStr">
        <is>
          <t>Harlan J. Berk</t>
        </is>
      </c>
      <c r="G64" s="115" t="n">
        <v>45695</v>
      </c>
      <c r="H64" s="0">
        <f>IF(OR(F64="",C64=""),"",F64-C64)</f>
        <v/>
      </c>
      <c r="I64" s="0">
        <f>IF(OR(H64="",C64=0),"",H64/C64)</f>
        <v/>
      </c>
    </row>
    <row r="65" ht="14.25" customHeight="1" s="137">
      <c r="A65" s="122" t="inlineStr">
        <is>
          <t>A Canosan Terracotta Horse</t>
        </is>
      </c>
      <c r="B65" s="116" t="inlineStr">
        <is>
          <t>Hindman</t>
        </is>
      </c>
      <c r="C65" s="88" t="n">
        <v>1000</v>
      </c>
      <c r="D65" s="92" t="n"/>
      <c r="E65" s="105" t="inlineStr">
        <is>
          <t>Harlan J. Berk</t>
        </is>
      </c>
      <c r="G65" s="115" t="n">
        <v>45695</v>
      </c>
      <c r="H65" s="0">
        <f>IF(OR(F65="",C65=""),"",F65-C65)</f>
        <v/>
      </c>
      <c r="I65" s="0">
        <f>IF(OR(H65="",C65=0),"",H65/C65)</f>
        <v/>
      </c>
    </row>
    <row r="66" ht="14.25" customHeight="1" s="137">
      <c r="A66" s="122" t="inlineStr">
        <is>
          <t>An Attic Black-Figured Column-Krater</t>
        </is>
      </c>
      <c r="B66" s="104" t="inlineStr">
        <is>
          <t>Antiquarium/Benningson</t>
        </is>
      </c>
      <c r="C66" s="103" t="n">
        <v>4500</v>
      </c>
      <c r="D66" s="92" t="n">
        <v>45275</v>
      </c>
      <c r="E66" s="122" t="inlineStr">
        <is>
          <t>Harlan J. Berk</t>
        </is>
      </c>
      <c r="F66" s="88" t="n"/>
      <c r="G66" s="115" t="n">
        <v>45695</v>
      </c>
      <c r="H66" s="0">
        <f>IF(OR(F66="",C66=""),"",F66-C66)</f>
        <v/>
      </c>
      <c r="I66" s="105">
        <f>IF(OR(H66="",C66=0),"",H66/C66)</f>
        <v/>
      </c>
    </row>
    <row r="67" ht="14.25" customHeight="1" s="137">
      <c r="A67" s="122" t="inlineStr">
        <is>
          <t>Roman Marble Base with Foot</t>
        </is>
      </c>
      <c r="B67" s="104" t="inlineStr">
        <is>
          <t>Arte Primitivo</t>
        </is>
      </c>
      <c r="C67" s="103" t="n">
        <v>500</v>
      </c>
      <c r="D67" s="92" t="n"/>
      <c r="E67" s="122" t="inlineStr">
        <is>
          <t>Harlan J. Berk</t>
        </is>
      </c>
      <c r="F67" s="88" t="n"/>
      <c r="G67" s="115" t="n">
        <v>45695</v>
      </c>
      <c r="H67" s="0">
        <f>IF(OR(F67="",C67=""),"",F67-C67)</f>
        <v/>
      </c>
      <c r="I67" s="105">
        <f>IF(OR(H67="",C67=0),"",H67/C67)</f>
        <v/>
      </c>
    </row>
    <row r="68" ht="14.25" customHeight="1" s="137">
      <c r="A68" s="122" t="inlineStr">
        <is>
          <t>Neolithic Flint Celt</t>
        </is>
      </c>
      <c r="B68" s="104" t="inlineStr">
        <is>
          <t>Arte Primitivo</t>
        </is>
      </c>
      <c r="C68" s="88" t="n">
        <v>195.78</v>
      </c>
      <c r="D68" s="92" t="n">
        <v>44908</v>
      </c>
      <c r="E68" s="122" t="inlineStr">
        <is>
          <t>Harlan J. Berk</t>
        </is>
      </c>
      <c r="F68" s="88" t="n"/>
      <c r="G68" s="115" t="n">
        <v>45695</v>
      </c>
      <c r="H68" s="0">
        <f>IF(OR(F68="",C68=""),"",F68-C68)</f>
        <v/>
      </c>
      <c r="I68" s="105">
        <f>IF(OR(H68="",C68=0),"",H68/C68)</f>
        <v/>
      </c>
    </row>
    <row r="69" ht="14.25" customHeight="1" s="137">
      <c r="A69" s="122" t="inlineStr">
        <is>
          <t>Neolithic Danish Chert Adze</t>
        </is>
      </c>
      <c r="B69" s="104" t="inlineStr">
        <is>
          <t>Live Auctioneers</t>
        </is>
      </c>
      <c r="C69" s="88" t="n">
        <v>311.25</v>
      </c>
      <c r="D69" s="92" t="n">
        <v>44284</v>
      </c>
      <c r="E69" s="122" t="inlineStr">
        <is>
          <t>Harlan J. Berk</t>
        </is>
      </c>
      <c r="F69" s="88" t="n"/>
      <c r="G69" s="115" t="n">
        <v>45695</v>
      </c>
      <c r="H69" s="0">
        <f>IF(OR(F69="",C69=""),"",F69-C69)</f>
        <v/>
      </c>
      <c r="I69" s="105">
        <f>IF(OR(H69="",C69=0),"",H69/C69)</f>
        <v/>
      </c>
    </row>
    <row r="70" ht="14.25" customHeight="1" s="137">
      <c r="A70" s="122" t="inlineStr">
        <is>
          <t>Three Lots from Lithics Sale</t>
        </is>
      </c>
      <c r="B70" s="104" t="inlineStr">
        <is>
          <t>Hindman</t>
        </is>
      </c>
      <c r="C70" s="103" t="n">
        <v>2240.27</v>
      </c>
      <c r="D70" s="92" t="n">
        <v>45356</v>
      </c>
      <c r="E70" s="122" t="inlineStr">
        <is>
          <t>Harlan J. Berk</t>
        </is>
      </c>
      <c r="F70" s="88" t="n"/>
      <c r="G70" s="115" t="n">
        <v>45695</v>
      </c>
      <c r="H70" s="0">
        <f>IF(OR(F70="",C70=""),"",F70-C70)</f>
        <v/>
      </c>
      <c r="I70" s="105">
        <f>IF(OR(H70="",C70=0),"",H70/C70)</f>
        <v/>
      </c>
    </row>
    <row r="71" ht="14.25" customHeight="1" s="137">
      <c r="B71" s="104" t="n"/>
      <c r="C71" s="88">
        <f>SUM(C51:C70)</f>
        <v/>
      </c>
      <c r="D71" s="92" t="n"/>
      <c r="F71" s="195" t="n">
        <v>30000</v>
      </c>
      <c r="G71" s="196" t="n">
        <v>45695</v>
      </c>
      <c r="H71" s="88">
        <f>F71-C71</f>
        <v/>
      </c>
      <c r="I71" s="105" t="n"/>
    </row>
    <row r="72" ht="14.25" customHeight="1" s="137">
      <c r="B72" s="104" t="n"/>
      <c r="C72" s="88" t="n"/>
      <c r="D72" s="92" t="n"/>
      <c r="F72" s="88" t="n"/>
      <c r="G72" s="115" t="n"/>
      <c r="H72" s="88">
        <f>SUM(F72-C72)</f>
        <v/>
      </c>
      <c r="I72" s="105" t="n"/>
    </row>
    <row r="73" ht="14.25" customHeight="1" s="137">
      <c r="A73" s="113" t="inlineStr">
        <is>
          <t>A Collection of Seals</t>
        </is>
      </c>
      <c r="B73" s="104" t="inlineStr">
        <is>
          <t>Erdal Dere</t>
        </is>
      </c>
      <c r="C73" s="197" t="n">
        <v>13000</v>
      </c>
      <c r="D73" s="198" t="n">
        <v>45665</v>
      </c>
      <c r="E73" s="113" t="inlineStr">
        <is>
          <t>Harlan J. Berk</t>
        </is>
      </c>
      <c r="F73" s="197" t="n">
        <v>14000</v>
      </c>
      <c r="G73" s="198" t="n">
        <v>45667</v>
      </c>
      <c r="H73" s="88">
        <f>SUM(F73-C73)</f>
        <v/>
      </c>
      <c r="I73" s="105" t="n"/>
    </row>
    <row r="74" ht="14.25" customHeight="1" s="137">
      <c r="A74" s="113" t="inlineStr">
        <is>
          <t>Three Ancient Mosaics</t>
        </is>
      </c>
      <c r="B74" s="104" t="inlineStr">
        <is>
          <t>Jamal Rifai and Antiquarium</t>
        </is>
      </c>
      <c r="C74" s="197" t="n">
        <v>90000</v>
      </c>
      <c r="D74" s="115" t="n">
        <v>45709</v>
      </c>
      <c r="E74" s="113" t="inlineStr">
        <is>
          <t>Jonathan Yantis</t>
        </is>
      </c>
      <c r="F74" s="197" t="n">
        <v>105000</v>
      </c>
      <c r="G74" s="115" t="n">
        <v>45709</v>
      </c>
      <c r="H74" s="88">
        <f>SUM(F74-C74)</f>
        <v/>
      </c>
      <c r="I74" s="105" t="n"/>
    </row>
    <row r="75" ht="14.25" customHeight="1" s="137">
      <c r="A75" s="113" t="inlineStr">
        <is>
          <t>Canosan Terracotta Horse</t>
        </is>
      </c>
      <c r="B75" s="104" t="inlineStr">
        <is>
          <t>Hindman</t>
        </is>
      </c>
      <c r="C75" s="114" t="n">
        <v>900</v>
      </c>
      <c r="D75" s="115" t="n"/>
      <c r="E75" s="113" t="inlineStr">
        <is>
          <t>Erdal Dere</t>
        </is>
      </c>
      <c r="F75" s="114" t="n">
        <v>1000</v>
      </c>
      <c r="G75" s="115" t="n"/>
      <c r="H75" s="88">
        <f>SUM(F75-C75)</f>
        <v/>
      </c>
      <c r="I75" s="105" t="n"/>
    </row>
    <row r="76" ht="14.25" customHeight="1" s="137">
      <c r="A76" s="113" t="inlineStr">
        <is>
          <t>Sale 6428 Contract 303468 (object TBD)</t>
        </is>
      </c>
      <c r="B76" s="104" t="inlineStr">
        <is>
          <t>Cost TBD</t>
        </is>
      </c>
      <c r="C76" s="154" t="n"/>
      <c r="D76" s="115" t="n"/>
      <c r="E76" s="113" t="inlineStr">
        <is>
          <t>Freeman's LLC — check to Megan (joint 0203)</t>
        </is>
      </c>
      <c r="F76" s="155" t="n">
        <v>11000</v>
      </c>
      <c r="G76" s="115" t="inlineStr">
        <is>
          <t>2025-12-24</t>
        </is>
      </c>
      <c r="H76" s="88">
        <f>IF(C76="","",F76-C76)</f>
        <v/>
      </c>
      <c r="I76" s="105" t="n"/>
    </row>
    <row r="77" ht="14.25" customHeight="1" s="137">
      <c r="A77" s="89" t="inlineStr">
        <is>
          <t>Total</t>
        </is>
      </c>
      <c r="B77" s="104" t="n"/>
      <c r="C77" s="114" t="n"/>
      <c r="D77" s="113" t="n"/>
      <c r="E77" s="113" t="n"/>
      <c r="F77" s="114" t="n"/>
      <c r="G77" s="113" t="n"/>
      <c r="H77" s="114">
        <f>SUM(H51:H75)</f>
        <v/>
      </c>
      <c r="I77" s="105" t="n"/>
    </row>
    <row r="78" ht="48" customHeight="1" s="137">
      <c r="A78" s="199" t="inlineStr">
        <is>
          <t>Mercury 8291 MATCHED: Berk $14,000 (1/10 seals) + $30,000 (2/7 lots). EOEB $105,000 (2/21 mosaics). Fortuna $13,000 (1/8 seals Cost). Plutus $50,000 of mosaics $90,000 Cost — $40,000 of Cost not on 8291 (ASK). Newstar $23,581 is jewelry fabrication COGS, parked below — not in sold-lot Cost (Berk gem/scarab lots already sold in February). Not tax advice.</t>
        </is>
      </c>
    </row>
    <row r="79" ht="14.25" customHeight="1" s="137">
      <c r="A79" s="119" t="inlineStr">
        <is>
          <t>Art Purchases/Inventory</t>
        </is>
      </c>
      <c r="B79" s="120" t="n"/>
      <c r="C79" s="100" t="n"/>
      <c r="D79" s="101" t="n"/>
      <c r="E79" s="99" t="n"/>
      <c r="F79" s="100" t="n"/>
      <c r="G79" s="101" t="n"/>
      <c r="H79" s="99" t="n"/>
      <c r="I79" s="121" t="n"/>
      <c r="J79" s="99" t="n"/>
      <c r="K79" s="99" t="n"/>
      <c r="L79" s="99" t="n"/>
      <c r="M79" s="99" t="n"/>
      <c r="N79" s="99" t="n"/>
      <c r="O79" s="99" t="n"/>
      <c r="P79" s="99" t="n"/>
      <c r="Q79" s="99" t="n"/>
      <c r="R79" s="99" t="n"/>
      <c r="S79" s="99" t="n"/>
      <c r="T79" s="99" t="n"/>
      <c r="U79" s="99" t="n"/>
      <c r="V79" s="99" t="n"/>
      <c r="W79" s="99" t="n"/>
      <c r="X79" s="99" t="n"/>
      <c r="Y79" s="99" t="n"/>
      <c r="Z79" s="99" t="n"/>
    </row>
    <row r="80" ht="14.25" customHeight="1" s="137">
      <c r="A80" s="122" t="inlineStr">
        <is>
          <t>30 Paleothic and Neolithic Stone Tools</t>
        </is>
      </c>
      <c r="B80" s="116" t="inlineStr">
        <is>
          <t>Holestein</t>
        </is>
      </c>
      <c r="C80" s="88" t="n">
        <v>4000</v>
      </c>
      <c r="E80" s="105" t="n"/>
    </row>
    <row r="81" ht="14.25" customHeight="1" s="137">
      <c r="A81" s="122" t="inlineStr">
        <is>
          <t>A Tairona Figure</t>
        </is>
      </c>
      <c r="B81" s="116" t="inlineStr">
        <is>
          <t>Live Auctioneers</t>
        </is>
      </c>
      <c r="C81" s="88" t="n">
        <v>250</v>
      </c>
      <c r="D81" s="92" t="n">
        <v>45119</v>
      </c>
      <c r="E81" s="105" t="n"/>
    </row>
    <row r="82" ht="14.25" customHeight="1" s="137">
      <c r="A82" s="122" t="inlineStr">
        <is>
          <t>A Tairona Figure</t>
        </is>
      </c>
      <c r="B82" s="116" t="inlineStr">
        <is>
          <t>Live Auctioneers</t>
        </is>
      </c>
      <c r="C82" s="88" t="n">
        <v>300</v>
      </c>
      <c r="D82" s="92" t="n">
        <v>45119</v>
      </c>
      <c r="E82" s="105" t="n"/>
    </row>
    <row r="83" ht="14.25" customHeight="1" s="137">
      <c r="A83" s="122" t="inlineStr">
        <is>
          <t>A Pair of Greek Bronze Greeves</t>
        </is>
      </c>
      <c r="B83" s="116" t="inlineStr">
        <is>
          <t>ebay</t>
        </is>
      </c>
      <c r="C83" s="88" t="n">
        <v>200</v>
      </c>
      <c r="D83" s="92" t="n">
        <v>45145</v>
      </c>
      <c r="E83" s="105" t="n"/>
    </row>
    <row r="84" ht="14.25" customHeight="1" s="137">
      <c r="A84" s="122" t="inlineStr">
        <is>
          <t>An Illyrian Bronze Helmet</t>
        </is>
      </c>
      <c r="B84" s="116" t="inlineStr">
        <is>
          <t>ebay</t>
        </is>
      </c>
      <c r="C84" s="88" t="n">
        <v>551.25</v>
      </c>
      <c r="D84" s="92" t="n">
        <v>45114</v>
      </c>
      <c r="E84" s="105" t="n"/>
    </row>
    <row r="85" ht="14.25" customHeight="1" s="137">
      <c r="A85" s="122" t="inlineStr">
        <is>
          <t>An Egyptian Faience Ibis</t>
        </is>
      </c>
      <c r="B85" s="104" t="inlineStr">
        <is>
          <t>Hindman</t>
        </is>
      </c>
      <c r="C85" s="88" t="n">
        <v>375</v>
      </c>
      <c r="D85" s="92" t="n">
        <v>44343</v>
      </c>
      <c r="E85" s="92" t="n"/>
      <c r="F85" s="88" t="n"/>
      <c r="I85" s="105" t="n"/>
    </row>
    <row r="86" ht="14.25" customHeight="1" s="137">
      <c r="A86" s="122" t="inlineStr">
        <is>
          <t>African Stone Bracelet Upper Volta River 1 0f 4</t>
        </is>
      </c>
      <c r="B86" s="104" t="inlineStr">
        <is>
          <t>Live Auctioneers</t>
        </is>
      </c>
      <c r="C86" s="88" t="n">
        <v>293</v>
      </c>
      <c r="D86" s="92" t="n">
        <v>44548</v>
      </c>
      <c r="F86" s="88" t="n"/>
      <c r="I86" s="105" t="n"/>
    </row>
    <row r="87" ht="14.25" customHeight="1" s="137">
      <c r="A87" s="122" t="inlineStr">
        <is>
          <t>African Stone Bracelet Upper Volta River 2 0f 4</t>
        </is>
      </c>
      <c r="B87" s="104" t="inlineStr">
        <is>
          <t>Live Auctioneers</t>
        </is>
      </c>
      <c r="C87" s="88" t="n">
        <v>293</v>
      </c>
      <c r="D87" s="92" t="n">
        <v>44548</v>
      </c>
      <c r="F87" s="88" t="n"/>
      <c r="I87" s="105" t="n"/>
    </row>
    <row r="88" ht="14.25" customHeight="1" s="137">
      <c r="A88" s="122" t="inlineStr">
        <is>
          <t>African Stone Bracelet Upper Volta River 4 0f 4</t>
        </is>
      </c>
      <c r="B88" s="104" t="inlineStr">
        <is>
          <t>Live Auctioneers</t>
        </is>
      </c>
      <c r="C88" s="88" t="n">
        <v>293</v>
      </c>
      <c r="D88" s="92" t="n">
        <v>44548</v>
      </c>
      <c r="F88" s="88" t="n"/>
      <c r="I88" s="105" t="n"/>
    </row>
    <row r="89" ht="14.25" customHeight="1" s="137">
      <c r="A89" s="122" t="inlineStr">
        <is>
          <t>A Saharan Stone Discoidal</t>
        </is>
      </c>
      <c r="B89" s="104" t="inlineStr">
        <is>
          <t>Pace African Art</t>
        </is>
      </c>
      <c r="C89" s="88" t="n">
        <v>1000</v>
      </c>
      <c r="D89" s="92" t="n">
        <v>44562</v>
      </c>
      <c r="F89" s="88" t="n"/>
      <c r="I89" s="105" t="n"/>
    </row>
    <row r="90" ht="14.25" customHeight="1" s="137">
      <c r="A90" s="122" t="inlineStr">
        <is>
          <t>Carved Ostrish Egg</t>
        </is>
      </c>
      <c r="B90" s="104" t="inlineStr">
        <is>
          <t xml:space="preserve">Etsy </t>
        </is>
      </c>
      <c r="C90" s="88" t="n">
        <v>90</v>
      </c>
      <c r="F90" s="88" t="n"/>
      <c r="I90" s="105" t="n"/>
    </row>
    <row r="91" ht="14.25" customHeight="1" s="137">
      <c r="A91" s="122" t="inlineStr">
        <is>
          <t>Carved Goose Egg</t>
        </is>
      </c>
      <c r="B91" s="104" t="inlineStr">
        <is>
          <t>Etsy</t>
        </is>
      </c>
      <c r="C91" s="88" t="n">
        <v>30</v>
      </c>
      <c r="F91" s="88" t="n"/>
      <c r="I91" s="105" t="n"/>
    </row>
    <row r="92" ht="14.25" customHeight="1" s="137">
      <c r="A92" s="122" t="inlineStr">
        <is>
          <t>Carved Goose Egg</t>
        </is>
      </c>
      <c r="B92" s="104" t="inlineStr">
        <is>
          <t>Etsy</t>
        </is>
      </c>
      <c r="C92" s="88" t="n">
        <v>35</v>
      </c>
      <c r="F92" s="88" t="n"/>
      <c r="I92" s="105" t="n"/>
    </row>
    <row r="93" ht="14.25" customHeight="1" s="137">
      <c r="A93" s="122" t="inlineStr">
        <is>
          <t>Quimbaya Figure (Gift)</t>
        </is>
      </c>
      <c r="B93" s="104" t="inlineStr">
        <is>
          <t>Jeffrey Norris</t>
        </is>
      </c>
      <c r="C93" s="88" t="n">
        <v>10</v>
      </c>
      <c r="D93" s="92" t="n">
        <v>45079</v>
      </c>
      <c r="I93" s="105" t="n"/>
    </row>
    <row r="94" ht="14.25" customHeight="1" s="137">
      <c r="A94" s="122" t="inlineStr">
        <is>
          <t>A Saharan Stone Discoidal (Gift)</t>
        </is>
      </c>
      <c r="B94" s="104" t="inlineStr">
        <is>
          <t>Aquinas Hobor</t>
        </is>
      </c>
      <c r="C94" s="88" t="n">
        <v>10</v>
      </c>
      <c r="D94" s="92" t="n">
        <v>45079</v>
      </c>
      <c r="I94" s="105" t="n"/>
    </row>
    <row r="95" ht="14.25" customHeight="1" s="137">
      <c r="A95" s="122" t="inlineStr">
        <is>
          <t>A Saharan Stone Discoidal</t>
        </is>
      </c>
      <c r="B95" s="104" t="inlineStr">
        <is>
          <t>Aquinas Hobor</t>
        </is>
      </c>
      <c r="C95" s="103" t="n">
        <v>500</v>
      </c>
      <c r="D95" s="92" t="n">
        <v>45079</v>
      </c>
      <c r="F95" s="88" t="n"/>
      <c r="I95" s="105" t="n"/>
    </row>
    <row r="96" ht="14.25" customHeight="1" s="137">
      <c r="A96" s="122" t="inlineStr">
        <is>
          <t>Two Songye and Bozo Vessels</t>
        </is>
      </c>
      <c r="B96" s="104" t="inlineStr">
        <is>
          <t>Hindman</t>
        </is>
      </c>
      <c r="C96" s="103" t="n">
        <v>138.91</v>
      </c>
      <c r="D96" s="92" t="n">
        <v>45211</v>
      </c>
      <c r="F96" s="88" t="n"/>
      <c r="I96" s="105" t="n"/>
    </row>
    <row r="97" ht="14.25" customHeight="1" s="137">
      <c r="A97" s="122" t="inlineStr">
        <is>
          <t xml:space="preserve">Sword 9th Century </t>
        </is>
      </c>
      <c r="B97" s="104" t="inlineStr">
        <is>
          <t>Zevantiques</t>
        </is>
      </c>
      <c r="C97" s="103" t="n">
        <v>3000</v>
      </c>
      <c r="D97" s="92" t="n">
        <v>45311</v>
      </c>
      <c r="F97" s="88" t="n"/>
      <c r="I97" s="105" t="n"/>
    </row>
    <row r="98" ht="14.25" customHeight="1" s="137">
      <c r="A98" s="122" t="inlineStr">
        <is>
          <t>A Roman Marble Plaque with Insciption</t>
        </is>
      </c>
      <c r="B98" s="104" t="inlineStr">
        <is>
          <t>ebay</t>
        </is>
      </c>
      <c r="C98" s="103" t="n">
        <v>1331.41</v>
      </c>
      <c r="D98" s="92" t="n">
        <v>45546</v>
      </c>
      <c r="F98" s="88" t="n"/>
      <c r="I98" s="105" t="n"/>
    </row>
    <row r="99" ht="14.25" customHeight="1" s="137">
      <c r="A99" s="122" t="inlineStr">
        <is>
          <t>Erotic Intaglio Finger Ring</t>
        </is>
      </c>
      <c r="B99" s="104" t="inlineStr">
        <is>
          <t>ebay</t>
        </is>
      </c>
      <c r="C99" s="103" t="n">
        <v>205.07</v>
      </c>
      <c r="D99" s="92" t="n">
        <v>45446</v>
      </c>
      <c r="F99" s="88" t="n"/>
      <c r="I99" s="105" t="n"/>
    </row>
    <row r="100" ht="14.25" customHeight="1" s="137">
      <c r="B100" s="104" t="n"/>
      <c r="C100" s="103" t="n"/>
      <c r="D100" s="92" t="n"/>
      <c r="F100" s="88" t="n"/>
      <c r="I100" s="105" t="n"/>
    </row>
    <row r="101" ht="14.25" customHeight="1" s="137">
      <c r="A101" s="5" t="inlineStr">
        <is>
          <t>Total</t>
        </is>
      </c>
      <c r="B101" s="104" t="n"/>
      <c r="C101" s="86" t="n"/>
      <c r="F101" s="88" t="n"/>
      <c r="I101" s="105" t="n"/>
    </row>
    <row r="102" ht="14.25" customHeight="1" s="137">
      <c r="B102" s="104" t="n"/>
      <c r="C102" s="88" t="n"/>
      <c r="F102" s="88" t="n"/>
      <c r="I102" s="105" t="n"/>
    </row>
    <row r="103" ht="14.25" customHeight="1" s="137">
      <c r="A103" s="119" t="inlineStr">
        <is>
          <t>Office/Business Inventory</t>
        </is>
      </c>
      <c r="B103" s="120" t="n"/>
      <c r="C103" s="100" t="n"/>
      <c r="D103" s="99" t="n"/>
      <c r="E103" s="99" t="n"/>
      <c r="F103" s="100" t="n"/>
      <c r="G103" s="99" t="n"/>
      <c r="H103" s="99" t="n"/>
      <c r="I103" s="121" t="n"/>
      <c r="J103" s="99" t="n"/>
      <c r="K103" s="99" t="n"/>
      <c r="L103" s="99" t="n"/>
      <c r="M103" s="99" t="n"/>
      <c r="N103" s="99" t="n"/>
      <c r="O103" s="99" t="n"/>
      <c r="P103" s="99" t="n"/>
      <c r="Q103" s="99" t="n"/>
      <c r="R103" s="99" t="n"/>
      <c r="S103" s="99" t="n"/>
      <c r="T103" s="99" t="n"/>
      <c r="U103" s="99" t="n"/>
      <c r="V103" s="99" t="n"/>
      <c r="W103" s="99" t="n"/>
      <c r="X103" s="99" t="n"/>
      <c r="Y103" s="99" t="n"/>
      <c r="Z103" s="99" t="n"/>
    </row>
    <row r="104" ht="14.25" customHeight="1" s="137">
      <c r="A104" s="122" t="inlineStr">
        <is>
          <t>Sofa</t>
        </is>
      </c>
      <c r="B104" s="104" t="n"/>
      <c r="C104" s="88" t="n"/>
      <c r="F104" s="88" t="n"/>
      <c r="I104" s="105" t="n"/>
    </row>
    <row r="105" ht="14.25" customHeight="1" s="137">
      <c r="A105" s="122" t="inlineStr">
        <is>
          <t>Space Heater</t>
        </is>
      </c>
      <c r="B105" s="104" t="n"/>
      <c r="C105" s="88" t="n"/>
      <c r="F105" s="88" t="n"/>
      <c r="I105" s="105" t="n"/>
    </row>
    <row r="106" ht="14.25" customHeight="1" s="137">
      <c r="A106" s="122" t="inlineStr">
        <is>
          <t>Shelving</t>
        </is>
      </c>
      <c r="B106" s="104" t="n"/>
      <c r="C106" s="88" t="n"/>
      <c r="F106" s="88" t="n"/>
      <c r="I106" s="105" t="n"/>
    </row>
    <row r="107" ht="14.25" customHeight="1" s="137">
      <c r="A107" s="122" t="inlineStr">
        <is>
          <t>Storage Bins</t>
        </is>
      </c>
      <c r="B107" s="104" t="n"/>
      <c r="C107" s="88" t="n"/>
      <c r="F107" s="88" t="n"/>
      <c r="I107" s="105" t="n"/>
    </row>
    <row r="108" ht="14.25" customHeight="1" s="137">
      <c r="A108" s="122" t="inlineStr">
        <is>
          <t>Table</t>
        </is>
      </c>
      <c r="B108" s="104" t="n"/>
      <c r="C108" s="88" t="n"/>
      <c r="F108" s="88" t="n"/>
      <c r="I108" s="105" t="n"/>
    </row>
    <row r="109" ht="14.25" customHeight="1" s="137">
      <c r="A109" s="122" t="inlineStr">
        <is>
          <t>Computer</t>
        </is>
      </c>
      <c r="B109" s="104" t="n"/>
      <c r="C109" s="88" t="n"/>
      <c r="F109" s="88" t="n"/>
      <c r="I109" s="105" t="n"/>
    </row>
    <row r="110" ht="14.25" customHeight="1" s="137">
      <c r="A110" s="122" t="inlineStr">
        <is>
          <t>Art Library</t>
        </is>
      </c>
      <c r="B110" s="104" t="n"/>
      <c r="C110" s="88" t="n"/>
      <c r="F110" s="88" t="n"/>
      <c r="I110" s="105" t="n"/>
    </row>
    <row r="111" ht="14.25" customHeight="1" s="137">
      <c r="A111" s="122" t="inlineStr">
        <is>
          <t>Standing Desk</t>
        </is>
      </c>
      <c r="B111" s="104" t="n"/>
      <c r="C111" s="88" t="n"/>
      <c r="F111" s="88" t="n"/>
      <c r="I111" s="105" t="n"/>
    </row>
    <row r="112" ht="14.25" customHeight="1" s="137">
      <c r="B112" s="104" t="n"/>
      <c r="C112" s="88" t="n"/>
      <c r="F112" s="88" t="n"/>
      <c r="I112" s="105" t="n"/>
    </row>
    <row r="113" ht="14.25" customHeight="1" s="137">
      <c r="A113" s="156" t="inlineStr">
        <is>
          <t>2025 CC inventory (not in Cost total until object is named)</t>
        </is>
      </c>
      <c r="B113" s="104" t="n"/>
      <c r="C113" s="88" t="n"/>
      <c r="F113" s="88" t="n"/>
      <c r="I113" s="105" t="n"/>
    </row>
    <row r="114" ht="14.25" customHeight="1" s="137">
      <c r="A114" s="0" t="inlineStr">
        <is>
          <t>Los Angeles Modern Auctions (inventory purchase)</t>
        </is>
      </c>
      <c r="B114" s="0" t="inlineStr">
        <is>
          <t>Sapphire 5423</t>
        </is>
      </c>
      <c r="C114" s="157" t="n">
        <v>6821.06</v>
      </c>
      <c r="D114" s="0" t="inlineStr">
        <is>
          <t>2025-07-24</t>
        </is>
      </c>
    </row>
    <row r="115" ht="14.25" customHeight="1" s="137">
      <c r="A115" s="0" t="inlineStr">
        <is>
          <t>Hindman LLC (inventory purchase)</t>
        </is>
      </c>
      <c r="B115" s="0" t="inlineStr">
        <is>
          <t>Sapphire 5423</t>
        </is>
      </c>
      <c r="C115" s="157" t="n">
        <v>282.24</v>
      </c>
      <c r="D115" s="0" t="inlineStr">
        <is>
          <t>2025-04-03</t>
        </is>
      </c>
    </row>
    <row r="116" ht="14.25" customHeight="1" s="137">
      <c r="A116" s="0" t="inlineStr">
        <is>
          <t>Hindman LLC (inventory purchase)</t>
        </is>
      </c>
      <c r="B116" s="0" t="inlineStr">
        <is>
          <t>Sapphire 5423</t>
        </is>
      </c>
      <c r="C116" s="157" t="n">
        <v>403.51</v>
      </c>
      <c r="D116" s="0" t="inlineStr">
        <is>
          <t>2025-07-29</t>
        </is>
      </c>
    </row>
    <row r="117" ht="14.25" customHeight="1" s="137">
      <c r="A117" s="0" t="inlineStr">
        <is>
          <t>The Great Frame Up (inventory framing)</t>
        </is>
      </c>
      <c r="B117" s="0" t="inlineStr">
        <is>
          <t>Sapphire 5423</t>
        </is>
      </c>
      <c r="C117" s="157" t="n">
        <v>536.41</v>
      </c>
      <c r="D117" s="0" t="inlineStr">
        <is>
          <t>2025-02-16</t>
        </is>
      </c>
    </row>
    <row r="118" ht="14.25" customHeight="1" s="137"/>
    <row r="119" ht="14.25" customHeight="1" s="137">
      <c r="A119" s="156" t="inlineStr">
        <is>
          <t>2025 Mercury 8291 — proposed sale / ASK cash (not in EPGC Art Sales until confirmed)</t>
        </is>
      </c>
    </row>
    <row r="120" ht="14.25" customHeight="1" s="137">
      <c r="A120" s="200" t="inlineStr">
        <is>
          <t>Proposed: object TBD (David Aaron Limited invoice)</t>
        </is>
      </c>
      <c r="B120" s="200" t="inlineStr">
        <is>
          <t>David Aaron Limited</t>
        </is>
      </c>
      <c r="E120" s="200" t="inlineStr">
        <is>
          <t>David Aaron Limited (London)</t>
        </is>
      </c>
      <c r="F120" s="157" t="n">
        <v>13595</v>
      </c>
      <c r="G120" s="0" t="inlineStr">
        <is>
          <t>2025-06-24</t>
        </is>
      </c>
      <c r="H120" s="0">
        <f>IF(OR(F120="",C120=""),"",F120-C120)</f>
        <v/>
      </c>
      <c r="I120" s="200" t="inlineStr">
        <is>
          <t>PROPOSED art sale — confirm object. Mercury Request or Invoice Payment.</t>
        </is>
      </c>
    </row>
    <row r="121" ht="14.25" customHeight="1" s="137"/>
    <row r="122" ht="14.25" customHeight="1" s="137">
      <c r="A122" s="201" t="inlineStr">
        <is>
          <t>2025 Mercury COGS — Newstar Jewelers (LOCKED jewelry fabrication)</t>
        </is>
      </c>
    </row>
    <row r="123" ht="14.25" customHeight="1" s="137">
      <c r="A123" s="202" t="inlineStr">
        <is>
          <t>Newstar Jewelers — jewelry from intaglios / engraved gems / scarabs</t>
        </is>
      </c>
      <c r="B123" s="202" t="inlineStr">
        <is>
          <t>Mercury 8291</t>
        </is>
      </c>
      <c r="C123" s="203" t="n">
        <v>8000</v>
      </c>
      <c r="D123" s="202" t="inlineStr">
        <is>
          <t>2025-10-14</t>
        </is>
      </c>
      <c r="I123" s="0" t="inlineStr">
        <is>
          <t>LOCKED COGS fabrication. Not in sold-lot Cost total (Feb Berk lots already sold). Identify which gems/intaglios/scarabs.</t>
        </is>
      </c>
    </row>
    <row r="124" ht="14.25" customHeight="1" s="137">
      <c r="A124" s="202" t="inlineStr">
        <is>
          <t>Newstar Jewelers — jewelry from intaglios / engraved gems / scarabs</t>
        </is>
      </c>
      <c r="B124" s="202" t="inlineStr">
        <is>
          <t>Mercury 8291</t>
        </is>
      </c>
      <c r="C124" s="203" t="n">
        <v>8000</v>
      </c>
      <c r="D124" s="202" t="inlineStr">
        <is>
          <t>2025-11-12</t>
        </is>
      </c>
      <c r="I124" s="0" t="inlineStr">
        <is>
          <t>LOCKED COGS fabrication. Not in sold-lot Cost total (Feb Berk lots already sold). Identify which gems/intaglios/scarabs.</t>
        </is>
      </c>
    </row>
    <row r="125" ht="14.25" customHeight="1" s="137">
      <c r="A125" s="202" t="inlineStr">
        <is>
          <t>Newstar Jewelers — jewelry from intaglios / engraved gems / scarabs (3 of 3)</t>
        </is>
      </c>
      <c r="B125" s="202" t="inlineStr">
        <is>
          <t>Mercury 8291</t>
        </is>
      </c>
      <c r="C125" s="203" t="n">
        <v>7581</v>
      </c>
      <c r="D125" s="202" t="inlineStr">
        <is>
          <t>2025-12-24</t>
        </is>
      </c>
      <c r="I125" s="0" t="inlineStr">
        <is>
          <t>LOCKED COGS fabrication. Not in sold-lot Cost total (Feb Berk lots already sold). Identify which gems/intaglios/scarabs.</t>
        </is>
      </c>
    </row>
    <row r="126" ht="14.25" customHeight="1" s="137">
      <c r="A126" s="0" t="inlineStr">
        <is>
          <t>Newstar 2025 total</t>
        </is>
      </c>
      <c r="C126" s="203">
        <f>SUM(C123:C125)</f>
        <v/>
      </c>
    </row>
    <row r="127" ht="14.25" customHeight="1" s="137"/>
    <row r="128" ht="14.25" customHeight="1" s="137">
      <c r="A128" s="204" t="inlineStr">
        <is>
          <t>2025 Mercury ASK — Fortuna inventory remaining (not in Cost total until object is named)</t>
        </is>
      </c>
    </row>
    <row r="129" ht="14.25" customHeight="1" s="137">
      <c r="A129" s="200" t="inlineStr">
        <is>
          <t>Fortuna / Erdal Dere — object TBD</t>
        </is>
      </c>
      <c r="B129" s="200" t="inlineStr">
        <is>
          <t>Mercury 8291</t>
        </is>
      </c>
      <c r="C129" s="157" t="n">
        <v>20000</v>
      </c>
      <c r="D129" s="200" t="inlineStr">
        <is>
          <t>2025-05-09</t>
        </is>
      </c>
      <c r="I129" s="0" t="inlineStr">
        <is>
          <t>ASK: inventory purchase vs other. Do not add to sold Cost until named (avoid double count).</t>
        </is>
      </c>
    </row>
    <row r="130" ht="14.25" customHeight="1" s="137">
      <c r="A130" s="200" t="inlineStr">
        <is>
          <t>Fortuna / Erdal Dere — object TBD</t>
        </is>
      </c>
      <c r="B130" s="200" t="inlineStr">
        <is>
          <t>Mercury 8291</t>
        </is>
      </c>
      <c r="C130" s="157" t="n">
        <v>45000</v>
      </c>
      <c r="D130" s="200" t="inlineStr">
        <is>
          <t>2025-07-21</t>
        </is>
      </c>
      <c r="I130" s="0" t="inlineStr">
        <is>
          <t>ASK: inventory purchase vs other. Do not add to sold Cost until named (avoid double count).</t>
        </is>
      </c>
    </row>
    <row r="131" ht="14.25" customHeight="1" s="137">
      <c r="A131" s="200" t="inlineStr">
        <is>
          <t>Fortuna / Erdal Dere — object TBD</t>
        </is>
      </c>
      <c r="B131" s="200" t="inlineStr">
        <is>
          <t>Mercury 8291</t>
        </is>
      </c>
      <c r="C131" s="157" t="n">
        <v>20000</v>
      </c>
      <c r="D131" s="200" t="inlineStr">
        <is>
          <t>2025-08-15</t>
        </is>
      </c>
      <c r="I131" s="0" t="inlineStr">
        <is>
          <t>ASK: inventory purchase vs other. Do not add to sold Cost until named (avoid double count).</t>
        </is>
      </c>
    </row>
    <row r="132" ht="14.25" customHeight="1" s="137">
      <c r="A132" s="0" t="inlineStr">
        <is>
          <t>Fortuna remaining 2025 (excl. seals $13,000 already on row 73)</t>
        </is>
      </c>
      <c r="C132" s="157" t="n">
        <v>85000</v>
      </c>
    </row>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3">
    <mergeCell ref="A78:I78"/>
    <mergeCell ref="A119:I119"/>
    <mergeCell ref="A122:I122"/>
  </mergeCells>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tabColor rgb="FF0070C0"/>
    <outlinePr summaryBelow="1" summaryRight="1"/>
    <pageSetUpPr/>
  </sheetPr>
  <dimension ref="A2:E28"/>
  <sheetViews>
    <sheetView workbookViewId="0">
      <selection activeCell="A1" sqref="A1"/>
    </sheetView>
  </sheetViews>
  <sheetFormatPr baseColWidth="8" defaultColWidth="14.43" defaultRowHeight="15" customHeight="1"/>
  <cols>
    <col width="25" customWidth="1" style="137" min="1" max="1"/>
    <col width="11" customWidth="1" style="137" min="2" max="2"/>
    <col width="14.14" customWidth="1" style="137" min="3" max="3"/>
    <col width="10.71" customWidth="1" style="137" min="4" max="4"/>
    <col width="11.86" customWidth="1" style="137" min="5" max="5"/>
    <col width="8.710000000000001" customWidth="1" style="137" min="6" max="26"/>
  </cols>
  <sheetData>
    <row r="1" ht="14.25" customHeight="1" s="137"/>
    <row r="2" ht="14.25" customHeight="1" s="137">
      <c r="A2" s="123" t="inlineStr">
        <is>
          <t>GCM Boards 2022</t>
        </is>
      </c>
      <c r="B2" s="158" t="n"/>
      <c r="C2" s="158" t="n"/>
      <c r="D2" s="158" t="n"/>
      <c r="E2" s="158" t="n"/>
    </row>
    <row r="3" ht="14.25" customHeight="1" s="137">
      <c r="A3" s="5" t="inlineStr">
        <is>
          <t>Fees</t>
        </is>
      </c>
      <c r="B3" s="5" t="inlineStr">
        <is>
          <t>Q1</t>
        </is>
      </c>
      <c r="C3" s="5" t="inlineStr">
        <is>
          <t>Q2</t>
        </is>
      </c>
      <c r="D3" s="5" t="inlineStr">
        <is>
          <t>Q3</t>
        </is>
      </c>
      <c r="E3" s="5" t="inlineStr">
        <is>
          <t>Q4</t>
        </is>
      </c>
    </row>
    <row r="4" ht="14.25" customHeight="1" s="137">
      <c r="A4" s="122" t="inlineStr">
        <is>
          <t>GCM Board</t>
        </is>
      </c>
      <c r="B4" s="88" t="n">
        <v>3500</v>
      </c>
      <c r="C4" s="88" t="n">
        <v>3500</v>
      </c>
      <c r="D4" s="88" t="n">
        <v>3500</v>
      </c>
      <c r="E4" s="88" t="n">
        <v>7000</v>
      </c>
    </row>
    <row r="5" ht="14.25" customHeight="1" s="137">
      <c r="A5" s="122" t="inlineStr">
        <is>
          <t>Gates SPC</t>
        </is>
      </c>
      <c r="B5" s="88" t="n"/>
      <c r="C5" s="88" t="n">
        <v>2500</v>
      </c>
      <c r="D5" s="88" t="n">
        <v>2500</v>
      </c>
      <c r="E5" s="88" t="n">
        <v>2500</v>
      </c>
    </row>
    <row r="6" ht="14.25" customHeight="1" s="137">
      <c r="A6" s="122" t="inlineStr">
        <is>
          <t>Total</t>
        </is>
      </c>
      <c r="B6" s="86">
        <f>SUM(B4:B5)</f>
        <v/>
      </c>
      <c r="C6" s="86">
        <f>SUM(C4:C5)</f>
        <v/>
      </c>
      <c r="D6" s="86">
        <f>SUM(D4:D5)</f>
        <v/>
      </c>
      <c r="E6" s="86">
        <f>SUM(E4:E5)</f>
        <v/>
      </c>
    </row>
    <row r="7" ht="14.25" customHeight="1" s="137">
      <c r="A7" s="5" t="inlineStr">
        <is>
          <t>Grand Total</t>
        </is>
      </c>
      <c r="C7" s="5" t="n"/>
      <c r="D7" s="5" t="n"/>
      <c r="E7" s="86">
        <f>SUM(B6:E6)</f>
        <v/>
      </c>
    </row>
    <row r="8" ht="14.25" customHeight="1" s="137"/>
    <row r="9" ht="14.25" customHeight="1" s="137">
      <c r="A9" s="123" t="inlineStr">
        <is>
          <t>GCM Boards 2023</t>
        </is>
      </c>
      <c r="B9" s="158" t="n"/>
      <c r="C9" s="158" t="n"/>
      <c r="D9" s="158" t="n"/>
      <c r="E9" s="158" t="n"/>
    </row>
    <row r="10" ht="14.25" customHeight="1" s="137">
      <c r="A10" s="5" t="inlineStr">
        <is>
          <t>Fees</t>
        </is>
      </c>
      <c r="B10" s="5" t="inlineStr">
        <is>
          <t>Q1</t>
        </is>
      </c>
      <c r="C10" s="5" t="inlineStr">
        <is>
          <t>Q2</t>
        </is>
      </c>
      <c r="D10" s="5" t="inlineStr">
        <is>
          <t>Q3</t>
        </is>
      </c>
      <c r="E10" s="5" t="inlineStr">
        <is>
          <t>Q4</t>
        </is>
      </c>
    </row>
    <row r="11" ht="14.25" customHeight="1" s="137">
      <c r="A11" s="122" t="inlineStr">
        <is>
          <t>GCM Board</t>
        </is>
      </c>
      <c r="B11" s="88" t="n">
        <v>3675</v>
      </c>
      <c r="C11" s="88" t="n">
        <v>3675</v>
      </c>
      <c r="D11" s="125" t="n">
        <v>3675</v>
      </c>
      <c r="E11" s="125" t="n">
        <v>3675</v>
      </c>
    </row>
    <row r="12" ht="14.25" customHeight="1" s="137">
      <c r="A12" s="122" t="inlineStr">
        <is>
          <t>Total</t>
        </is>
      </c>
      <c r="B12" s="86">
        <f>SUM(B11)</f>
        <v/>
      </c>
      <c r="C12" s="86">
        <f>SUM(C11)</f>
        <v/>
      </c>
      <c r="D12" s="86">
        <f>SUM(D11)</f>
        <v/>
      </c>
      <c r="E12" s="86">
        <f>SUM(E11)</f>
        <v/>
      </c>
    </row>
    <row r="13" ht="14.25" customHeight="1" s="137">
      <c r="A13" s="5" t="inlineStr">
        <is>
          <t>Grand Total</t>
        </is>
      </c>
      <c r="C13" s="5" t="n"/>
      <c r="D13" s="5" t="n"/>
      <c r="E13" s="86">
        <f>SUM(B12:E12)</f>
        <v/>
      </c>
    </row>
    <row r="14" ht="14.25" customHeight="1" s="137"/>
    <row r="15" ht="14.25" customHeight="1" s="137">
      <c r="A15" s="123" t="inlineStr">
        <is>
          <t>GCM Boards 2024</t>
        </is>
      </c>
      <c r="B15" s="158" t="n"/>
      <c r="C15" s="158" t="n"/>
      <c r="D15" s="158" t="n"/>
      <c r="E15" s="158" t="n"/>
    </row>
    <row r="16" ht="14.25" customHeight="1" s="137">
      <c r="A16" s="5" t="inlineStr">
        <is>
          <t>Fees</t>
        </is>
      </c>
      <c r="B16" s="5" t="inlineStr">
        <is>
          <t>Q1</t>
        </is>
      </c>
      <c r="C16" s="5" t="inlineStr">
        <is>
          <t>Q2</t>
        </is>
      </c>
      <c r="D16" s="5" t="inlineStr">
        <is>
          <t>Q3</t>
        </is>
      </c>
      <c r="E16" s="5" t="inlineStr">
        <is>
          <t>Q4</t>
        </is>
      </c>
    </row>
    <row r="17" ht="14.25" customHeight="1" s="137">
      <c r="A17" s="122" t="inlineStr">
        <is>
          <t>GCM Board</t>
        </is>
      </c>
      <c r="B17" s="88" t="n">
        <v>4050</v>
      </c>
      <c r="C17" s="88" t="n">
        <v>4050</v>
      </c>
      <c r="D17" s="125" t="n">
        <v>4050</v>
      </c>
      <c r="E17" s="125" t="n">
        <v>4050</v>
      </c>
    </row>
    <row r="18" ht="14.25" customHeight="1" s="137">
      <c r="A18" s="122" t="inlineStr">
        <is>
          <t>Total</t>
        </is>
      </c>
      <c r="B18" s="86">
        <f>SUM(B17)</f>
        <v/>
      </c>
      <c r="C18" s="86">
        <f>SUM(C17)</f>
        <v/>
      </c>
      <c r="D18" s="86">
        <f>SUM(D17)</f>
        <v/>
      </c>
      <c r="E18" s="86">
        <f>SUM(E17)</f>
        <v/>
      </c>
    </row>
    <row r="19" ht="14.25" customHeight="1" s="137">
      <c r="A19" s="5" t="inlineStr">
        <is>
          <t>Grand Total</t>
        </is>
      </c>
      <c r="C19" s="5" t="n"/>
      <c r="D19" s="5" t="n"/>
      <c r="E19" s="86">
        <f>SUM(B18:E18)</f>
        <v/>
      </c>
    </row>
    <row r="20" ht="14.25" customHeight="1" s="137">
      <c r="A20" s="92" t="n"/>
      <c r="B20" s="94" t="n"/>
    </row>
    <row r="21" ht="14.25" customHeight="1" s="137"/>
    <row r="22" ht="14.25" customHeight="1" s="137">
      <c r="A22" s="159" t="inlineStr">
        <is>
          <t>GCM Boards 2025</t>
        </is>
      </c>
    </row>
    <row r="23" ht="14.25" customHeight="1" s="137">
      <c r="A23" s="0" t="inlineStr">
        <is>
          <t>Fees</t>
        </is>
      </c>
      <c r="B23" s="0" t="inlineStr">
        <is>
          <t>Q1</t>
        </is>
      </c>
      <c r="C23" s="0" t="inlineStr">
        <is>
          <t>Q2</t>
        </is>
      </c>
      <c r="D23" s="0" t="inlineStr">
        <is>
          <t>Q3</t>
        </is>
      </c>
      <c r="E23" s="0" t="inlineStr">
        <is>
          <t>Q4</t>
        </is>
      </c>
    </row>
    <row r="24" ht="14.25" customHeight="1" s="137">
      <c r="A24" s="0" t="inlineStr">
        <is>
          <t>GCM Board</t>
        </is>
      </c>
      <c r="B24" s="160" t="n">
        <v>4100</v>
      </c>
      <c r="C24" s="160" t="n">
        <v>9200</v>
      </c>
      <c r="D24" s="160" t="n">
        <v>4100</v>
      </c>
      <c r="E24" s="160" t="n">
        <v>4100</v>
      </c>
    </row>
    <row r="25" ht="14.25" customHeight="1" s="137">
      <c r="A25" s="0" t="inlineStr">
        <is>
          <t>Total</t>
        </is>
      </c>
      <c r="B25" s="0">
        <f>SUM(B24)</f>
        <v/>
      </c>
      <c r="C25" s="0">
        <f>SUM(C24)</f>
        <v/>
      </c>
      <c r="D25" s="0">
        <f>SUM(D24)</f>
        <v/>
      </c>
      <c r="E25" s="0">
        <f>SUM(E24)</f>
        <v/>
      </c>
    </row>
    <row r="26" ht="14.25" customHeight="1" s="137">
      <c r="A26" s="0" t="inlineStr">
        <is>
          <t>Grand Total</t>
        </is>
      </c>
      <c r="E26" s="0">
        <f>SUM(B25:E25)</f>
        <v/>
      </c>
    </row>
    <row r="27" ht="14.25" customHeight="1" s="137"/>
    <row r="28" ht="14.25" customHeight="1" s="137">
      <c r="A28" s="0" t="inlineStr">
        <is>
          <t>BOM PAYMEN $21,500 = Form 1099-NEC (personal, Jacob). NOT EPGC Consultant. JAKE C / SEFOF reimbursements excluded. Not tax advice.</t>
        </is>
      </c>
    </row>
    <row r="29" ht="14.25" customHeight="1" s="137"/>
    <row r="30" ht="14.25" customHeight="1" s="137"/>
    <row r="31" ht="14.25" customHeight="1" s="137"/>
    <row r="32" ht="14.25" customHeight="1" s="137"/>
    <row r="33" ht="14.25" customHeight="1" s="137"/>
    <row r="34" ht="14.25" customHeight="1" s="137"/>
    <row r="35" ht="14.25" customHeight="1" s="137"/>
    <row r="36" ht="14.25" customHeight="1" s="137"/>
    <row r="37" ht="14.25" customHeight="1" s="137"/>
    <row r="38" ht="14.25" customHeight="1" s="137"/>
    <row r="39" ht="14.25" customHeight="1" s="137"/>
    <row r="40" ht="14.25" customHeight="1" s="137"/>
    <row r="41" ht="14.25" customHeight="1" s="137"/>
    <row r="42" ht="14.25" customHeight="1" s="137"/>
    <row r="43" ht="14.25" customHeight="1" s="137"/>
    <row r="44" ht="14.25" customHeight="1" s="137"/>
    <row r="45" ht="14.25" customHeight="1" s="137"/>
    <row r="46" ht="14.25" customHeight="1" s="137"/>
    <row r="47" ht="14.25" customHeight="1" s="137"/>
    <row r="48" ht="14.25" customHeight="1" s="137"/>
    <row r="49" ht="14.25" customHeight="1" s="137"/>
    <row r="50" ht="14.25" customHeight="1" s="137"/>
    <row r="51" ht="14.25" customHeight="1" s="137"/>
    <row r="52" ht="14.25" customHeight="1" s="137"/>
    <row r="53" ht="14.25" customHeight="1" s="137"/>
    <row r="54" ht="14.25" customHeight="1" s="137"/>
    <row r="55" ht="14.25" customHeight="1" s="137"/>
    <row r="56" ht="14.25" customHeight="1" s="137"/>
    <row r="57" ht="14.25" customHeight="1" s="137"/>
    <row r="58" ht="14.25" customHeight="1" s="137"/>
    <row r="59" ht="14.25" customHeight="1" s="137"/>
    <row r="60" ht="14.25" customHeight="1" s="137"/>
    <row r="61" ht="14.25" customHeight="1" s="137"/>
    <row r="62" ht="14.25" customHeight="1" s="137"/>
    <row r="63" ht="14.25" customHeight="1" s="137"/>
    <row r="64" ht="14.25" customHeight="1" s="137"/>
    <row r="65" ht="14.25" customHeight="1" s="137"/>
    <row r="66" ht="14.25" customHeight="1" s="137"/>
    <row r="67" ht="14.25" customHeight="1" s="137"/>
    <row r="68" ht="14.25" customHeight="1" s="137"/>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3">
    <mergeCell ref="A2:E2"/>
    <mergeCell ref="A15:E15"/>
    <mergeCell ref="A9:E9"/>
  </mergeCells>
  <pageMargins left="0.7" right="0.7" top="0.75" bottom="0.75" header="0" footer="0"/>
  <pageSetup orientation="portrait"/>
</worksheet>
</file>

<file path=xl/worksheets/sheet8.xml><?xml version="1.0" encoding="utf-8"?>
<worksheet xmlns="http://schemas.openxmlformats.org/spreadsheetml/2006/main">
  <sheetPr>
    <tabColor rgb="FF00B050"/>
    <outlinePr summaryBelow="1" summaryRight="1"/>
    <pageSetUpPr/>
  </sheetPr>
  <dimension ref="A1:E16"/>
  <sheetViews>
    <sheetView workbookViewId="0">
      <selection activeCell="A1" sqref="A1"/>
    </sheetView>
  </sheetViews>
  <sheetFormatPr baseColWidth="8" defaultColWidth="14.43" defaultRowHeight="15" customHeight="1"/>
  <cols>
    <col width="21.86" customWidth="1" style="137" min="1" max="1"/>
    <col width="14.14" customWidth="1" style="137" min="2" max="2"/>
    <col width="8.710000000000001" customWidth="1" style="137" min="3" max="4"/>
    <col width="18.71" customWidth="1" style="137" min="5" max="5"/>
    <col width="8.710000000000001" customWidth="1" style="137" min="6" max="26"/>
  </cols>
  <sheetData>
    <row r="1" ht="14.25" customHeight="1" s="137">
      <c r="B1" s="126" t="n"/>
    </row>
    <row r="2" ht="14.25" customHeight="1" s="137">
      <c r="A2" s="123" t="inlineStr">
        <is>
          <t>Contractual Employee 2023</t>
        </is>
      </c>
      <c r="B2" s="158" t="n"/>
      <c r="C2" s="158" t="n"/>
      <c r="D2" s="158" t="n"/>
      <c r="E2" s="158" t="n"/>
    </row>
    <row r="3" ht="14.25" customHeight="1" s="137">
      <c r="A3" s="5" t="inlineStr">
        <is>
          <t>Income</t>
        </is>
      </c>
      <c r="B3" s="5" t="inlineStr">
        <is>
          <t>Q1</t>
        </is>
      </c>
      <c r="C3" s="5" t="inlineStr">
        <is>
          <t>Q2</t>
        </is>
      </c>
      <c r="D3" s="5" t="inlineStr">
        <is>
          <t>Q3</t>
        </is>
      </c>
      <c r="E3" s="5" t="inlineStr">
        <is>
          <t>Q4</t>
        </is>
      </c>
    </row>
    <row r="4" ht="14.25" customHeight="1" s="137">
      <c r="A4" s="122" t="inlineStr">
        <is>
          <t>Salary</t>
        </is>
      </c>
    </row>
    <row r="5" ht="14.25" customHeight="1" s="137">
      <c r="A5" s="122" t="inlineStr">
        <is>
          <t>Bonus</t>
        </is>
      </c>
    </row>
    <row r="6" ht="14.25" customHeight="1" s="137">
      <c r="A6" s="122" t="inlineStr">
        <is>
          <t>Total</t>
        </is>
      </c>
      <c r="B6" s="5">
        <f>SUM(B4)</f>
        <v/>
      </c>
      <c r="C6" s="5">
        <f>SUM(C4)</f>
        <v/>
      </c>
      <c r="D6" s="5">
        <f>SUM(D4)</f>
        <v/>
      </c>
      <c r="E6" s="5">
        <f>SUM(E4)</f>
        <v/>
      </c>
    </row>
    <row r="7" ht="14.25" customHeight="1" s="137">
      <c r="A7" s="5" t="inlineStr">
        <is>
          <t>Total Revenues</t>
        </is>
      </c>
      <c r="B7" s="5" t="n"/>
      <c r="C7" s="5" t="n"/>
      <c r="D7" s="5" t="n"/>
      <c r="E7" s="86" t="n">
        <v>115000</v>
      </c>
    </row>
    <row r="8" ht="14.25" customHeight="1" s="137">
      <c r="B8" s="126" t="n"/>
    </row>
    <row r="9" ht="14.25" customHeight="1" s="137">
      <c r="A9" s="123" t="inlineStr">
        <is>
          <t>Contractual Employee 2024</t>
        </is>
      </c>
      <c r="B9" s="158" t="n"/>
      <c r="C9" s="158" t="n"/>
      <c r="D9" s="158" t="n"/>
      <c r="E9" s="158" t="n"/>
    </row>
    <row r="10" ht="14.25" customHeight="1" s="137">
      <c r="A10" s="5" t="inlineStr">
        <is>
          <t>Income</t>
        </is>
      </c>
      <c r="B10" s="5" t="inlineStr">
        <is>
          <t>Q1</t>
        </is>
      </c>
      <c r="C10" s="5" t="inlineStr">
        <is>
          <t>Q2</t>
        </is>
      </c>
      <c r="D10" s="5" t="inlineStr">
        <is>
          <t>Q3</t>
        </is>
      </c>
      <c r="E10" s="5" t="inlineStr">
        <is>
          <t>Q4</t>
        </is>
      </c>
    </row>
    <row r="11" ht="14.25" customHeight="1" s="137">
      <c r="A11" s="122" t="inlineStr">
        <is>
          <t>Salary</t>
        </is>
      </c>
    </row>
    <row r="12" ht="14.25" customHeight="1" s="137">
      <c r="A12" s="122" t="inlineStr">
        <is>
          <t>Bonus</t>
        </is>
      </c>
    </row>
    <row r="13" ht="14.25" customHeight="1" s="137">
      <c r="A13" s="122" t="inlineStr">
        <is>
          <t>Total</t>
        </is>
      </c>
      <c r="B13" s="5">
        <f>SUM(B11)</f>
        <v/>
      </c>
      <c r="C13" s="5">
        <f>SUM(C11)</f>
        <v/>
      </c>
      <c r="D13" s="5">
        <f>SUM(D11)</f>
        <v/>
      </c>
      <c r="E13" s="5">
        <f>SUM(E11)</f>
        <v/>
      </c>
    </row>
    <row r="14" ht="14.25" customHeight="1" s="137">
      <c r="A14" s="5" t="inlineStr">
        <is>
          <t>Total Revenues</t>
        </is>
      </c>
      <c r="B14" s="5" t="n"/>
      <c r="C14" s="5" t="n"/>
      <c r="D14" s="5" t="n"/>
      <c r="E14" s="86" t="n">
        <v>110000</v>
      </c>
    </row>
    <row r="15" ht="14.25" customHeight="1" s="137">
      <c r="B15" s="126" t="n"/>
    </row>
    <row r="16" ht="14.25" customHeight="1" s="137">
      <c r="B16" s="126" t="n"/>
    </row>
    <row r="17" ht="14.25" customHeight="1" s="137"/>
    <row r="18" ht="14.25" customHeight="1" s="137"/>
    <row r="19" ht="14.25" customHeight="1" s="137"/>
    <row r="20" ht="14.25" customHeight="1" s="137"/>
    <row r="21" ht="14.25" customHeight="1" s="137"/>
    <row r="22" ht="14.25" customHeight="1" s="137"/>
    <row r="23" ht="14.25" customHeight="1" s="137"/>
    <row r="24" ht="14.25" customHeight="1" s="137"/>
    <row r="25" ht="14.25" customHeight="1" s="137"/>
    <row r="26" ht="14.25" customHeight="1" s="137"/>
    <row r="27" ht="14.25" customHeight="1" s="137"/>
    <row r="28" ht="14.25" customHeight="1" s="137"/>
    <row r="29" ht="14.25" customHeight="1" s="137"/>
    <row r="30" ht="14.25" customHeight="1" s="137"/>
    <row r="31" ht="14.25" customHeight="1" s="137"/>
    <row r="32" ht="14.25" customHeight="1" s="137"/>
    <row r="33" ht="14.25" customHeight="1" s="137"/>
    <row r="34" ht="14.25" customHeight="1" s="137"/>
    <row r="35" ht="14.25" customHeight="1" s="137"/>
    <row r="36" ht="14.25" customHeight="1" s="137"/>
    <row r="37" ht="14.25" customHeight="1" s="137"/>
    <row r="38" ht="14.25" customHeight="1" s="137"/>
    <row r="39" ht="14.25" customHeight="1" s="137"/>
    <row r="40" ht="14.25" customHeight="1" s="137"/>
    <row r="41" ht="14.25" customHeight="1" s="137"/>
    <row r="42" ht="14.25" customHeight="1" s="137"/>
    <row r="43" ht="14.25" customHeight="1" s="137"/>
    <row r="44" ht="14.25" customHeight="1" s="137"/>
    <row r="45" ht="14.25" customHeight="1" s="137"/>
    <row r="46" ht="14.25" customHeight="1" s="137"/>
    <row r="47" ht="14.25" customHeight="1" s="137"/>
    <row r="48" ht="14.25" customHeight="1" s="137"/>
    <row r="49" ht="14.25" customHeight="1" s="137"/>
    <row r="50" ht="14.25" customHeight="1" s="137"/>
    <row r="51" ht="14.25" customHeight="1" s="137"/>
    <row r="52" ht="14.25" customHeight="1" s="137"/>
    <row r="53" ht="14.25" customHeight="1" s="137"/>
    <row r="54" ht="14.25" customHeight="1" s="137"/>
    <row r="55" ht="14.25" customHeight="1" s="137"/>
    <row r="56" ht="14.25" customHeight="1" s="137"/>
    <row r="57" ht="14.25" customHeight="1" s="137"/>
    <row r="58" ht="14.25" customHeight="1" s="137"/>
    <row r="59" ht="14.25" customHeight="1" s="137"/>
    <row r="60" ht="14.25" customHeight="1" s="137"/>
    <row r="61" ht="14.25" customHeight="1" s="137"/>
    <row r="62" ht="14.25" customHeight="1" s="137"/>
    <row r="63" ht="14.25" customHeight="1" s="137"/>
    <row r="64" ht="14.25" customHeight="1" s="137"/>
    <row r="65" ht="14.25" customHeight="1" s="137"/>
    <row r="66" ht="14.25" customHeight="1" s="137"/>
    <row r="67" ht="14.25" customHeight="1" s="137"/>
    <row r="68" ht="14.25" customHeight="1" s="137"/>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2">
    <mergeCell ref="A2:E2"/>
    <mergeCell ref="A9:E9"/>
  </mergeCells>
  <pageMargins left="0.7" right="0.7" top="0.75" bottom="0.75" header="0" footer="0"/>
  <pageSetup orientation="portrait"/>
  <legacyDrawing xmlns:r="http://schemas.openxmlformats.org/officeDocument/2006/relationships" r:id="anysvml"/>
</worksheet>
</file>

<file path=xl/worksheets/sheet9.xml><?xml version="1.0" encoding="utf-8"?>
<worksheet xmlns="http://schemas.openxmlformats.org/spreadsheetml/2006/main">
  <sheetPr>
    <tabColor rgb="FF00B050"/>
    <outlinePr summaryBelow="1" summaryRight="1"/>
    <pageSetUpPr/>
  </sheetPr>
  <dimension ref="A1:E21"/>
  <sheetViews>
    <sheetView workbookViewId="0">
      <selection activeCell="A1" sqref="A1"/>
    </sheetView>
  </sheetViews>
  <sheetFormatPr baseColWidth="8" defaultColWidth="14.43" defaultRowHeight="15" customHeight="1"/>
  <cols>
    <col width="21.86" customWidth="1" style="137" min="1" max="1"/>
    <col width="14.14" customWidth="1" style="137" min="2" max="2"/>
    <col width="8.710000000000001" customWidth="1" style="137" min="3" max="4"/>
    <col width="18.71" customWidth="1" style="137" min="5" max="5"/>
    <col width="8.710000000000001" customWidth="1" style="137" min="6" max="26"/>
  </cols>
  <sheetData>
    <row r="1" ht="14.25" customHeight="1" s="137">
      <c r="B1" s="126" t="n"/>
    </row>
    <row r="2" ht="14.25" customHeight="1" s="137">
      <c r="B2" s="126" t="n"/>
    </row>
    <row r="3" ht="14.25" customHeight="1" s="137">
      <c r="A3" s="123" t="inlineStr">
        <is>
          <t>Contractual Employee 2022</t>
        </is>
      </c>
      <c r="B3" s="158" t="n"/>
      <c r="C3" s="158" t="n"/>
      <c r="D3" s="158" t="n"/>
      <c r="E3" s="158" t="n"/>
    </row>
    <row r="4" ht="14.25" customHeight="1" s="137">
      <c r="A4" s="5" t="inlineStr">
        <is>
          <t>Income</t>
        </is>
      </c>
      <c r="B4" s="5" t="inlineStr">
        <is>
          <t>Q1</t>
        </is>
      </c>
      <c r="C4" s="5" t="inlineStr">
        <is>
          <t>Q2</t>
        </is>
      </c>
      <c r="D4" s="5" t="inlineStr">
        <is>
          <t>Q3</t>
        </is>
      </c>
      <c r="E4" s="5" t="inlineStr">
        <is>
          <t>Q4</t>
        </is>
      </c>
    </row>
    <row r="5" ht="14.25" customHeight="1" s="137">
      <c r="A5" s="122" t="inlineStr">
        <is>
          <t>Salary</t>
        </is>
      </c>
      <c r="B5" s="122" t="n">
        <v>23000</v>
      </c>
      <c r="C5" s="122" t="n">
        <v>23000</v>
      </c>
      <c r="D5" s="122" t="n">
        <v>23000</v>
      </c>
      <c r="E5" s="122" t="n">
        <v>23000</v>
      </c>
    </row>
    <row r="6" ht="14.25" customHeight="1" s="137">
      <c r="A6" s="122" t="inlineStr">
        <is>
          <t>Total</t>
        </is>
      </c>
      <c r="B6" s="5">
        <f>SUM(B5)</f>
        <v/>
      </c>
      <c r="C6" s="5">
        <f>SUM(C5)</f>
        <v/>
      </c>
      <c r="D6" s="5">
        <f>SUM(D5)</f>
        <v/>
      </c>
      <c r="E6" s="5">
        <f>SUM(E5)</f>
        <v/>
      </c>
    </row>
    <row r="7" ht="14.25" customHeight="1" s="137">
      <c r="A7" s="5" t="inlineStr">
        <is>
          <t>Total Revenues</t>
        </is>
      </c>
      <c r="B7" s="5" t="n"/>
      <c r="C7" s="5" t="n"/>
      <c r="D7" s="5" t="n"/>
      <c r="E7" s="127">
        <f>SUM(B6:E6)</f>
        <v/>
      </c>
    </row>
    <row r="8" ht="14.25" customHeight="1" s="137">
      <c r="B8" s="126" t="n"/>
    </row>
    <row r="9" ht="14.25" customHeight="1" s="137">
      <c r="A9" s="123" t="inlineStr">
        <is>
          <t>Contractual Employee 2023</t>
        </is>
      </c>
      <c r="B9" s="158" t="n"/>
      <c r="C9" s="158" t="n"/>
      <c r="D9" s="158" t="n"/>
      <c r="E9" s="158" t="n"/>
    </row>
    <row r="10" ht="14.25" customHeight="1" s="137">
      <c r="A10" s="5" t="inlineStr">
        <is>
          <t>Income</t>
        </is>
      </c>
      <c r="B10" s="5" t="inlineStr">
        <is>
          <t>Q1</t>
        </is>
      </c>
      <c r="C10" s="5" t="inlineStr">
        <is>
          <t>Q2</t>
        </is>
      </c>
      <c r="D10" s="5" t="inlineStr">
        <is>
          <t>Q3</t>
        </is>
      </c>
      <c r="E10" s="5" t="inlineStr">
        <is>
          <t>Q4</t>
        </is>
      </c>
    </row>
    <row r="11" ht="14.25" customHeight="1" s="137">
      <c r="A11" s="122" t="inlineStr">
        <is>
          <t>Salary</t>
        </is>
      </c>
    </row>
    <row r="12" ht="14.25" customHeight="1" s="137">
      <c r="A12" s="122" t="inlineStr">
        <is>
          <t>Total</t>
        </is>
      </c>
      <c r="B12" s="5">
        <f>SUM(B11)</f>
        <v/>
      </c>
      <c r="C12" s="5">
        <f>SUM(C11)</f>
        <v/>
      </c>
      <c r="D12" s="5">
        <f>SUM(D11)</f>
        <v/>
      </c>
      <c r="E12" s="5">
        <f>SUM(E11)</f>
        <v/>
      </c>
    </row>
    <row r="13" ht="14.25" customHeight="1" s="137">
      <c r="A13" s="5" t="inlineStr">
        <is>
          <t>Total Revenues</t>
        </is>
      </c>
      <c r="B13" s="5" t="n"/>
      <c r="C13" s="5" t="n"/>
      <c r="D13" s="5" t="n"/>
      <c r="E13" s="127" t="n">
        <v>100274</v>
      </c>
    </row>
    <row r="14" ht="14.25" customHeight="1" s="137">
      <c r="B14" s="126" t="n"/>
    </row>
    <row r="15" ht="14.25" customHeight="1" s="137">
      <c r="A15" s="123" t="inlineStr">
        <is>
          <t>Contractual Employee 2024</t>
        </is>
      </c>
      <c r="B15" s="158" t="n"/>
      <c r="C15" s="158" t="n"/>
      <c r="D15" s="158" t="n"/>
      <c r="E15" s="158" t="n"/>
    </row>
    <row r="16" ht="14.25" customHeight="1" s="137">
      <c r="A16" s="5" t="inlineStr">
        <is>
          <t>Income</t>
        </is>
      </c>
      <c r="B16" s="5" t="inlineStr">
        <is>
          <t>Q1</t>
        </is>
      </c>
      <c r="C16" s="5" t="inlineStr">
        <is>
          <t>Q2</t>
        </is>
      </c>
      <c r="D16" s="5" t="inlineStr">
        <is>
          <t>Q3</t>
        </is>
      </c>
      <c r="E16" s="5" t="inlineStr">
        <is>
          <t>Q4</t>
        </is>
      </c>
    </row>
    <row r="17" ht="14.25" customHeight="1" s="137">
      <c r="A17" s="122" t="inlineStr">
        <is>
          <t>Salary</t>
        </is>
      </c>
    </row>
    <row r="18" ht="14.25" customHeight="1" s="137">
      <c r="A18" s="122" t="inlineStr">
        <is>
          <t>Total</t>
        </is>
      </c>
      <c r="B18" s="5">
        <f>SUM(B17)</f>
        <v/>
      </c>
      <c r="C18" s="5">
        <f>SUM(C17)</f>
        <v/>
      </c>
      <c r="D18" s="5">
        <f>SUM(D17)</f>
        <v/>
      </c>
      <c r="E18" s="5">
        <f>SUM(E17)</f>
        <v/>
      </c>
    </row>
    <row r="19" ht="14.25" customHeight="1" s="137">
      <c r="A19" s="5" t="inlineStr">
        <is>
          <t>Total Revenues</t>
        </is>
      </c>
      <c r="B19" s="5" t="n"/>
      <c r="C19" s="5" t="n"/>
      <c r="D19" s="5" t="n"/>
      <c r="E19" s="127" t="n"/>
    </row>
    <row r="20" ht="14.25" customHeight="1" s="137">
      <c r="B20" s="126" t="n"/>
    </row>
    <row r="21" ht="14.25" customHeight="1" s="137">
      <c r="B21" s="126" t="n"/>
    </row>
    <row r="22" ht="14.25" customHeight="1" s="137"/>
    <row r="23" ht="14.25" customHeight="1" s="137"/>
    <row r="24" ht="14.25" customHeight="1" s="137"/>
    <row r="25" ht="14.25" customHeight="1" s="137"/>
    <row r="26" ht="14.25" customHeight="1" s="137"/>
    <row r="27" ht="14.25" customHeight="1" s="137"/>
    <row r="28" ht="14.25" customHeight="1" s="137"/>
    <row r="29" ht="14.25" customHeight="1" s="137"/>
    <row r="30" ht="14.25" customHeight="1" s="137"/>
    <row r="31" ht="14.25" customHeight="1" s="137"/>
    <row r="32" ht="14.25" customHeight="1" s="137"/>
    <row r="33" ht="14.25" customHeight="1" s="137"/>
    <row r="34" ht="14.25" customHeight="1" s="137"/>
    <row r="35" ht="14.25" customHeight="1" s="137"/>
    <row r="36" ht="14.25" customHeight="1" s="137"/>
    <row r="37" ht="14.25" customHeight="1" s="137"/>
    <row r="38" ht="14.25" customHeight="1" s="137"/>
    <row r="39" ht="14.25" customHeight="1" s="137"/>
    <row r="40" ht="14.25" customHeight="1" s="137"/>
    <row r="41" ht="14.25" customHeight="1" s="137"/>
    <row r="42" ht="14.25" customHeight="1" s="137"/>
    <row r="43" ht="14.25" customHeight="1" s="137"/>
    <row r="44" ht="14.25" customHeight="1" s="137"/>
    <row r="45" ht="14.25" customHeight="1" s="137"/>
    <row r="46" ht="14.25" customHeight="1" s="137"/>
    <row r="47" ht="14.25" customHeight="1" s="137"/>
    <row r="48" ht="14.25" customHeight="1" s="137"/>
    <row r="49" ht="14.25" customHeight="1" s="137"/>
    <row r="50" ht="14.25" customHeight="1" s="137"/>
    <row r="51" ht="14.25" customHeight="1" s="137"/>
    <row r="52" ht="14.25" customHeight="1" s="137"/>
    <row r="53" ht="14.25" customHeight="1" s="137"/>
    <row r="54" ht="14.25" customHeight="1" s="137"/>
    <row r="55" ht="14.25" customHeight="1" s="137"/>
    <row r="56" ht="14.25" customHeight="1" s="137"/>
    <row r="57" ht="14.25" customHeight="1" s="137"/>
    <row r="58" ht="14.25" customHeight="1" s="137"/>
    <row r="59" ht="14.25" customHeight="1" s="137"/>
    <row r="60" ht="14.25" customHeight="1" s="137"/>
    <row r="61" ht="14.25" customHeight="1" s="137"/>
    <row r="62" ht="14.25" customHeight="1" s="137"/>
    <row r="63" ht="14.25" customHeight="1" s="137"/>
    <row r="64" ht="14.25" customHeight="1" s="137"/>
    <row r="65" ht="14.25" customHeight="1" s="137"/>
    <row r="66" ht="14.25" customHeight="1" s="137"/>
    <row r="67" ht="14.25" customHeight="1" s="137"/>
    <row r="68" ht="14.25" customHeight="1" s="137"/>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3">
    <mergeCell ref="A15:E15"/>
    <mergeCell ref="A9:E9"/>
    <mergeCell ref="A3:E3"/>
  </mergeCells>
  <pageMargins left="0.7" right="0.7" top="0.75" bottom="0.75" header="0" footer="0"/>
  <pageSetup orientation="portrait"/>
  <legacyDrawing xmlns:r="http://schemas.openxmlformats.org/officeDocument/2006/relationships" r:id="anysvml"/>
</worksheet>
</file>

<file path=xl/worksheets/sheet10.xml><?xml version="1.0" encoding="utf-8"?>
<worksheet xmlns="http://schemas.openxmlformats.org/spreadsheetml/2006/main">
  <sheetPr>
    <tabColor rgb="FF00B050"/>
    <outlinePr summaryBelow="1" summaryRight="1"/>
    <pageSetUpPr/>
  </sheetPr>
  <dimension ref="A1:N11"/>
  <sheetViews>
    <sheetView workbookViewId="0">
      <selection activeCell="A1" sqref="A1"/>
    </sheetView>
  </sheetViews>
  <sheetFormatPr baseColWidth="8" defaultColWidth="14.43" defaultRowHeight="15" customHeight="1"/>
  <cols>
    <col width="32" customWidth="1" style="137" min="1" max="1"/>
    <col width="14" customWidth="1" style="137" min="2" max="26"/>
    <col width="14" customWidth="1" style="137" min="3" max="3"/>
    <col width="14" customWidth="1" style="137" min="4" max="4"/>
    <col width="14" customWidth="1" style="137" min="5" max="5"/>
    <col width="14" customWidth="1" style="137" min="6" max="6"/>
    <col width="14" customWidth="1" style="137" min="7" max="7"/>
    <col width="14" customWidth="1" style="137" min="8" max="8"/>
    <col width="14" customWidth="1" style="137" min="9" max="9"/>
    <col width="14" customWidth="1" style="137" min="10" max="10"/>
    <col width="14" customWidth="1" style="137" min="11" max="11"/>
    <col width="14" customWidth="1" style="137" min="12" max="12"/>
    <col width="14" customWidth="1" style="137" min="13" max="13"/>
    <col width="14" customWidth="1" style="137" min="14" max="14"/>
  </cols>
  <sheetData>
    <row r="1" ht="14.25" customHeight="1" s="137">
      <c r="A1" s="122" t="inlineStr">
        <is>
          <t>Fidelity</t>
        </is>
      </c>
      <c r="B1" s="122" t="inlineStr">
        <is>
          <t>SEP IRA</t>
        </is>
      </c>
    </row>
    <row r="2" ht="14.25" customHeight="1" s="137">
      <c r="A2" s="122" t="inlineStr">
        <is>
          <t>ML</t>
        </is>
      </c>
      <c r="B2" s="122" t="inlineStr">
        <is>
          <t>UTMA EMMA COLEY</t>
        </is>
      </c>
    </row>
    <row r="3" ht="14.25" customHeight="1" s="137">
      <c r="A3" s="122" t="inlineStr">
        <is>
          <t>ML</t>
        </is>
      </c>
      <c r="B3" s="122" t="inlineStr">
        <is>
          <t>UTMA PHOEBE COLEY</t>
        </is>
      </c>
    </row>
    <row r="4" ht="14.25" customHeight="1" s="137"/>
    <row r="5" ht="14.25" customHeight="1" s="137">
      <c r="A5" s="159" t="inlineStr">
        <is>
          <t>Coinbase (ACH from Mercury 8291)</t>
        </is>
      </c>
      <c r="B5" s="178" t="inlineStr">
        <is>
          <t>Investment transfers — not EPGC Art Sales, not advisory. Distinct from Coinbase 6108 card.</t>
        </is>
      </c>
    </row>
    <row r="6" ht="14.25" customHeight="1" s="137">
      <c r="A6" s="188" t="inlineStr"/>
      <c r="B6" s="188" t="inlineStr">
        <is>
          <t>JAN</t>
        </is>
      </c>
      <c r="C6" s="188" t="inlineStr">
        <is>
          <t>FEB</t>
        </is>
      </c>
      <c r="D6" s="188" t="inlineStr">
        <is>
          <t>MAR</t>
        </is>
      </c>
      <c r="E6" s="188" t="inlineStr">
        <is>
          <t>APR</t>
        </is>
      </c>
      <c r="F6" s="188" t="inlineStr">
        <is>
          <t>MAY</t>
        </is>
      </c>
      <c r="G6" s="188" t="inlineStr">
        <is>
          <t>JUN</t>
        </is>
      </c>
      <c r="H6" s="188" t="inlineStr">
        <is>
          <t>JUL</t>
        </is>
      </c>
      <c r="I6" s="188" t="inlineStr">
        <is>
          <t>AUG</t>
        </is>
      </c>
      <c r="J6" s="188" t="inlineStr">
        <is>
          <t>SEP</t>
        </is>
      </c>
      <c r="K6" s="188" t="inlineStr">
        <is>
          <t>OCT</t>
        </is>
      </c>
      <c r="L6" s="188" t="inlineStr">
        <is>
          <t>NOV</t>
        </is>
      </c>
      <c r="M6" s="188" t="inlineStr">
        <is>
          <t>DEC</t>
        </is>
      </c>
      <c r="N6" s="188" t="inlineStr">
        <is>
          <t>2025 NET</t>
        </is>
      </c>
    </row>
    <row r="7" ht="14.25" customHeight="1" s="137">
      <c r="A7" s="0" t="inlineStr">
        <is>
          <t>To Coinbase (funding)</t>
        </is>
      </c>
      <c r="B7" s="179" t="n">
        <v>0</v>
      </c>
      <c r="C7" s="179" t="n">
        <v>0</v>
      </c>
      <c r="D7" s="179" t="n">
        <v>0</v>
      </c>
      <c r="E7" s="179" t="n">
        <v>0</v>
      </c>
      <c r="F7" s="179" t="n">
        <v>0</v>
      </c>
      <c r="G7" s="179" t="n">
        <v>0</v>
      </c>
      <c r="H7" s="179" t="n">
        <v>0</v>
      </c>
      <c r="I7" s="179" t="n">
        <v>0</v>
      </c>
      <c r="J7" s="205" t="n">
        <v>-9000</v>
      </c>
      <c r="K7" s="205" t="n">
        <v>-10000</v>
      </c>
      <c r="L7" s="205" t="n">
        <v>-35000</v>
      </c>
      <c r="M7" s="205" t="n">
        <v>-5000</v>
      </c>
      <c r="N7" s="138">
        <f>SUM(B7:M7)</f>
        <v/>
      </c>
    </row>
    <row r="8" ht="14.25" customHeight="1" s="137">
      <c r="A8" s="0" t="inlineStr">
        <is>
          <t>From Coinbase (back to 8291)</t>
        </is>
      </c>
      <c r="B8" s="179" t="n">
        <v>0</v>
      </c>
      <c r="C8" s="179" t="n">
        <v>0</v>
      </c>
      <c r="D8" s="179" t="n">
        <v>0</v>
      </c>
      <c r="E8" s="179" t="n">
        <v>0</v>
      </c>
      <c r="F8" s="179" t="n">
        <v>0</v>
      </c>
      <c r="G8" s="179" t="n">
        <v>0</v>
      </c>
      <c r="H8" s="179" t="n">
        <v>0</v>
      </c>
      <c r="I8" s="179" t="n">
        <v>0</v>
      </c>
      <c r="J8" s="179" t="n">
        <v>0</v>
      </c>
      <c r="K8" s="179" t="n">
        <v>0</v>
      </c>
      <c r="L8" s="179" t="n">
        <v>0</v>
      </c>
      <c r="M8" s="205" t="n">
        <v>8000</v>
      </c>
      <c r="N8" s="138">
        <f>SUM(B8:M8)</f>
        <v/>
      </c>
    </row>
    <row r="9" ht="14.25" customHeight="1" s="137">
      <c r="A9" s="0" t="inlineStr">
        <is>
          <t>Net transfer</t>
        </is>
      </c>
      <c r="B9" s="179" t="n">
        <v>0</v>
      </c>
      <c r="C9" s="179" t="n">
        <v>0</v>
      </c>
      <c r="D9" s="179" t="n">
        <v>0</v>
      </c>
      <c r="E9" s="179" t="n">
        <v>0</v>
      </c>
      <c r="F9" s="179" t="n">
        <v>0</v>
      </c>
      <c r="G9" s="179" t="n">
        <v>0</v>
      </c>
      <c r="H9" s="179" t="n">
        <v>0</v>
      </c>
      <c r="I9" s="179" t="n">
        <v>0</v>
      </c>
      <c r="J9" s="183" t="n">
        <v>-9000</v>
      </c>
      <c r="K9" s="183" t="n">
        <v>-10000</v>
      </c>
      <c r="L9" s="183" t="n">
        <v>-35000</v>
      </c>
      <c r="M9" s="183" t="n">
        <v>3000</v>
      </c>
      <c r="N9" s="138">
        <f>SUM(B9:M9)</f>
        <v/>
      </c>
    </row>
    <row r="10" ht="14.25" customHeight="1" s="137"/>
    <row r="11" ht="32" customHeight="1" s="137">
      <c r="A11" s="191" t="inlineStr">
        <is>
          <t>2025: funded $59,000.00 / returned $8,000.00 / net $-51,000.00 off the EPGC operating account. Not income, not an expense. Not tax advice.</t>
        </is>
      </c>
    </row>
    <row r="12" ht="14.25" customHeight="1" s="137"/>
    <row r="13" ht="14.25" customHeight="1" s="137"/>
    <row r="14" ht="14.25" customHeight="1" s="137"/>
    <row r="15" ht="14.25" customHeight="1" s="137"/>
    <row r="16" ht="14.25" customHeight="1" s="137"/>
    <row r="17" ht="14.25" customHeight="1" s="137"/>
    <row r="18" ht="14.25" customHeight="1" s="137"/>
    <row r="19" ht="14.25" customHeight="1" s="137"/>
    <row r="20" ht="14.25" customHeight="1" s="137"/>
    <row r="21" ht="14.25" customHeight="1" s="137"/>
    <row r="22" ht="14.25" customHeight="1" s="137"/>
    <row r="23" ht="14.25" customHeight="1" s="137"/>
    <row r="24" ht="14.25" customHeight="1" s="137"/>
    <row r="25" ht="14.25" customHeight="1" s="137"/>
    <row r="26" ht="14.25" customHeight="1" s="137"/>
    <row r="27" ht="14.25" customHeight="1" s="137"/>
    <row r="28" ht="14.25" customHeight="1" s="137"/>
    <row r="29" ht="14.25" customHeight="1" s="137"/>
    <row r="30" ht="14.25" customHeight="1" s="137"/>
    <row r="31" ht="14.25" customHeight="1" s="137"/>
    <row r="32" ht="14.25" customHeight="1" s="137"/>
    <row r="33" ht="14.25" customHeight="1" s="137"/>
    <row r="34" ht="14.25" customHeight="1" s="137"/>
    <row r="35" ht="14.25" customHeight="1" s="137"/>
    <row r="36" ht="14.25" customHeight="1" s="137"/>
    <row r="37" ht="14.25" customHeight="1" s="137"/>
    <row r="38" ht="14.25" customHeight="1" s="137"/>
    <row r="39" ht="14.25" customHeight="1" s="137"/>
    <row r="40" ht="14.25" customHeight="1" s="137"/>
    <row r="41" ht="14.25" customHeight="1" s="137"/>
    <row r="42" ht="14.25" customHeight="1" s="137"/>
    <row r="43" ht="14.25" customHeight="1" s="137"/>
    <row r="44" ht="14.25" customHeight="1" s="137"/>
    <row r="45" ht="14.25" customHeight="1" s="137"/>
    <row r="46" ht="14.25" customHeight="1" s="137"/>
    <row r="47" ht="14.25" customHeight="1" s="137"/>
    <row r="48" ht="14.25" customHeight="1" s="137"/>
    <row r="49" ht="14.25" customHeight="1" s="137"/>
    <row r="50" ht="14.25" customHeight="1" s="137"/>
    <row r="51" ht="14.25" customHeight="1" s="137"/>
    <row r="52" ht="14.25" customHeight="1" s="137"/>
    <row r="53" ht="14.25" customHeight="1" s="137"/>
    <row r="54" ht="14.25" customHeight="1" s="137"/>
    <row r="55" ht="14.25" customHeight="1" s="137"/>
    <row r="56" ht="14.25" customHeight="1" s="137"/>
    <row r="57" ht="14.25" customHeight="1" s="137"/>
    <row r="58" ht="14.25" customHeight="1" s="137"/>
    <row r="59" ht="14.25" customHeight="1" s="137"/>
    <row r="60" ht="14.25" customHeight="1" s="137"/>
    <row r="61" ht="14.25" customHeight="1" s="137"/>
    <row r="62" ht="14.25" customHeight="1" s="137"/>
    <row r="63" ht="14.25" customHeight="1" s="137"/>
    <row r="64" ht="14.25" customHeight="1" s="137"/>
    <row r="65" ht="14.25" customHeight="1" s="137"/>
    <row r="66" ht="14.25" customHeight="1" s="137"/>
    <row r="67" ht="14.25" customHeight="1" s="137"/>
    <row r="68" ht="14.25" customHeight="1" s="137"/>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1">
    <mergeCell ref="A11:N11"/>
  </mergeCells>
  <pageMargins left="0.7" right="0.7" top="0.75" bottom="0.75" header="0" footer="0"/>
  <pageSetup orientation="landscape"/>
</worksheet>
</file>

<file path=xl/worksheets/sheet11.xml><?xml version="1.0" encoding="utf-8"?>
<worksheet xmlns="http://schemas.openxmlformats.org/spreadsheetml/2006/main">
  <sheetPr>
    <tabColor rgb="FFFFFF00"/>
    <outlinePr summaryBelow="1" summaryRight="1"/>
    <pageSetUpPr/>
  </sheetPr>
  <dimension ref="A1:AB68"/>
  <sheetViews>
    <sheetView workbookViewId="0">
      <selection activeCell="A1" sqref="A1"/>
    </sheetView>
  </sheetViews>
  <sheetFormatPr baseColWidth="8" defaultColWidth="14.43" defaultRowHeight="15" customHeight="1"/>
  <cols>
    <col width="4.57" customWidth="1" style="137" min="1" max="1"/>
    <col width="90.43000000000001" customWidth="1" style="137" min="2" max="2"/>
    <col width="12.57" customWidth="1" style="137" min="3" max="3"/>
    <col width="10" customWidth="1" style="137" min="4" max="14"/>
    <col width="13" customWidth="1" style="137" min="5" max="5"/>
    <col width="13" customWidth="1" style="137" min="6" max="6"/>
    <col width="13" customWidth="1" style="137" min="7" max="7"/>
    <col width="13" customWidth="1" style="137" min="8" max="8"/>
    <col width="13" customWidth="1" style="137" min="9" max="9"/>
    <col width="13" customWidth="1" style="137" min="10" max="10"/>
    <col width="13" customWidth="1" style="137" min="11" max="11"/>
    <col width="13" customWidth="1" style="137" min="12" max="12"/>
    <col width="13" customWidth="1" style="137" min="13" max="13"/>
    <col width="13" customWidth="1" style="137" min="14" max="14"/>
    <col width="16.57" customWidth="1" style="137" min="15" max="15"/>
    <col width="12.57" customWidth="1" style="137" min="16" max="26"/>
    <col width="10" customWidth="1" style="137" min="17" max="17"/>
    <col width="13" customWidth="1" style="137" min="18" max="18"/>
    <col width="13" customWidth="1" style="137" min="19" max="19"/>
    <col width="13" customWidth="1" style="137" min="20" max="20"/>
    <col width="13" customWidth="1" style="137" min="21" max="21"/>
    <col width="13" customWidth="1" style="137" min="22" max="22"/>
    <col width="13" customWidth="1" style="137" min="23" max="23"/>
    <col width="13" customWidth="1" style="137" min="24" max="24"/>
    <col width="13" customWidth="1" style="137" min="25" max="25"/>
    <col width="13" customWidth="1" style="137" min="26" max="26"/>
    <col width="13" customWidth="1" style="137" min="27" max="27"/>
    <col width="16.57" customWidth="1" style="137" min="28" max="28"/>
  </cols>
  <sheetData>
    <row r="1" ht="14.25" customHeight="1" s="137">
      <c r="A1" s="16" t="n"/>
      <c r="B1" s="17" t="inlineStr">
        <is>
          <t>PROPERTY ADDRESS</t>
        </is>
      </c>
      <c r="C1" s="18" t="inlineStr">
        <is>
          <t>524 Ferdinand Avenue, Unit 1</t>
        </is>
      </c>
      <c r="D1" s="141" t="n"/>
      <c r="E1" s="141" t="n"/>
      <c r="F1" s="141" t="n"/>
      <c r="G1" s="141" t="n"/>
      <c r="H1" s="141" t="n"/>
      <c r="I1" s="141" t="n"/>
      <c r="J1" s="141" t="n"/>
      <c r="K1" s="141" t="n"/>
      <c r="L1" s="141" t="n"/>
      <c r="M1" s="141" t="n"/>
      <c r="N1" s="141" t="n"/>
      <c r="O1" s="141" t="n"/>
      <c r="P1" s="18" t="inlineStr">
        <is>
          <t>524 Ferdinand Avenue, Unit 1</t>
        </is>
      </c>
      <c r="Q1" s="141" t="n"/>
      <c r="R1" s="141" t="n"/>
      <c r="S1" s="141" t="n"/>
      <c r="T1" s="141" t="n"/>
      <c r="U1" s="141" t="n"/>
      <c r="V1" s="141" t="n"/>
      <c r="W1" s="141" t="n"/>
      <c r="X1" s="141" t="n"/>
      <c r="Y1" s="141" t="n"/>
      <c r="Z1" s="141" t="n"/>
      <c r="AA1" s="141" t="n"/>
      <c r="AB1" s="141" t="n"/>
    </row>
    <row r="2" ht="14.25" customHeight="1" s="137">
      <c r="A2" s="20" t="n"/>
      <c r="B2" s="21" t="inlineStr">
        <is>
          <t>INCOME</t>
        </is>
      </c>
      <c r="C2" s="22" t="inlineStr">
        <is>
          <t>JAN</t>
        </is>
      </c>
      <c r="D2" s="22" t="inlineStr">
        <is>
          <t>FEB</t>
        </is>
      </c>
      <c r="E2" s="22" t="inlineStr">
        <is>
          <t>MAR</t>
        </is>
      </c>
      <c r="F2" s="23" t="inlineStr">
        <is>
          <t>APR</t>
        </is>
      </c>
      <c r="G2" s="24" t="inlineStr">
        <is>
          <t>MAY</t>
        </is>
      </c>
      <c r="H2" s="24" t="inlineStr">
        <is>
          <t>JUN</t>
        </is>
      </c>
      <c r="I2" s="25" t="inlineStr">
        <is>
          <t>JUL</t>
        </is>
      </c>
      <c r="J2" s="26" t="inlineStr">
        <is>
          <t>AUG</t>
        </is>
      </c>
      <c r="K2" s="26" t="inlineStr">
        <is>
          <t>SEPT</t>
        </is>
      </c>
      <c r="L2" s="27" t="inlineStr">
        <is>
          <t>OCT</t>
        </is>
      </c>
      <c r="M2" s="28" t="inlineStr">
        <is>
          <t>NOV</t>
        </is>
      </c>
      <c r="N2" s="29" t="inlineStr">
        <is>
          <t>DEC</t>
        </is>
      </c>
      <c r="O2" s="30" t="inlineStr">
        <is>
          <t>2023 YR TOTAL</t>
        </is>
      </c>
      <c r="P2" s="22" t="inlineStr">
        <is>
          <t>JAN</t>
        </is>
      </c>
      <c r="Q2" s="22" t="inlineStr">
        <is>
          <t>FEB</t>
        </is>
      </c>
      <c r="R2" s="22" t="inlineStr">
        <is>
          <t>MAR</t>
        </is>
      </c>
      <c r="S2" s="23" t="inlineStr">
        <is>
          <t>APR</t>
        </is>
      </c>
      <c r="T2" s="24" t="inlineStr">
        <is>
          <t>MAY</t>
        </is>
      </c>
      <c r="U2" s="24" t="inlineStr">
        <is>
          <t>JUN</t>
        </is>
      </c>
      <c r="V2" s="25" t="inlineStr">
        <is>
          <t>JUL</t>
        </is>
      </c>
      <c r="W2" s="26" t="inlineStr">
        <is>
          <t>AUG</t>
        </is>
      </c>
      <c r="X2" s="26" t="inlineStr">
        <is>
          <t>SEPT</t>
        </is>
      </c>
      <c r="Y2" s="27" t="inlineStr">
        <is>
          <t>OCT</t>
        </is>
      </c>
      <c r="Z2" s="28" t="inlineStr">
        <is>
          <t>NOV</t>
        </is>
      </c>
      <c r="AA2" s="29" t="inlineStr">
        <is>
          <t>DEC</t>
        </is>
      </c>
      <c r="AB2" s="30" t="inlineStr">
        <is>
          <t>2025 YR TOTAL</t>
        </is>
      </c>
    </row>
    <row r="3" ht="14.25" customHeight="1" s="137">
      <c r="B3" s="128" t="inlineStr">
        <is>
          <t>MULTI-PROPERTY INCOME OVERVIEW</t>
        </is>
      </c>
      <c r="C3" s="32" t="n"/>
      <c r="D3" s="32" t="n"/>
      <c r="E3" s="32" t="n"/>
      <c r="F3" s="33" t="n"/>
      <c r="G3" s="32" t="n"/>
      <c r="H3" s="32" t="n"/>
      <c r="I3" s="33" t="n"/>
      <c r="J3" s="32" t="n"/>
      <c r="K3" s="32" t="n"/>
      <c r="L3" s="33" t="n"/>
      <c r="M3" s="32" t="n"/>
      <c r="N3" s="34" t="n"/>
      <c r="O3" s="35" t="n"/>
      <c r="P3" s="32" t="n"/>
      <c r="Q3" s="32" t="n"/>
      <c r="R3" s="32" t="n"/>
      <c r="S3" s="33" t="n"/>
      <c r="T3" s="32" t="n"/>
      <c r="U3" s="32" t="n"/>
      <c r="V3" s="33" t="n"/>
      <c r="W3" s="32" t="n"/>
      <c r="X3" s="32" t="n"/>
      <c r="Y3" s="33" t="n"/>
      <c r="Z3" s="32" t="n"/>
      <c r="AA3" s="34" t="n"/>
      <c r="AB3" s="35" t="n"/>
    </row>
    <row r="4" ht="14.25" customHeight="1" s="137">
      <c r="B4" s="57" t="inlineStr">
        <is>
          <t>MULTI-PROPERTY INCOME OVERVIEW</t>
        </is>
      </c>
      <c r="C4" s="64" t="n">
        <v>0</v>
      </c>
      <c r="D4" s="64" t="n">
        <v>0</v>
      </c>
      <c r="E4" s="64" t="n">
        <v>0</v>
      </c>
      <c r="F4" s="65" t="n">
        <v>0</v>
      </c>
      <c r="G4" s="66" t="n">
        <v>0</v>
      </c>
      <c r="H4" s="66" t="n">
        <v>0</v>
      </c>
      <c r="I4" s="67" t="n">
        <v>0</v>
      </c>
      <c r="J4" s="68" t="n">
        <v>0</v>
      </c>
      <c r="K4" s="68" t="n">
        <v>0</v>
      </c>
      <c r="L4" s="69" t="n">
        <v>0</v>
      </c>
      <c r="M4" s="59" t="n">
        <v>0</v>
      </c>
      <c r="N4" s="63" t="n">
        <v>0</v>
      </c>
      <c r="O4" s="61">
        <f>SUM(C4:N4)</f>
        <v/>
      </c>
      <c r="P4" s="64" t="n">
        <v>0</v>
      </c>
      <c r="Q4" s="64" t="n">
        <v>0</v>
      </c>
      <c r="R4" s="64" t="n">
        <v>0</v>
      </c>
      <c r="S4" s="65" t="n">
        <v>0</v>
      </c>
      <c r="T4" s="66" t="n">
        <v>0</v>
      </c>
      <c r="U4" s="66" t="n">
        <v>0</v>
      </c>
      <c r="V4" s="67" t="n">
        <v>0</v>
      </c>
      <c r="W4" s="68" t="n">
        <v>0</v>
      </c>
      <c r="X4" s="68" t="n">
        <v>0</v>
      </c>
      <c r="Y4" s="69" t="n">
        <v>0</v>
      </c>
      <c r="Z4" s="59" t="n">
        <v>0</v>
      </c>
      <c r="AA4" s="63" t="n">
        <v>0</v>
      </c>
      <c r="AB4" s="61">
        <f>SUM(P4:AA4)</f>
        <v/>
      </c>
    </row>
    <row r="5" ht="14.25" customHeight="1" s="137">
      <c r="B5" s="57" t="inlineStr">
        <is>
          <t>RENTAL INCOME</t>
        </is>
      </c>
      <c r="C5" s="64" t="n"/>
      <c r="D5" s="64" t="n"/>
      <c r="E5" s="64" t="n"/>
      <c r="F5" s="46" t="n"/>
      <c r="G5" s="46" t="n"/>
      <c r="H5" s="46" t="n"/>
      <c r="I5" s="68" t="n"/>
      <c r="J5" s="68" t="n"/>
      <c r="K5" s="68" t="n"/>
      <c r="L5" s="59" t="n"/>
      <c r="M5" s="59" t="n"/>
      <c r="N5" s="59" t="n"/>
      <c r="O5" s="61">
        <f>SUM(C5:N5)</f>
        <v/>
      </c>
      <c r="P5" s="64" t="n"/>
      <c r="Q5" s="64" t="n"/>
      <c r="R5" s="64" t="n"/>
      <c r="S5" s="46" t="n"/>
      <c r="T5" s="46" t="n"/>
      <c r="U5" s="46" t="n"/>
      <c r="V5" s="68" t="n"/>
      <c r="W5" s="68" t="n"/>
      <c r="X5" s="68" t="n"/>
      <c r="Y5" s="59" t="n"/>
      <c r="Z5" s="59" t="n"/>
      <c r="AA5" s="59" t="n"/>
      <c r="AB5" s="61">
        <f>SUM(P5:AA5)</f>
        <v/>
      </c>
    </row>
    <row r="6" ht="14.25" customHeight="1" s="137">
      <c r="B6" s="47" t="inlineStr">
        <is>
          <t>GROSS RENTAL INCOME</t>
        </is>
      </c>
      <c r="C6" s="48">
        <f>SUM(C4:C5)</f>
        <v/>
      </c>
      <c r="D6" s="48">
        <f>SUM(D4:D5)</f>
        <v/>
      </c>
      <c r="E6" s="48">
        <f>SUM(E4:E5)</f>
        <v/>
      </c>
      <c r="F6" s="49">
        <f>SUM(F4:F5)</f>
        <v/>
      </c>
      <c r="G6" s="50">
        <f>SUM(G4:G5)</f>
        <v/>
      </c>
      <c r="H6" s="50">
        <f>SUM(H4:H5)</f>
        <v/>
      </c>
      <c r="I6" s="51">
        <f>SUM(I4:I5)</f>
        <v/>
      </c>
      <c r="J6" s="52">
        <f>SUM(J4:J5)</f>
        <v/>
      </c>
      <c r="K6" s="52">
        <f>SUM(K4:K5)</f>
        <v/>
      </c>
      <c r="L6" s="53">
        <f>SUM(L4:L5)</f>
        <v/>
      </c>
      <c r="M6" s="54">
        <f>SUM(M4:M5)</f>
        <v/>
      </c>
      <c r="N6" s="55">
        <f>SUM(N4:N5)</f>
        <v/>
      </c>
      <c r="O6" s="56">
        <f>SUM(C6:N6)</f>
        <v/>
      </c>
      <c r="P6" s="48">
        <f>SUM(P4:P5)</f>
        <v/>
      </c>
      <c r="Q6" s="48">
        <f>SUM(Q4:Q5)</f>
        <v/>
      </c>
      <c r="R6" s="48">
        <f>SUM(R4:R5)</f>
        <v/>
      </c>
      <c r="S6" s="49">
        <f>SUM(S4:S5)</f>
        <v/>
      </c>
      <c r="T6" s="50">
        <f>SUM(T4:T5)</f>
        <v/>
      </c>
      <c r="U6" s="50">
        <f>SUM(U4:U5)</f>
        <v/>
      </c>
      <c r="V6" s="51">
        <f>SUM(V4:V5)</f>
        <v/>
      </c>
      <c r="W6" s="52">
        <f>SUM(W4:W5)</f>
        <v/>
      </c>
      <c r="X6" s="52">
        <f>SUM(X4:X5)</f>
        <v/>
      </c>
      <c r="Y6" s="53">
        <f>SUM(Y4:Y5)</f>
        <v/>
      </c>
      <c r="Z6" s="54">
        <f>SUM(Z4:Z5)</f>
        <v/>
      </c>
      <c r="AA6" s="55">
        <f>SUM(AA4:AA5)</f>
        <v/>
      </c>
      <c r="AB6" s="56">
        <f>SUM(P6:AA6)</f>
        <v/>
      </c>
    </row>
    <row r="7" ht="14.25" customHeight="1" s="137"/>
    <row r="8" ht="14.25" customHeight="1" s="137">
      <c r="A8" s="20" t="n"/>
      <c r="B8" s="21" t="inlineStr">
        <is>
          <t>EXPENSES</t>
        </is>
      </c>
      <c r="C8" s="22" t="inlineStr">
        <is>
          <t>JAN</t>
        </is>
      </c>
      <c r="D8" s="22" t="inlineStr">
        <is>
          <t>FEB</t>
        </is>
      </c>
      <c r="E8" s="22" t="inlineStr">
        <is>
          <t>MAR</t>
        </is>
      </c>
      <c r="F8" s="23" t="inlineStr">
        <is>
          <t>APR</t>
        </is>
      </c>
      <c r="G8" s="24" t="inlineStr">
        <is>
          <t>MAY</t>
        </is>
      </c>
      <c r="H8" s="24" t="inlineStr">
        <is>
          <t>JUN</t>
        </is>
      </c>
      <c r="I8" s="25" t="inlineStr">
        <is>
          <t>JUL</t>
        </is>
      </c>
      <c r="J8" s="26" t="inlineStr">
        <is>
          <t>AUG</t>
        </is>
      </c>
      <c r="K8" s="26" t="inlineStr">
        <is>
          <t>SEPT</t>
        </is>
      </c>
      <c r="L8" s="27" t="inlineStr">
        <is>
          <t>OCT</t>
        </is>
      </c>
      <c r="M8" s="28" t="inlineStr">
        <is>
          <t>NOV</t>
        </is>
      </c>
      <c r="N8" s="29" t="inlineStr">
        <is>
          <t>DEC</t>
        </is>
      </c>
      <c r="O8" s="30" t="inlineStr">
        <is>
          <t>YR TOTAL</t>
        </is>
      </c>
      <c r="P8" s="22" t="inlineStr">
        <is>
          <t>JAN</t>
        </is>
      </c>
      <c r="Q8" s="22" t="inlineStr">
        <is>
          <t>FEB</t>
        </is>
      </c>
      <c r="R8" s="22" t="inlineStr">
        <is>
          <t>MAR</t>
        </is>
      </c>
      <c r="S8" s="23" t="inlineStr">
        <is>
          <t>APR</t>
        </is>
      </c>
      <c r="T8" s="24" t="inlineStr">
        <is>
          <t>MAY</t>
        </is>
      </c>
      <c r="U8" s="24" t="inlineStr">
        <is>
          <t>JUN</t>
        </is>
      </c>
      <c r="V8" s="25" t="inlineStr">
        <is>
          <t>JUL</t>
        </is>
      </c>
      <c r="W8" s="26" t="inlineStr">
        <is>
          <t>AUG</t>
        </is>
      </c>
      <c r="X8" s="26" t="inlineStr">
        <is>
          <t>SEPT</t>
        </is>
      </c>
      <c r="Y8" s="27" t="inlineStr">
        <is>
          <t>OCT</t>
        </is>
      </c>
      <c r="Z8" s="28" t="inlineStr">
        <is>
          <t>NOV</t>
        </is>
      </c>
      <c r="AA8" s="29" t="inlineStr">
        <is>
          <t>DEC</t>
        </is>
      </c>
      <c r="AB8" s="30" t="inlineStr">
        <is>
          <t>YR TOTAL</t>
        </is>
      </c>
    </row>
    <row r="9" ht="14.25" customHeight="1" s="137">
      <c r="B9" s="128" t="inlineStr">
        <is>
          <t> </t>
        </is>
      </c>
      <c r="C9" s="32" t="n"/>
      <c r="D9" s="32" t="n"/>
      <c r="E9" s="32" t="n"/>
      <c r="F9" s="33" t="n"/>
      <c r="G9" s="32" t="n"/>
      <c r="H9" s="32" t="n"/>
      <c r="I9" s="33" t="n"/>
      <c r="J9" s="32" t="n"/>
      <c r="K9" s="32" t="n"/>
      <c r="L9" s="33" t="n"/>
      <c r="M9" s="32" t="n"/>
      <c r="N9" s="34" t="n"/>
      <c r="O9" s="35" t="n"/>
      <c r="P9" s="32" t="n"/>
      <c r="Q9" s="32" t="n"/>
      <c r="R9" s="32" t="n"/>
      <c r="S9" s="33" t="n"/>
      <c r="T9" s="32" t="n"/>
      <c r="U9" s="32" t="n"/>
      <c r="V9" s="33" t="n"/>
      <c r="W9" s="32" t="n"/>
      <c r="X9" s="32" t="n"/>
      <c r="Y9" s="33" t="n"/>
      <c r="Z9" s="32" t="n"/>
      <c r="AA9" s="34" t="n"/>
      <c r="AB9" s="35" t="n"/>
    </row>
    <row r="10" ht="14.25" customHeight="1" s="137">
      <c r="B10" s="57" t="inlineStr">
        <is>
          <t>MULTI-PROPERTY EXPENSES OVERVIEW</t>
        </is>
      </c>
      <c r="C10" s="64" t="n">
        <v>0</v>
      </c>
      <c r="D10" s="64" t="n">
        <v>0</v>
      </c>
      <c r="E10" s="64" t="n">
        <v>0</v>
      </c>
      <c r="F10" s="65" t="n">
        <v>0</v>
      </c>
      <c r="G10" s="66" t="n">
        <v>0</v>
      </c>
      <c r="H10" s="66" t="n">
        <v>0</v>
      </c>
      <c r="I10" s="67" t="n">
        <v>0</v>
      </c>
      <c r="J10" s="68" t="n">
        <v>0</v>
      </c>
      <c r="K10" s="68" t="n">
        <v>0</v>
      </c>
      <c r="L10" s="69" t="n">
        <v>0</v>
      </c>
      <c r="M10" s="59" t="n">
        <v>0</v>
      </c>
      <c r="N10" s="63" t="n">
        <v>0</v>
      </c>
      <c r="O10" s="61">
        <f>SUM(C10:N10)</f>
        <v/>
      </c>
      <c r="P10" s="64" t="n">
        <v>0</v>
      </c>
      <c r="Q10" s="64" t="n">
        <v>0</v>
      </c>
      <c r="R10" s="64" t="n">
        <v>0</v>
      </c>
      <c r="S10" s="65" t="n">
        <v>0</v>
      </c>
      <c r="T10" s="66" t="n">
        <v>0</v>
      </c>
      <c r="U10" s="66" t="n">
        <v>0</v>
      </c>
      <c r="V10" s="67" t="n">
        <v>0</v>
      </c>
      <c r="W10" s="68" t="n">
        <v>0</v>
      </c>
      <c r="X10" s="68" t="n">
        <v>0</v>
      </c>
      <c r="Y10" s="69" t="n">
        <v>0</v>
      </c>
      <c r="Z10" s="59" t="n">
        <v>0</v>
      </c>
      <c r="AA10" s="63" t="n">
        <v>0</v>
      </c>
      <c r="AB10" s="61">
        <f>SUM(P10:AA10)</f>
        <v/>
      </c>
    </row>
    <row r="11" ht="14.25" customHeight="1" s="137">
      <c r="B11" s="57" t="inlineStr">
        <is>
          <t>MARKETING / ADVERTISING</t>
        </is>
      </c>
      <c r="C11" s="64" t="n">
        <v>0</v>
      </c>
      <c r="D11" s="64" t="n">
        <v>0</v>
      </c>
      <c r="E11" s="64" t="n">
        <v>0</v>
      </c>
      <c r="F11" s="65" t="n">
        <v>0</v>
      </c>
      <c r="G11" s="66" t="n">
        <v>0</v>
      </c>
      <c r="H11" s="66" t="n">
        <v>0</v>
      </c>
      <c r="I11" s="67" t="n">
        <v>0</v>
      </c>
      <c r="J11" s="68" t="n">
        <v>0</v>
      </c>
      <c r="K11" s="68" t="n">
        <v>0</v>
      </c>
      <c r="L11" s="69" t="n">
        <v>0</v>
      </c>
      <c r="M11" s="59" t="n">
        <v>0</v>
      </c>
      <c r="N11" s="63" t="n">
        <v>0</v>
      </c>
      <c r="O11" s="61">
        <f>SUM(C11:N11)</f>
        <v/>
      </c>
      <c r="P11" s="64" t="n">
        <v>0</v>
      </c>
      <c r="Q11" s="64" t="n">
        <v>0</v>
      </c>
      <c r="R11" s="64" t="n">
        <v>0</v>
      </c>
      <c r="S11" s="65" t="n">
        <v>0</v>
      </c>
      <c r="T11" s="66" t="n">
        <v>0</v>
      </c>
      <c r="U11" s="66" t="n">
        <v>0</v>
      </c>
      <c r="V11" s="67" t="n">
        <v>0</v>
      </c>
      <c r="W11" s="68" t="n">
        <v>0</v>
      </c>
      <c r="X11" s="68" t="n">
        <v>0</v>
      </c>
      <c r="Y11" s="69" t="n">
        <v>0</v>
      </c>
      <c r="Z11" s="59" t="n">
        <v>0</v>
      </c>
      <c r="AA11" s="63" t="n">
        <v>0</v>
      </c>
      <c r="AB11" s="61">
        <f>SUM(P11:AA11)</f>
        <v/>
      </c>
    </row>
    <row r="12" ht="14.25" customHeight="1" s="137">
      <c r="B12" s="57" t="inlineStr">
        <is>
          <t>SERVICE FEES</t>
        </is>
      </c>
      <c r="C12" s="64" t="n">
        <v>0</v>
      </c>
      <c r="D12" s="64" t="n">
        <v>0</v>
      </c>
      <c r="E12" s="64" t="n">
        <v>0</v>
      </c>
      <c r="F12" s="65" t="n">
        <v>0</v>
      </c>
      <c r="G12" s="66" t="n">
        <v>0</v>
      </c>
      <c r="H12" s="66" t="n">
        <v>0</v>
      </c>
      <c r="I12" s="67" t="n">
        <v>0</v>
      </c>
      <c r="J12" s="68" t="n">
        <v>0</v>
      </c>
      <c r="K12" s="68" t="n">
        <v>0</v>
      </c>
      <c r="L12" s="69" t="n">
        <v>0</v>
      </c>
      <c r="M12" s="59" t="n">
        <v>0</v>
      </c>
      <c r="N12" s="63" t="n">
        <v>0</v>
      </c>
      <c r="O12" s="61">
        <f>SUM(C12:N12)</f>
        <v/>
      </c>
      <c r="P12" s="64" t="n">
        <v>0</v>
      </c>
      <c r="Q12" s="64" t="n">
        <v>0</v>
      </c>
      <c r="R12" s="64" t="n">
        <v>0</v>
      </c>
      <c r="S12" s="65" t="n">
        <v>0</v>
      </c>
      <c r="T12" s="66" t="n">
        <v>0</v>
      </c>
      <c r="U12" s="66" t="n">
        <v>0</v>
      </c>
      <c r="V12" s="67" t="n">
        <v>0</v>
      </c>
      <c r="W12" s="68" t="n">
        <v>0</v>
      </c>
      <c r="X12" s="68" t="n">
        <v>0</v>
      </c>
      <c r="Y12" s="69" t="n">
        <v>0</v>
      </c>
      <c r="Z12" s="59" t="n">
        <v>0</v>
      </c>
      <c r="AA12" s="63" t="n">
        <v>0</v>
      </c>
      <c r="AB12" s="61">
        <f>SUM(P12:AA12)</f>
        <v/>
      </c>
    </row>
    <row r="13" ht="14.25" customHeight="1" s="137">
      <c r="B13" s="57" t="inlineStr">
        <is>
          <t>REMITTED TAX</t>
        </is>
      </c>
      <c r="C13" s="64" t="n">
        <v>0</v>
      </c>
      <c r="D13" s="64" t="n">
        <v>0</v>
      </c>
      <c r="E13" s="64" t="n">
        <v>0</v>
      </c>
      <c r="F13" s="65" t="n">
        <v>0</v>
      </c>
      <c r="G13" s="66" t="n">
        <v>0</v>
      </c>
      <c r="H13" s="66" t="n">
        <v>0</v>
      </c>
      <c r="I13" s="67" t="n">
        <v>0</v>
      </c>
      <c r="J13" s="68" t="n">
        <v>0</v>
      </c>
      <c r="K13" s="68" t="n">
        <v>0</v>
      </c>
      <c r="L13" s="69" t="n">
        <v>0</v>
      </c>
      <c r="M13" s="59" t="n">
        <v>0</v>
      </c>
      <c r="N13" s="63" t="n">
        <v>0</v>
      </c>
      <c r="O13" s="61">
        <f>SUM(C13:N13)</f>
        <v/>
      </c>
      <c r="P13" s="64" t="n">
        <v>0</v>
      </c>
      <c r="Q13" s="64" t="n">
        <v>0</v>
      </c>
      <c r="R13" s="64" t="n">
        <v>0</v>
      </c>
      <c r="S13" s="65" t="n">
        <v>0</v>
      </c>
      <c r="T13" s="66" t="n">
        <v>0</v>
      </c>
      <c r="U13" s="66" t="n">
        <v>0</v>
      </c>
      <c r="V13" s="67" t="n">
        <v>0</v>
      </c>
      <c r="W13" s="68" t="n">
        <v>0</v>
      </c>
      <c r="X13" s="68" t="n">
        <v>0</v>
      </c>
      <c r="Y13" s="69" t="n">
        <v>0</v>
      </c>
      <c r="Z13" s="59" t="n">
        <v>0</v>
      </c>
      <c r="AA13" s="63" t="n">
        <v>0</v>
      </c>
      <c r="AB13" s="61">
        <f>SUM(P13:AA13)</f>
        <v/>
      </c>
    </row>
    <row r="14" ht="14.25" customHeight="1" s="137">
      <c r="B14" s="58" t="inlineStr">
        <is>
          <t>INSURANCE</t>
        </is>
      </c>
      <c r="C14" s="64" t="n"/>
      <c r="D14" s="64" t="n"/>
      <c r="E14" s="64" t="n"/>
      <c r="F14" s="66" t="n"/>
      <c r="G14" s="66" t="n"/>
      <c r="H14" s="66" t="n"/>
      <c r="I14" s="68" t="n"/>
      <c r="J14" s="68" t="n"/>
      <c r="K14" s="68" t="n"/>
      <c r="L14" s="59" t="n"/>
      <c r="M14" s="59" t="n"/>
      <c r="N14" s="59" t="n">
        <v>1455.09</v>
      </c>
      <c r="O14" s="61">
        <f>SUM(C14:N14)</f>
        <v/>
      </c>
      <c r="P14" s="64" t="n">
        <v>0</v>
      </c>
      <c r="Q14" s="142" t="n">
        <v>78.76000000000001</v>
      </c>
      <c r="R14" s="142" t="n">
        <v>78.75</v>
      </c>
      <c r="S14" s="142" t="n">
        <v>78.75</v>
      </c>
      <c r="T14" s="142" t="n">
        <v>78.75</v>
      </c>
      <c r="U14" s="142" t="n">
        <v>78.75</v>
      </c>
      <c r="V14" s="142" t="n">
        <v>78.75</v>
      </c>
      <c r="W14" s="142" t="n">
        <v>80.19</v>
      </c>
      <c r="X14" s="68" t="n">
        <v>0</v>
      </c>
      <c r="Y14" s="59" t="n">
        <v>0</v>
      </c>
      <c r="Z14" s="59" t="n">
        <v>0</v>
      </c>
      <c r="AA14" s="59" t="n">
        <v>0</v>
      </c>
      <c r="AB14" s="61">
        <f>SUM(P14:AA14)</f>
        <v/>
      </c>
    </row>
    <row r="15" ht="14.25" customHeight="1" s="137">
      <c r="B15" s="57" t="inlineStr">
        <is>
          <t>INTERIOR MAINTENANCE</t>
        </is>
      </c>
      <c r="C15" s="64" t="n">
        <v>0</v>
      </c>
      <c r="D15" s="64" t="n">
        <v>0</v>
      </c>
      <c r="E15" s="64" t="n">
        <v>0</v>
      </c>
      <c r="F15" s="65" t="n">
        <v>0</v>
      </c>
      <c r="G15" s="66" t="n">
        <v>0</v>
      </c>
      <c r="H15" s="66" t="n">
        <v>0</v>
      </c>
      <c r="I15" s="67" t="n">
        <v>0</v>
      </c>
      <c r="J15" s="68" t="n">
        <v>0</v>
      </c>
      <c r="K15" s="68" t="n">
        <v>0</v>
      </c>
      <c r="L15" s="69" t="n">
        <v>0</v>
      </c>
      <c r="M15" s="59" t="n">
        <v>0</v>
      </c>
      <c r="N15" s="63" t="n">
        <v>0</v>
      </c>
      <c r="O15" s="61">
        <f>SUM(C15:N15)</f>
        <v/>
      </c>
      <c r="P15" s="64" t="n">
        <v>0</v>
      </c>
      <c r="Q15" s="64" t="n">
        <v>0</v>
      </c>
      <c r="R15" s="64" t="n">
        <v>0</v>
      </c>
      <c r="S15" s="65" t="n">
        <v>0</v>
      </c>
      <c r="T15" s="66" t="n">
        <v>0</v>
      </c>
      <c r="U15" s="66" t="n">
        <v>0</v>
      </c>
      <c r="V15" s="67" t="n">
        <v>0</v>
      </c>
      <c r="W15" s="68" t="n">
        <v>0</v>
      </c>
      <c r="X15" s="68" t="n">
        <v>0</v>
      </c>
      <c r="Y15" s="69" t="n">
        <v>0</v>
      </c>
      <c r="Z15" s="59" t="n">
        <v>0</v>
      </c>
      <c r="AA15" s="63" t="n">
        <v>0</v>
      </c>
      <c r="AB15" s="61">
        <f>SUM(P15:AA15)</f>
        <v/>
      </c>
    </row>
    <row r="16" ht="14.25" customHeight="1" s="137">
      <c r="B16" s="57" t="inlineStr">
        <is>
          <t>EXTERIOR REPAIRS</t>
        </is>
      </c>
      <c r="C16" s="64" t="n">
        <v>0</v>
      </c>
      <c r="D16" s="64" t="n">
        <v>0</v>
      </c>
      <c r="E16" s="64" t="n">
        <v>0</v>
      </c>
      <c r="F16" s="65" t="n">
        <v>0</v>
      </c>
      <c r="G16" s="66" t="n">
        <v>0</v>
      </c>
      <c r="H16" s="66" t="n">
        <v>0</v>
      </c>
      <c r="I16" s="67" t="n">
        <v>0</v>
      </c>
      <c r="J16" s="68" t="n">
        <v>851.3200000000001</v>
      </c>
      <c r="K16" s="68" t="n">
        <v>0</v>
      </c>
      <c r="L16" s="69" t="n">
        <v>0</v>
      </c>
      <c r="M16" s="59" t="n">
        <v>0</v>
      </c>
      <c r="N16" s="63" t="n">
        <v>0</v>
      </c>
      <c r="O16" s="61">
        <f>SUM(C16:N16)</f>
        <v/>
      </c>
      <c r="P16" s="64" t="n">
        <v>0</v>
      </c>
      <c r="Q16" s="142" t="n">
        <v>66.56</v>
      </c>
      <c r="R16" s="142" t="n">
        <v>688.6</v>
      </c>
      <c r="S16" s="143" t="n">
        <v>39.57</v>
      </c>
      <c r="T16" s="66" t="n">
        <v>0</v>
      </c>
      <c r="U16" s="66" t="n">
        <v>0</v>
      </c>
      <c r="V16" s="143" t="n">
        <v>50.99</v>
      </c>
      <c r="W16" s="68" t="n">
        <v>0</v>
      </c>
      <c r="X16" s="142" t="n">
        <v>34.86</v>
      </c>
      <c r="Y16" s="143" t="n">
        <v>68.48</v>
      </c>
      <c r="Z16" s="142" t="n">
        <v>32.33</v>
      </c>
      <c r="AA16" s="63" t="n">
        <v>0</v>
      </c>
      <c r="AB16" s="61">
        <f>SUM(P16:AA16)</f>
        <v/>
      </c>
    </row>
    <row r="17" ht="14.25" customHeight="1" s="137">
      <c r="B17" s="57" t="inlineStr">
        <is>
          <t>GROUNDSKEEPING</t>
        </is>
      </c>
      <c r="C17" s="64" t="n">
        <v>0</v>
      </c>
      <c r="D17" s="64" t="n">
        <v>0</v>
      </c>
      <c r="E17" s="64" t="n">
        <v>0</v>
      </c>
      <c r="F17" s="65" t="n">
        <v>0</v>
      </c>
      <c r="G17" s="66" t="n">
        <v>0</v>
      </c>
      <c r="H17" s="66" t="n">
        <v>0</v>
      </c>
      <c r="I17" s="67" t="n">
        <v>0</v>
      </c>
      <c r="J17" s="68" t="n">
        <v>0</v>
      </c>
      <c r="K17" s="68" t="n">
        <v>0</v>
      </c>
      <c r="L17" s="69" t="n">
        <v>0</v>
      </c>
      <c r="M17" s="59" t="n">
        <v>0</v>
      </c>
      <c r="N17" s="63" t="n"/>
      <c r="O17" s="61">
        <f>SUM(C17:N17)</f>
        <v/>
      </c>
      <c r="P17" s="64" t="n">
        <v>0</v>
      </c>
      <c r="Q17" s="64" t="n">
        <v>0</v>
      </c>
      <c r="R17" s="64" t="n">
        <v>0</v>
      </c>
      <c r="S17" s="65" t="n">
        <v>0</v>
      </c>
      <c r="T17" s="66" t="n">
        <v>0</v>
      </c>
      <c r="U17" s="66" t="n">
        <v>0</v>
      </c>
      <c r="V17" s="67" t="n">
        <v>0</v>
      </c>
      <c r="W17" s="68" t="n">
        <v>0</v>
      </c>
      <c r="X17" s="68" t="n">
        <v>0</v>
      </c>
      <c r="Y17" s="69" t="n">
        <v>0</v>
      </c>
      <c r="Z17" s="59" t="n">
        <v>0</v>
      </c>
      <c r="AA17" s="63" t="n"/>
      <c r="AB17" s="61">
        <f>SUM(P17:AA17)</f>
        <v/>
      </c>
    </row>
    <row r="18" ht="14.25" customHeight="1" s="137">
      <c r="B18" s="57" t="inlineStr">
        <is>
          <t> </t>
        </is>
      </c>
      <c r="C18" s="64" t="n">
        <v>0</v>
      </c>
      <c r="D18" s="64" t="n">
        <v>0</v>
      </c>
      <c r="E18" s="64" t="n">
        <v>0</v>
      </c>
      <c r="F18" s="65" t="n">
        <v>0</v>
      </c>
      <c r="G18" s="66" t="n">
        <v>0</v>
      </c>
      <c r="H18" s="66" t="n">
        <v>0</v>
      </c>
      <c r="I18" s="67" t="n">
        <v>0</v>
      </c>
      <c r="J18" s="68" t="n">
        <v>0</v>
      </c>
      <c r="K18" s="68" t="n">
        <v>0</v>
      </c>
      <c r="L18" s="69" t="n">
        <v>0</v>
      </c>
      <c r="M18" s="59" t="n">
        <v>0</v>
      </c>
      <c r="N18" s="63" t="n">
        <v>0</v>
      </c>
      <c r="O18" s="61">
        <f>SUM(C18:N18)</f>
        <v/>
      </c>
      <c r="P18" s="64" t="n">
        <v>0</v>
      </c>
      <c r="Q18" s="64" t="n">
        <v>0</v>
      </c>
      <c r="R18" s="64" t="n">
        <v>0</v>
      </c>
      <c r="S18" s="65" t="n">
        <v>0</v>
      </c>
      <c r="T18" s="66" t="n">
        <v>0</v>
      </c>
      <c r="U18" s="66" t="n">
        <v>0</v>
      </c>
      <c r="V18" s="67" t="n">
        <v>0</v>
      </c>
      <c r="W18" s="68" t="n">
        <v>0</v>
      </c>
      <c r="X18" s="68" t="n">
        <v>0</v>
      </c>
      <c r="Y18" s="69" t="n">
        <v>0</v>
      </c>
      <c r="Z18" s="59" t="n">
        <v>0</v>
      </c>
      <c r="AA18" s="63" t="n">
        <v>0</v>
      </c>
      <c r="AB18" s="61">
        <f>SUM(P18:AA18)</f>
        <v/>
      </c>
    </row>
    <row r="19" ht="14.25" customHeight="1" s="137">
      <c r="B19" s="57" t="inlineStr">
        <is>
          <t> </t>
        </is>
      </c>
      <c r="C19" s="64" t="n">
        <v>0</v>
      </c>
      <c r="D19" s="64" t="n">
        <v>0</v>
      </c>
      <c r="E19" s="64" t="n">
        <v>0</v>
      </c>
      <c r="F19" s="65" t="n">
        <v>0</v>
      </c>
      <c r="G19" s="66" t="n">
        <v>0</v>
      </c>
      <c r="H19" s="66" t="n">
        <v>0</v>
      </c>
      <c r="I19" s="67" t="n">
        <v>0</v>
      </c>
      <c r="J19" s="68" t="n">
        <v>0</v>
      </c>
      <c r="K19" s="68" t="n">
        <v>0</v>
      </c>
      <c r="L19" s="69" t="n">
        <v>0</v>
      </c>
      <c r="M19" s="59" t="n">
        <v>0</v>
      </c>
      <c r="N19" s="63" t="n">
        <v>0</v>
      </c>
      <c r="O19" s="61">
        <f>SUM(C19:N19)</f>
        <v/>
      </c>
      <c r="P19" s="64" t="n">
        <v>0</v>
      </c>
      <c r="Q19" s="64" t="n">
        <v>0</v>
      </c>
      <c r="R19" s="64" t="n">
        <v>0</v>
      </c>
      <c r="S19" s="65" t="n">
        <v>0</v>
      </c>
      <c r="T19" s="66" t="n">
        <v>0</v>
      </c>
      <c r="U19" s="66" t="n">
        <v>0</v>
      </c>
      <c r="V19" s="67" t="n">
        <v>0</v>
      </c>
      <c r="W19" s="68" t="n">
        <v>0</v>
      </c>
      <c r="X19" s="68" t="n">
        <v>0</v>
      </c>
      <c r="Y19" s="69" t="n">
        <v>0</v>
      </c>
      <c r="Z19" s="59" t="n">
        <v>0</v>
      </c>
      <c r="AA19" s="63" t="n">
        <v>0</v>
      </c>
      <c r="AB19" s="61">
        <f>SUM(P19:AA19)</f>
        <v/>
      </c>
    </row>
    <row r="20" ht="14.25" customHeight="1" s="137">
      <c r="B20" s="57" t="inlineStr">
        <is>
          <t> </t>
        </is>
      </c>
      <c r="C20" s="64" t="n">
        <v>0</v>
      </c>
      <c r="D20" s="64" t="n">
        <v>0</v>
      </c>
      <c r="E20" s="64" t="n">
        <v>0</v>
      </c>
      <c r="F20" s="65" t="n">
        <v>0</v>
      </c>
      <c r="G20" s="66" t="n">
        <v>0</v>
      </c>
      <c r="H20" s="66" t="n">
        <v>0</v>
      </c>
      <c r="I20" s="67" t="n">
        <v>0</v>
      </c>
      <c r="J20" s="68" t="n">
        <v>0</v>
      </c>
      <c r="K20" s="68" t="n">
        <v>0</v>
      </c>
      <c r="L20" s="69" t="n">
        <v>0</v>
      </c>
      <c r="M20" s="59" t="n">
        <v>0</v>
      </c>
      <c r="N20" s="63" t="n">
        <v>0</v>
      </c>
      <c r="O20" s="61">
        <f>SUM(C20:N20)</f>
        <v/>
      </c>
      <c r="P20" s="64" t="n">
        <v>0</v>
      </c>
      <c r="Q20" s="64" t="n">
        <v>0</v>
      </c>
      <c r="R20" s="64" t="n">
        <v>0</v>
      </c>
      <c r="S20" s="65" t="n">
        <v>0</v>
      </c>
      <c r="T20" s="66" t="n">
        <v>0</v>
      </c>
      <c r="U20" s="66" t="n">
        <v>0</v>
      </c>
      <c r="V20" s="67" t="n">
        <v>0</v>
      </c>
      <c r="W20" s="68" t="n">
        <v>0</v>
      </c>
      <c r="X20" s="68" t="n">
        <v>0</v>
      </c>
      <c r="Y20" s="69" t="n">
        <v>0</v>
      </c>
      <c r="Z20" s="59" t="n">
        <v>0</v>
      </c>
      <c r="AA20" s="63" t="n">
        <v>0</v>
      </c>
      <c r="AB20" s="61">
        <f>SUM(P20:AA20)</f>
        <v/>
      </c>
    </row>
    <row r="21" ht="14.25" customHeight="1" s="137">
      <c r="B21" s="60" t="inlineStr">
        <is>
          <t>VILLAGE WATER AND REFUSE</t>
        </is>
      </c>
      <c r="C21" s="64" t="n">
        <v>0</v>
      </c>
      <c r="D21" s="64" t="n">
        <v>0</v>
      </c>
      <c r="E21" s="64" t="n">
        <v>0</v>
      </c>
      <c r="F21" s="65" t="n">
        <v>0</v>
      </c>
      <c r="G21" s="66" t="n">
        <v>0</v>
      </c>
      <c r="H21" s="66" t="n">
        <v>0</v>
      </c>
      <c r="I21" s="67" t="n">
        <v>0</v>
      </c>
      <c r="J21" s="68" t="n">
        <v>118</v>
      </c>
      <c r="K21" s="68" t="n">
        <v>118</v>
      </c>
      <c r="L21" s="69" t="n">
        <v>118</v>
      </c>
      <c r="M21" s="59" t="n">
        <v>118</v>
      </c>
      <c r="N21" s="63" t="n">
        <v>118.29</v>
      </c>
      <c r="O21" s="61">
        <f>SUM(C21:N21)</f>
        <v/>
      </c>
      <c r="P21" s="64" t="n">
        <v>0</v>
      </c>
      <c r="Q21" s="142" t="n">
        <v>100.55</v>
      </c>
      <c r="R21" s="64" t="n">
        <v>0</v>
      </c>
      <c r="S21" s="143" t="n">
        <v>90.67</v>
      </c>
      <c r="T21" s="66" t="n">
        <v>0</v>
      </c>
      <c r="U21" s="142" t="n">
        <v>112.83</v>
      </c>
      <c r="V21" s="67" t="n">
        <v>0</v>
      </c>
      <c r="W21" s="142" t="n">
        <v>137.63</v>
      </c>
      <c r="X21" s="68" t="n">
        <v>0</v>
      </c>
      <c r="Y21" s="143" t="n">
        <v>132.76</v>
      </c>
      <c r="Z21" s="59" t="n">
        <v>0</v>
      </c>
      <c r="AA21" s="63" t="n">
        <v>0</v>
      </c>
      <c r="AB21" s="61">
        <f>SUM(P21:AA21)</f>
        <v/>
      </c>
    </row>
    <row r="22" ht="14.25" customHeight="1" s="137">
      <c r="B22" s="57" t="inlineStr">
        <is>
          <t>GAS</t>
        </is>
      </c>
      <c r="C22" s="64" t="n">
        <v>0</v>
      </c>
      <c r="D22" s="64" t="n">
        <v>0</v>
      </c>
      <c r="E22" s="64" t="n">
        <v>0</v>
      </c>
      <c r="F22" s="65" t="n">
        <v>0</v>
      </c>
      <c r="G22" s="66" t="n">
        <v>0</v>
      </c>
      <c r="H22" s="66" t="n">
        <v>0</v>
      </c>
      <c r="I22" s="67" t="n">
        <v>0</v>
      </c>
      <c r="J22" s="68" t="n">
        <v>31.58</v>
      </c>
      <c r="K22" s="68" t="n">
        <v>66.56</v>
      </c>
      <c r="L22" s="69" t="n">
        <v>125.88</v>
      </c>
      <c r="M22" s="59" t="n">
        <v>86.68000000000001</v>
      </c>
      <c r="N22" s="63" t="n">
        <v>182.89</v>
      </c>
      <c r="O22" s="61">
        <f>SUM(C22:N22)</f>
        <v/>
      </c>
      <c r="P22" s="142" t="n">
        <v>98.56999999999999</v>
      </c>
      <c r="Q22" s="142" t="n">
        <v>133.33</v>
      </c>
      <c r="R22" s="142" t="n">
        <v>115.82</v>
      </c>
      <c r="S22" s="143" t="n">
        <v>77.8</v>
      </c>
      <c r="T22" s="142" t="n">
        <v>79.95</v>
      </c>
      <c r="U22" s="142" t="n">
        <v>48.08</v>
      </c>
      <c r="V22" s="67" t="n">
        <v>0</v>
      </c>
      <c r="W22" s="142" t="n">
        <v>79.33</v>
      </c>
      <c r="X22" s="142" t="n">
        <v>36.25</v>
      </c>
      <c r="Y22" s="143" t="n">
        <v>38.22</v>
      </c>
      <c r="Z22" s="59" t="n">
        <v>0</v>
      </c>
      <c r="AA22" s="145" t="n">
        <v>139.35</v>
      </c>
      <c r="AB22" s="61">
        <f>SUM(P22:AA22)</f>
        <v/>
      </c>
    </row>
    <row r="23" ht="14.25" customHeight="1" s="137">
      <c r="B23" s="57" t="inlineStr">
        <is>
          <t>ELECTRIC</t>
        </is>
      </c>
      <c r="C23" s="64" t="n">
        <v>0</v>
      </c>
      <c r="D23" s="64" t="n">
        <v>0</v>
      </c>
      <c r="E23" s="64" t="n">
        <v>0</v>
      </c>
      <c r="F23" s="65" t="n">
        <v>0</v>
      </c>
      <c r="G23" s="66" t="n">
        <v>0</v>
      </c>
      <c r="H23" s="66" t="n">
        <v>0</v>
      </c>
      <c r="I23" s="67" t="n">
        <v>0</v>
      </c>
      <c r="J23" s="68" t="n">
        <v>98</v>
      </c>
      <c r="K23" s="68" t="n">
        <v>131.28</v>
      </c>
      <c r="L23" s="69" t="n">
        <v>71.5</v>
      </c>
      <c r="M23" s="59" t="n">
        <v>58.77</v>
      </c>
      <c r="N23" s="63" t="n">
        <v>84.62</v>
      </c>
      <c r="O23" s="61">
        <f>SUM(C23:N23)</f>
        <v/>
      </c>
      <c r="P23" s="142" t="n">
        <v>132.94</v>
      </c>
      <c r="Q23" s="142" t="n">
        <v>216.44</v>
      </c>
      <c r="R23" s="142" t="n">
        <v>184.09</v>
      </c>
      <c r="S23" s="143" t="n">
        <v>60.95</v>
      </c>
      <c r="T23" s="142" t="n">
        <v>83.76000000000001</v>
      </c>
      <c r="U23" s="142" t="n">
        <v>69.69</v>
      </c>
      <c r="V23" s="143" t="n">
        <v>164.88</v>
      </c>
      <c r="W23" s="142" t="n">
        <v>203.43</v>
      </c>
      <c r="X23" s="142" t="n">
        <v>187.63</v>
      </c>
      <c r="Y23" s="143" t="n">
        <v>139.78</v>
      </c>
      <c r="Z23" s="142" t="n">
        <v>71.29000000000001</v>
      </c>
      <c r="AA23" s="145" t="n">
        <v>50.38</v>
      </c>
      <c r="AB23" s="61">
        <f>SUM(P23:AA23)</f>
        <v/>
      </c>
    </row>
    <row r="24" ht="14.25" customHeight="1" s="137">
      <c r="B24" s="58" t="inlineStr">
        <is>
          <t>INTERNET</t>
        </is>
      </c>
      <c r="C24" s="64" t="n">
        <v>45</v>
      </c>
      <c r="D24" s="64" t="n">
        <v>45</v>
      </c>
      <c r="E24" s="64" t="n">
        <v>45</v>
      </c>
      <c r="F24" s="65" t="n">
        <v>45</v>
      </c>
      <c r="G24" s="66" t="n">
        <v>45</v>
      </c>
      <c r="H24" s="66" t="n">
        <v>45</v>
      </c>
      <c r="I24" s="67" t="n">
        <v>45</v>
      </c>
      <c r="J24" s="68" t="n">
        <v>45</v>
      </c>
      <c r="K24" s="68" t="n">
        <v>45</v>
      </c>
      <c r="L24" s="69" t="n">
        <v>45</v>
      </c>
      <c r="M24" s="59" t="n">
        <v>45</v>
      </c>
      <c r="N24" s="63" t="n">
        <v>45</v>
      </c>
      <c r="O24" s="61">
        <f>SUM(C24:N24)</f>
        <v/>
      </c>
      <c r="P24" s="64" t="n">
        <v>0</v>
      </c>
      <c r="Q24" s="64" t="n">
        <v>0</v>
      </c>
      <c r="R24" s="64" t="n">
        <v>0</v>
      </c>
      <c r="S24" s="65" t="n">
        <v>0</v>
      </c>
      <c r="T24" s="66" t="n">
        <v>0</v>
      </c>
      <c r="U24" s="66" t="n">
        <v>0</v>
      </c>
      <c r="V24" s="67" t="n">
        <v>0</v>
      </c>
      <c r="W24" s="68" t="n">
        <v>0</v>
      </c>
      <c r="X24" s="68" t="n">
        <v>0</v>
      </c>
      <c r="Y24" s="69" t="n">
        <v>0</v>
      </c>
      <c r="Z24" s="59" t="n">
        <v>0</v>
      </c>
      <c r="AA24" s="63" t="n">
        <v>0</v>
      </c>
      <c r="AB24" s="61">
        <f>SUM(P24:AA24)</f>
        <v/>
      </c>
    </row>
    <row r="25" ht="14.25" customHeight="1" s="137">
      <c r="B25" s="57" t="inlineStr">
        <is>
          <t>CORRESPONCES</t>
        </is>
      </c>
      <c r="C25" s="64" t="n">
        <v>0</v>
      </c>
      <c r="D25" s="64" t="n">
        <v>0</v>
      </c>
      <c r="E25" s="64" t="n">
        <v>0</v>
      </c>
      <c r="F25" s="65" t="n">
        <v>0</v>
      </c>
      <c r="G25" s="66" t="n">
        <v>0</v>
      </c>
      <c r="H25" s="66" t="n">
        <v>0</v>
      </c>
      <c r="I25" s="67" t="n">
        <v>0</v>
      </c>
      <c r="J25" s="68" t="n">
        <v>0</v>
      </c>
      <c r="K25" s="68" t="n">
        <v>0</v>
      </c>
      <c r="L25" s="69" t="n">
        <v>0</v>
      </c>
      <c r="M25" s="59" t="n">
        <v>0</v>
      </c>
      <c r="N25" s="63" t="n">
        <v>0</v>
      </c>
      <c r="O25" s="61">
        <f>SUM(C25:N25)</f>
        <v/>
      </c>
      <c r="P25" s="64" t="n">
        <v>0</v>
      </c>
      <c r="Q25" s="64" t="n">
        <v>0</v>
      </c>
      <c r="R25" s="64" t="n">
        <v>0</v>
      </c>
      <c r="S25" s="65" t="n">
        <v>0</v>
      </c>
      <c r="T25" s="66" t="n">
        <v>0</v>
      </c>
      <c r="U25" s="66" t="n">
        <v>0</v>
      </c>
      <c r="V25" s="67" t="n">
        <v>0</v>
      </c>
      <c r="W25" s="68" t="n">
        <v>0</v>
      </c>
      <c r="X25" s="68" t="n">
        <v>0</v>
      </c>
      <c r="Y25" s="69" t="n">
        <v>0</v>
      </c>
      <c r="Z25" s="59" t="n">
        <v>0</v>
      </c>
      <c r="AA25" s="63" t="n">
        <v>0</v>
      </c>
      <c r="AB25" s="61">
        <f>SUM(P25:AA25)</f>
        <v/>
      </c>
    </row>
    <row r="26" ht="14.25" customHeight="1" s="137">
      <c r="B26" s="57" t="inlineStr">
        <is>
          <t>INTERIOR DESINGOR</t>
        </is>
      </c>
      <c r="C26" s="64" t="n">
        <v>0</v>
      </c>
      <c r="D26" s="64" t="n">
        <v>0</v>
      </c>
      <c r="E26" s="64" t="n">
        <v>0</v>
      </c>
      <c r="F26" s="65" t="n">
        <v>0</v>
      </c>
      <c r="G26" s="66" t="n">
        <v>0</v>
      </c>
      <c r="H26" s="66" t="n">
        <v>0</v>
      </c>
      <c r="I26" s="67" t="n">
        <v>0</v>
      </c>
      <c r="J26" s="68" t="n">
        <v>0</v>
      </c>
      <c r="K26" s="68" t="n">
        <v>0</v>
      </c>
      <c r="L26" s="69" t="n">
        <v>0</v>
      </c>
      <c r="M26" s="59" t="n">
        <v>0</v>
      </c>
      <c r="N26" s="63" t="n">
        <v>0</v>
      </c>
      <c r="O26" s="61">
        <f>SUM(C26:N26)</f>
        <v/>
      </c>
      <c r="P26" s="64" t="n">
        <v>0</v>
      </c>
      <c r="Q26" s="64" t="n">
        <v>0</v>
      </c>
      <c r="R26" s="64" t="n">
        <v>0</v>
      </c>
      <c r="S26" s="65" t="n">
        <v>0</v>
      </c>
      <c r="T26" s="66" t="n">
        <v>0</v>
      </c>
      <c r="U26" s="66" t="n">
        <v>0</v>
      </c>
      <c r="V26" s="67" t="n">
        <v>0</v>
      </c>
      <c r="W26" s="68" t="n">
        <v>0</v>
      </c>
      <c r="X26" s="68" t="n">
        <v>0</v>
      </c>
      <c r="Y26" s="69" t="n">
        <v>0</v>
      </c>
      <c r="Z26" s="59" t="n">
        <v>0</v>
      </c>
      <c r="AA26" s="63" t="n">
        <v>0</v>
      </c>
      <c r="AB26" s="61">
        <f>SUM(P26:AA26)</f>
        <v/>
      </c>
    </row>
    <row r="27" ht="14.25" customHeight="1" s="137">
      <c r="B27" s="57" t="inlineStr">
        <is>
          <t>TRAVEL EXPENSES</t>
        </is>
      </c>
      <c r="C27" s="64" t="n">
        <v>0</v>
      </c>
      <c r="D27" s="64" t="n">
        <v>0</v>
      </c>
      <c r="E27" s="64" t="n">
        <v>0</v>
      </c>
      <c r="F27" s="65" t="n">
        <v>0</v>
      </c>
      <c r="G27" s="66" t="n">
        <v>0</v>
      </c>
      <c r="H27" s="66" t="n">
        <v>0</v>
      </c>
      <c r="I27" s="67" t="n">
        <v>0</v>
      </c>
      <c r="J27" s="68" t="n">
        <v>0</v>
      </c>
      <c r="K27" s="68" t="n">
        <v>0</v>
      </c>
      <c r="L27" s="69" t="n">
        <v>0</v>
      </c>
      <c r="M27" s="59" t="n">
        <v>0</v>
      </c>
      <c r="N27" s="63" t="n">
        <v>0</v>
      </c>
      <c r="O27" s="61">
        <f>SUM(C27:N27)</f>
        <v/>
      </c>
      <c r="P27" s="64" t="n">
        <v>0</v>
      </c>
      <c r="Q27" s="64" t="n">
        <v>0</v>
      </c>
      <c r="R27" s="64" t="n">
        <v>0</v>
      </c>
      <c r="S27" s="65" t="n">
        <v>0</v>
      </c>
      <c r="T27" s="66" t="n">
        <v>0</v>
      </c>
      <c r="U27" s="66" t="n">
        <v>0</v>
      </c>
      <c r="V27" s="67" t="n">
        <v>0</v>
      </c>
      <c r="W27" s="68" t="n">
        <v>0</v>
      </c>
      <c r="X27" s="68" t="n">
        <v>0</v>
      </c>
      <c r="Y27" s="69" t="n">
        <v>0</v>
      </c>
      <c r="Z27" s="59" t="n">
        <v>0</v>
      </c>
      <c r="AA27" s="63" t="n">
        <v>0</v>
      </c>
      <c r="AB27" s="61">
        <f>SUM(P27:AA27)</f>
        <v/>
      </c>
    </row>
    <row r="28" ht="14.25" customHeight="1" s="137">
      <c r="B28" s="57" t="inlineStr">
        <is>
          <t>EQUIPMENT/APPLIANCE PURCHASES</t>
        </is>
      </c>
      <c r="C28" s="64" t="n">
        <v>0</v>
      </c>
      <c r="D28" s="64" t="n"/>
      <c r="E28" s="64" t="n">
        <v>0</v>
      </c>
      <c r="F28" s="65" t="n">
        <v>0</v>
      </c>
      <c r="G28" s="66" t="n">
        <v>0</v>
      </c>
      <c r="H28" s="66" t="n">
        <v>0</v>
      </c>
      <c r="I28" s="67" t="n">
        <v>0</v>
      </c>
      <c r="J28" s="68" t="n">
        <v>3000</v>
      </c>
      <c r="K28" s="68" t="n">
        <v>0</v>
      </c>
      <c r="L28" s="69" t="n">
        <v>0</v>
      </c>
      <c r="M28" s="59" t="n">
        <v>0</v>
      </c>
      <c r="N28" s="63" t="n"/>
      <c r="O28" s="61">
        <f>SUM(C28:N28)</f>
        <v/>
      </c>
      <c r="P28" s="64" t="n">
        <v>0</v>
      </c>
      <c r="Q28" s="64" t="n"/>
      <c r="R28" s="64" t="n">
        <v>0</v>
      </c>
      <c r="S28" s="65" t="n">
        <v>0</v>
      </c>
      <c r="T28" s="66" t="n">
        <v>0</v>
      </c>
      <c r="U28" s="66" t="n">
        <v>0</v>
      </c>
      <c r="V28" s="67" t="n">
        <v>0</v>
      </c>
      <c r="W28" s="68" t="n">
        <v>0</v>
      </c>
      <c r="X28" s="68" t="n">
        <v>0</v>
      </c>
      <c r="Y28" s="69" t="n">
        <v>0</v>
      </c>
      <c r="Z28" s="59" t="n">
        <v>0</v>
      </c>
      <c r="AA28" s="63" t="n"/>
      <c r="AB28" s="61">
        <f>SUM(P28:AA28)</f>
        <v/>
      </c>
    </row>
    <row r="29" ht="14.25" customHeight="1" s="137">
      <c r="B29" s="57" t="inlineStr">
        <is>
          <t>EQUIPMENT/APPLIANCE RENTAL FEES</t>
        </is>
      </c>
      <c r="C29" s="64" t="n">
        <v>0</v>
      </c>
      <c r="D29" s="64" t="n">
        <v>0</v>
      </c>
      <c r="E29" s="64" t="n">
        <v>0</v>
      </c>
      <c r="F29" s="65" t="n">
        <v>0</v>
      </c>
      <c r="G29" s="66" t="n">
        <v>0</v>
      </c>
      <c r="H29" s="66" t="n">
        <v>0</v>
      </c>
      <c r="I29" s="67" t="n">
        <v>0</v>
      </c>
      <c r="J29" s="68" t="n">
        <v>0</v>
      </c>
      <c r="K29" s="68" t="n">
        <v>0</v>
      </c>
      <c r="L29" s="69" t="n">
        <v>0</v>
      </c>
      <c r="M29" s="59" t="n">
        <v>0</v>
      </c>
      <c r="N29" s="63" t="n">
        <v>0</v>
      </c>
      <c r="O29" s="61">
        <f>SUM(C29:N29)</f>
        <v/>
      </c>
      <c r="P29" s="64" t="n">
        <v>0</v>
      </c>
      <c r="Q29" s="64" t="n">
        <v>0</v>
      </c>
      <c r="R29" s="64" t="n">
        <v>0</v>
      </c>
      <c r="S29" s="65" t="n">
        <v>0</v>
      </c>
      <c r="T29" s="66" t="n">
        <v>0</v>
      </c>
      <c r="U29" s="66" t="n">
        <v>0</v>
      </c>
      <c r="V29" s="67" t="n">
        <v>0</v>
      </c>
      <c r="W29" s="68" t="n">
        <v>0</v>
      </c>
      <c r="X29" s="68" t="n">
        <v>0</v>
      </c>
      <c r="Y29" s="69" t="n">
        <v>0</v>
      </c>
      <c r="Z29" s="59" t="n">
        <v>0</v>
      </c>
      <c r="AA29" s="63" t="n">
        <v>0</v>
      </c>
      <c r="AB29" s="61">
        <f>SUM(P29:AA29)</f>
        <v/>
      </c>
    </row>
    <row r="30" ht="14.25" customHeight="1" s="137">
      <c r="B30" s="57" t="inlineStr">
        <is>
          <t>LAND TAX</t>
        </is>
      </c>
      <c r="C30" s="64" t="n">
        <v>0</v>
      </c>
      <c r="D30" s="64" t="n">
        <v>0</v>
      </c>
      <c r="E30" s="64" t="n">
        <v>0</v>
      </c>
      <c r="F30" s="65" t="n">
        <v>0</v>
      </c>
      <c r="G30" s="66" t="n">
        <v>0</v>
      </c>
      <c r="H30" s="66" t="n">
        <v>0</v>
      </c>
      <c r="I30" s="67" t="n">
        <v>0</v>
      </c>
      <c r="J30" s="68" t="n">
        <v>0</v>
      </c>
      <c r="K30" s="68" t="n">
        <v>0</v>
      </c>
      <c r="L30" s="69" t="n">
        <v>0</v>
      </c>
      <c r="M30" s="59" t="n">
        <v>0</v>
      </c>
      <c r="N30" s="63" t="n">
        <v>0</v>
      </c>
      <c r="O30" s="61">
        <f>SUM(C30:N30)</f>
        <v/>
      </c>
      <c r="P30" s="64" t="n">
        <v>0</v>
      </c>
      <c r="Q30" s="64" t="n">
        <v>0</v>
      </c>
      <c r="R30" s="64" t="n">
        <v>0</v>
      </c>
      <c r="S30" s="65" t="n">
        <v>0</v>
      </c>
      <c r="T30" s="66" t="n">
        <v>0</v>
      </c>
      <c r="U30" s="66" t="n">
        <v>0</v>
      </c>
      <c r="V30" s="67" t="n">
        <v>0</v>
      </c>
      <c r="W30" s="68" t="n">
        <v>0</v>
      </c>
      <c r="X30" s="68" t="n">
        <v>0</v>
      </c>
      <c r="Y30" s="69" t="n">
        <v>0</v>
      </c>
      <c r="Z30" s="59" t="n">
        <v>0</v>
      </c>
      <c r="AA30" s="63" t="n">
        <v>0</v>
      </c>
      <c r="AB30" s="61">
        <f>SUM(P30:AA30)</f>
        <v/>
      </c>
    </row>
    <row r="31" ht="14.25" customHeight="1" s="137">
      <c r="B31" s="57" t="inlineStr">
        <is>
          <t>BORROWING EXPENSES</t>
        </is>
      </c>
      <c r="C31" s="64" t="n">
        <v>0</v>
      </c>
      <c r="D31" s="64" t="n">
        <v>0</v>
      </c>
      <c r="E31" s="64" t="n">
        <v>0</v>
      </c>
      <c r="F31" s="65" t="n">
        <v>0</v>
      </c>
      <c r="G31" s="66" t="n">
        <v>0</v>
      </c>
      <c r="H31" s="66" t="n">
        <v>0</v>
      </c>
      <c r="I31" s="67" t="n">
        <v>0</v>
      </c>
      <c r="J31" s="68" t="n">
        <v>0</v>
      </c>
      <c r="K31" s="68" t="n">
        <v>0</v>
      </c>
      <c r="L31" s="69" t="n">
        <v>0</v>
      </c>
      <c r="M31" s="59" t="n">
        <v>0</v>
      </c>
      <c r="N31" s="63" t="n">
        <v>0</v>
      </c>
      <c r="O31" s="61">
        <f>SUM(C31:N31)</f>
        <v/>
      </c>
      <c r="P31" s="64" t="n">
        <v>0</v>
      </c>
      <c r="Q31" s="64" t="n">
        <v>0</v>
      </c>
      <c r="R31" s="64" t="n">
        <v>0</v>
      </c>
      <c r="S31" s="65" t="n">
        <v>0</v>
      </c>
      <c r="T31" s="66" t="n">
        <v>0</v>
      </c>
      <c r="U31" s="66" t="n">
        <v>0</v>
      </c>
      <c r="V31" s="67" t="n">
        <v>0</v>
      </c>
      <c r="W31" s="68" t="n">
        <v>0</v>
      </c>
      <c r="X31" s="68" t="n">
        <v>0</v>
      </c>
      <c r="Y31" s="69" t="n">
        <v>0</v>
      </c>
      <c r="Z31" s="59" t="n">
        <v>0</v>
      </c>
      <c r="AA31" s="63" t="n">
        <v>0</v>
      </c>
      <c r="AB31" s="61">
        <f>SUM(P31:AA31)</f>
        <v/>
      </c>
    </row>
    <row r="32" ht="14.25" customHeight="1" s="137">
      <c r="B32" s="57" t="inlineStr">
        <is>
          <t>LOANS INTEREST</t>
        </is>
      </c>
      <c r="C32" s="64" t="n">
        <v>0</v>
      </c>
      <c r="D32" s="64" t="n">
        <v>0</v>
      </c>
      <c r="E32" s="64" t="n">
        <v>0</v>
      </c>
      <c r="F32" s="65" t="n">
        <v>0</v>
      </c>
      <c r="G32" s="66" t="n">
        <v>0</v>
      </c>
      <c r="H32" s="66" t="n">
        <v>0</v>
      </c>
      <c r="I32" s="67" t="n">
        <v>0</v>
      </c>
      <c r="J32" s="68" t="n">
        <v>0</v>
      </c>
      <c r="K32" s="68" t="n">
        <v>0</v>
      </c>
      <c r="L32" s="69" t="n">
        <v>0</v>
      </c>
      <c r="M32" s="59" t="n">
        <v>0</v>
      </c>
      <c r="N32" s="63" t="n">
        <v>0</v>
      </c>
      <c r="O32" s="61">
        <f>SUM(C32:N32)</f>
        <v/>
      </c>
      <c r="P32" s="64" t="n">
        <v>0</v>
      </c>
      <c r="Q32" s="64" t="n">
        <v>0</v>
      </c>
      <c r="R32" s="64" t="n">
        <v>0</v>
      </c>
      <c r="S32" s="65" t="n">
        <v>0</v>
      </c>
      <c r="T32" s="66" t="n">
        <v>0</v>
      </c>
      <c r="U32" s="66" t="n">
        <v>0</v>
      </c>
      <c r="V32" s="67" t="n">
        <v>0</v>
      </c>
      <c r="W32" s="68" t="n">
        <v>0</v>
      </c>
      <c r="X32" s="68" t="n">
        <v>0</v>
      </c>
      <c r="Y32" s="69" t="n">
        <v>0</v>
      </c>
      <c r="Z32" s="59" t="n">
        <v>0</v>
      </c>
      <c r="AA32" s="63" t="n">
        <v>0</v>
      </c>
      <c r="AB32" s="61">
        <f>SUM(P32:AA32)</f>
        <v/>
      </c>
    </row>
    <row r="33" ht="14.25" customHeight="1" s="137">
      <c r="B33" s="57" t="inlineStr">
        <is>
          <t>TRAVEL EXPENSES</t>
        </is>
      </c>
      <c r="C33" s="64" t="n">
        <v>0</v>
      </c>
      <c r="D33" s="64" t="n">
        <v>0</v>
      </c>
      <c r="E33" s="64" t="n">
        <v>0</v>
      </c>
      <c r="F33" s="65" t="n">
        <v>0</v>
      </c>
      <c r="G33" s="66" t="n">
        <v>0</v>
      </c>
      <c r="H33" s="66" t="n">
        <v>0</v>
      </c>
      <c r="I33" s="67" t="n">
        <v>0</v>
      </c>
      <c r="J33" s="68" t="n">
        <v>0</v>
      </c>
      <c r="K33" s="68" t="n">
        <v>0</v>
      </c>
      <c r="L33" s="69" t="n">
        <v>0</v>
      </c>
      <c r="M33" s="59" t="n">
        <v>0</v>
      </c>
      <c r="N33" s="63" t="n">
        <v>0</v>
      </c>
      <c r="O33" s="61">
        <f>SUM(C33:N33)</f>
        <v/>
      </c>
      <c r="P33" s="64" t="n">
        <v>0</v>
      </c>
      <c r="Q33" s="64" t="n">
        <v>0</v>
      </c>
      <c r="R33" s="64" t="n">
        <v>0</v>
      </c>
      <c r="S33" s="65" t="n">
        <v>0</v>
      </c>
      <c r="T33" s="66" t="n">
        <v>0</v>
      </c>
      <c r="U33" s="66" t="n">
        <v>0</v>
      </c>
      <c r="V33" s="67" t="n">
        <v>0</v>
      </c>
      <c r="W33" s="68" t="n">
        <v>0</v>
      </c>
      <c r="X33" s="68" t="n">
        <v>0</v>
      </c>
      <c r="Y33" s="69" t="n">
        <v>0</v>
      </c>
      <c r="Z33" s="59" t="n">
        <v>0</v>
      </c>
      <c r="AA33" s="63" t="n">
        <v>0</v>
      </c>
      <c r="AB33" s="61">
        <f>SUM(P33:AA33)</f>
        <v/>
      </c>
    </row>
    <row r="34" ht="14.25" customHeight="1" s="137">
      <c r="B34" s="57" t="inlineStr">
        <is>
          <t>MORTGAGE</t>
        </is>
      </c>
      <c r="C34" s="64" t="n"/>
      <c r="D34" s="64" t="n"/>
      <c r="E34" s="64" t="n"/>
      <c r="F34" s="66" t="n"/>
      <c r="G34" s="66" t="n"/>
      <c r="H34" s="66" t="n"/>
      <c r="I34" s="68" t="n"/>
      <c r="J34" s="68" t="n"/>
      <c r="K34" s="68" t="n"/>
      <c r="L34" s="59" t="n">
        <v>3920.64</v>
      </c>
      <c r="M34" s="59" t="n">
        <v>3920.64</v>
      </c>
      <c r="N34" s="59" t="n">
        <v>3920.64</v>
      </c>
      <c r="O34" s="61">
        <f>SUM(C34:N34)</f>
        <v/>
      </c>
      <c r="P34" s="142" t="n">
        <v>4287.51</v>
      </c>
      <c r="Q34" s="142" t="n">
        <v>4287.51</v>
      </c>
      <c r="R34" s="142" t="n">
        <v>4287.51</v>
      </c>
      <c r="S34" s="142" t="n">
        <v>4287.51</v>
      </c>
      <c r="T34" s="142" t="n">
        <v>4287.51</v>
      </c>
      <c r="U34" s="142" t="n">
        <v>4287.51</v>
      </c>
      <c r="V34" s="142" t="n">
        <v>4287.51</v>
      </c>
      <c r="W34" s="142" t="n">
        <v>5089.77</v>
      </c>
      <c r="X34" s="142" t="n">
        <v>5089.77</v>
      </c>
      <c r="Y34" s="142" t="n">
        <v>4438.69</v>
      </c>
      <c r="Z34" s="142" t="n">
        <v>4438.69</v>
      </c>
      <c r="AA34" s="142" t="n">
        <v>4377.54</v>
      </c>
      <c r="AB34" s="61">
        <f>SUM(P34:AA34)</f>
        <v/>
      </c>
    </row>
    <row r="35" ht="14.25" customHeight="1" s="137">
      <c r="B35" s="57" t="inlineStr">
        <is>
          <t>HOA</t>
        </is>
      </c>
      <c r="C35" s="64" t="n"/>
      <c r="D35" s="64" t="n"/>
      <c r="E35" s="64" t="n"/>
      <c r="F35" s="66" t="n"/>
      <c r="G35" s="66" t="n"/>
      <c r="H35" s="66" t="n"/>
      <c r="I35" s="68" t="n"/>
      <c r="J35" s="68" t="n"/>
      <c r="K35" s="68" t="n"/>
      <c r="L35" s="59" t="n"/>
      <c r="M35" s="59" t="n"/>
      <c r="N35" s="59" t="n"/>
      <c r="O35" s="61">
        <f>SUM(C35:N35)</f>
        <v/>
      </c>
      <c r="P35" s="64" t="n"/>
      <c r="Q35" s="64" t="n"/>
      <c r="R35" s="64" t="n"/>
      <c r="S35" s="66" t="n"/>
      <c r="T35" s="66" t="n"/>
      <c r="U35" s="66" t="n"/>
      <c r="V35" s="68" t="n"/>
      <c r="W35" s="68" t="n"/>
      <c r="X35" s="68" t="n"/>
      <c r="Y35" s="59" t="n"/>
      <c r="Z35" s="59" t="n"/>
      <c r="AA35" s="59" t="n"/>
      <c r="AB35" s="61">
        <f>SUM(P35:AA35)</f>
        <v/>
      </c>
    </row>
    <row r="36" ht="14.25" customHeight="1" s="137">
      <c r="B36" s="57" t="inlineStr">
        <is>
          <t>TERMITE INSPECTION</t>
        </is>
      </c>
      <c r="C36" s="64" t="n">
        <v>0</v>
      </c>
      <c r="D36" s="64" t="n">
        <v>0</v>
      </c>
      <c r="E36" s="64" t="n">
        <v>0</v>
      </c>
      <c r="F36" s="65" t="n"/>
      <c r="G36" s="66" t="n">
        <v>0</v>
      </c>
      <c r="H36" s="66" t="n">
        <v>0</v>
      </c>
      <c r="I36" s="67" t="n">
        <v>0</v>
      </c>
      <c r="J36" s="68" t="n">
        <v>145</v>
      </c>
      <c r="K36" s="68" t="n">
        <v>0</v>
      </c>
      <c r="L36" s="69" t="n">
        <v>0</v>
      </c>
      <c r="M36" s="59" t="n"/>
      <c r="N36" s="63" t="n">
        <v>0</v>
      </c>
      <c r="O36" s="61">
        <f>SUM(C36:N36)</f>
        <v/>
      </c>
      <c r="P36" s="64" t="n">
        <v>0</v>
      </c>
      <c r="Q36" s="64" t="n">
        <v>0</v>
      </c>
      <c r="R36" s="64" t="n">
        <v>0</v>
      </c>
      <c r="S36" s="65" t="n"/>
      <c r="T36" s="66" t="n">
        <v>0</v>
      </c>
      <c r="U36" s="66" t="n">
        <v>0</v>
      </c>
      <c r="V36" s="67" t="n">
        <v>0</v>
      </c>
      <c r="W36" s="68" t="n">
        <v>0</v>
      </c>
      <c r="X36" s="68" t="n">
        <v>0</v>
      </c>
      <c r="Y36" s="69" t="n">
        <v>0</v>
      </c>
      <c r="Z36" s="59" t="n"/>
      <c r="AA36" s="63" t="n">
        <v>0</v>
      </c>
      <c r="AB36" s="61">
        <f>SUM(P36:AA36)</f>
        <v/>
      </c>
    </row>
    <row r="37" ht="14.25" customHeight="1" s="137">
      <c r="B37" s="57" t="inlineStr">
        <is>
          <t>OTHER</t>
        </is>
      </c>
      <c r="C37" s="64" t="n">
        <v>0</v>
      </c>
      <c r="D37" s="64" t="n">
        <v>0</v>
      </c>
      <c r="E37" s="64" t="n">
        <v>0</v>
      </c>
      <c r="F37" s="65" t="n">
        <v>0</v>
      </c>
      <c r="G37" s="66" t="n">
        <v>0</v>
      </c>
      <c r="H37" s="66" t="n">
        <v>0</v>
      </c>
      <c r="I37" s="67" t="n">
        <v>0</v>
      </c>
      <c r="J37" s="68" t="n">
        <v>0</v>
      </c>
      <c r="K37" s="68" t="n"/>
      <c r="L37" s="69" t="n"/>
      <c r="M37" s="59" t="n">
        <v>0</v>
      </c>
      <c r="N37" s="63" t="n">
        <v>0</v>
      </c>
      <c r="O37" s="61">
        <f>SUM(C37:N37)</f>
        <v/>
      </c>
      <c r="P37" s="64" t="n">
        <v>0</v>
      </c>
      <c r="Q37" s="64" t="n">
        <v>0</v>
      </c>
      <c r="R37" s="64" t="n">
        <v>0</v>
      </c>
      <c r="S37" s="65" t="n">
        <v>0</v>
      </c>
      <c r="T37" s="66" t="n">
        <v>0</v>
      </c>
      <c r="U37" s="66" t="n">
        <v>0</v>
      </c>
      <c r="V37" s="67" t="n">
        <v>0</v>
      </c>
      <c r="W37" s="68" t="n">
        <v>0</v>
      </c>
      <c r="X37" s="68" t="n"/>
      <c r="Y37" s="69" t="n"/>
      <c r="Z37" s="59" t="n">
        <v>0</v>
      </c>
      <c r="AA37" s="63" t="n">
        <v>0</v>
      </c>
      <c r="AB37" s="61">
        <f>SUM(P37:AA37)</f>
        <v/>
      </c>
    </row>
    <row r="38" ht="14.25" customHeight="1" s="137">
      <c r="B38" s="57" t="inlineStr">
        <is>
          <t>OTHER</t>
        </is>
      </c>
      <c r="C38" s="64" t="n">
        <v>0</v>
      </c>
      <c r="D38" s="64" t="n">
        <v>0</v>
      </c>
      <c r="E38" s="64" t="n">
        <v>0</v>
      </c>
      <c r="F38" s="65" t="n">
        <v>0</v>
      </c>
      <c r="G38" s="66" t="n">
        <v>0</v>
      </c>
      <c r="H38" s="66" t="n">
        <v>0</v>
      </c>
      <c r="I38" s="67" t="n">
        <v>0</v>
      </c>
      <c r="J38" s="68" t="n">
        <v>0</v>
      </c>
      <c r="K38" s="68" t="n">
        <v>0</v>
      </c>
      <c r="L38" s="69" t="n"/>
      <c r="M38" s="59" t="n"/>
      <c r="N38" s="63" t="n"/>
      <c r="O38" s="61">
        <f>SUM(C38:N38)</f>
        <v/>
      </c>
      <c r="P38" s="64" t="n">
        <v>0</v>
      </c>
      <c r="Q38" s="64" t="n">
        <v>0</v>
      </c>
      <c r="R38" s="64" t="n">
        <v>0</v>
      </c>
      <c r="S38" s="65" t="n">
        <v>0</v>
      </c>
      <c r="T38" s="66" t="n">
        <v>0</v>
      </c>
      <c r="U38" s="66" t="n">
        <v>0</v>
      </c>
      <c r="V38" s="67" t="n">
        <v>0</v>
      </c>
      <c r="W38" s="68" t="n">
        <v>0</v>
      </c>
      <c r="X38" s="68" t="n">
        <v>0</v>
      </c>
      <c r="Y38" s="69" t="n"/>
      <c r="Z38" s="59" t="n"/>
      <c r="AA38" s="63" t="n"/>
      <c r="AB38" s="61">
        <f>SUM(P38:AA38)</f>
        <v/>
      </c>
    </row>
    <row r="39" ht="14.25" customHeight="1" s="137">
      <c r="B39" s="57" t="inlineStr">
        <is>
          <t> </t>
        </is>
      </c>
      <c r="C39" s="64" t="n">
        <v>0</v>
      </c>
      <c r="D39" s="64" t="n">
        <v>0</v>
      </c>
      <c r="E39" s="64" t="n">
        <v>0</v>
      </c>
      <c r="F39" s="65" t="n">
        <v>0</v>
      </c>
      <c r="G39" s="66" t="n">
        <v>0</v>
      </c>
      <c r="H39" s="66" t="n">
        <v>0</v>
      </c>
      <c r="I39" s="67" t="n">
        <v>0</v>
      </c>
      <c r="J39" s="68" t="n">
        <v>0</v>
      </c>
      <c r="K39" s="68" t="n">
        <v>0</v>
      </c>
      <c r="L39" s="69" t="n">
        <v>0</v>
      </c>
      <c r="M39" s="59" t="n">
        <v>0</v>
      </c>
      <c r="N39" s="63" t="n">
        <v>0</v>
      </c>
      <c r="O39" s="61">
        <f>SUM(C39:N39)</f>
        <v/>
      </c>
      <c r="P39" s="64" t="n">
        <v>0</v>
      </c>
      <c r="Q39" s="64" t="n">
        <v>0</v>
      </c>
      <c r="R39" s="64" t="n">
        <v>0</v>
      </c>
      <c r="S39" s="65" t="n">
        <v>0</v>
      </c>
      <c r="T39" s="66" t="n">
        <v>0</v>
      </c>
      <c r="U39" s="66" t="n">
        <v>0</v>
      </c>
      <c r="V39" s="67" t="n">
        <v>0</v>
      </c>
      <c r="W39" s="68" t="n">
        <v>0</v>
      </c>
      <c r="X39" s="68" t="n">
        <v>0</v>
      </c>
      <c r="Y39" s="69" t="n">
        <v>0</v>
      </c>
      <c r="Z39" s="59" t="n">
        <v>0</v>
      </c>
      <c r="AA39" s="63" t="n">
        <v>0</v>
      </c>
      <c r="AB39" s="61">
        <f>SUM(P39:AA39)</f>
        <v/>
      </c>
    </row>
    <row r="40" ht="14.25" customHeight="1" s="137">
      <c r="B40" s="57" t="inlineStr">
        <is>
          <t> </t>
        </is>
      </c>
      <c r="C40" s="64" t="n">
        <v>0</v>
      </c>
      <c r="D40" s="64" t="n">
        <v>0</v>
      </c>
      <c r="E40" s="64" t="n">
        <v>0</v>
      </c>
      <c r="F40" s="65" t="n">
        <v>0</v>
      </c>
      <c r="G40" s="66" t="n">
        <v>0</v>
      </c>
      <c r="H40" s="66" t="n">
        <v>0</v>
      </c>
      <c r="I40" s="67" t="n">
        <v>0</v>
      </c>
      <c r="J40" s="68" t="n">
        <v>0</v>
      </c>
      <c r="K40" s="68" t="n">
        <v>0</v>
      </c>
      <c r="L40" s="69" t="n">
        <v>0</v>
      </c>
      <c r="M40" s="59" t="n">
        <v>0</v>
      </c>
      <c r="N40" s="63" t="n">
        <v>0</v>
      </c>
      <c r="O40" s="61">
        <f>SUM(C40:N40)</f>
        <v/>
      </c>
      <c r="P40" s="64" t="n">
        <v>0</v>
      </c>
      <c r="Q40" s="64" t="n">
        <v>0</v>
      </c>
      <c r="R40" s="64" t="n">
        <v>0</v>
      </c>
      <c r="S40" s="65" t="n">
        <v>0</v>
      </c>
      <c r="T40" s="66" t="n">
        <v>0</v>
      </c>
      <c r="U40" s="66" t="n">
        <v>0</v>
      </c>
      <c r="V40" s="67" t="n">
        <v>0</v>
      </c>
      <c r="W40" s="68" t="n">
        <v>0</v>
      </c>
      <c r="X40" s="68" t="n">
        <v>0</v>
      </c>
      <c r="Y40" s="69" t="n">
        <v>0</v>
      </c>
      <c r="Z40" s="59" t="n">
        <v>0</v>
      </c>
      <c r="AA40" s="63" t="n">
        <v>0</v>
      </c>
      <c r="AB40" s="61">
        <f>SUM(P40:AA40)</f>
        <v/>
      </c>
    </row>
    <row r="41" ht="14.25" customHeight="1" s="137">
      <c r="B41" s="47" t="inlineStr">
        <is>
          <t>TOTAL EXPENSES</t>
        </is>
      </c>
      <c r="C41" s="48">
        <f>SUM(C10:C40)</f>
        <v/>
      </c>
      <c r="D41" s="48">
        <f>SUM(D10:D40)</f>
        <v/>
      </c>
      <c r="E41" s="48">
        <f>SUM(E10:E40)</f>
        <v/>
      </c>
      <c r="F41" s="49">
        <f>SUM(F10:F40)</f>
        <v/>
      </c>
      <c r="G41" s="50">
        <f>SUM(G10:G40)</f>
        <v/>
      </c>
      <c r="H41" s="50">
        <f>SUM(H10:H40)</f>
        <v/>
      </c>
      <c r="I41" s="51">
        <f>SUM(I10:I40)</f>
        <v/>
      </c>
      <c r="J41" s="52">
        <f>SUM(J10:J40)</f>
        <v/>
      </c>
      <c r="K41" s="52">
        <f>SUM(K10:K40)</f>
        <v/>
      </c>
      <c r="L41" s="53">
        <f>SUM(L10:L40)</f>
        <v/>
      </c>
      <c r="M41" s="54">
        <f>SUM(M10:M40)</f>
        <v/>
      </c>
      <c r="N41" s="55">
        <f>SUM(N10:N40)</f>
        <v/>
      </c>
      <c r="O41" s="56">
        <f>SUM(C41:N41)</f>
        <v/>
      </c>
      <c r="P41" s="48">
        <f>SUM(P10:P40)</f>
        <v/>
      </c>
      <c r="Q41" s="48">
        <f>SUM(Q10:Q40)</f>
        <v/>
      </c>
      <c r="R41" s="48">
        <f>SUM(R10:R40)</f>
        <v/>
      </c>
      <c r="S41" s="49">
        <f>SUM(S10:S40)</f>
        <v/>
      </c>
      <c r="T41" s="50">
        <f>SUM(T10:T40)</f>
        <v/>
      </c>
      <c r="U41" s="50">
        <f>SUM(U10:U40)</f>
        <v/>
      </c>
      <c r="V41" s="51">
        <f>SUM(V10:V40)</f>
        <v/>
      </c>
      <c r="W41" s="52">
        <f>SUM(W10:W40)</f>
        <v/>
      </c>
      <c r="X41" s="52">
        <f>SUM(X10:X40)</f>
        <v/>
      </c>
      <c r="Y41" s="53">
        <f>SUM(Y10:Y40)</f>
        <v/>
      </c>
      <c r="Z41" s="54">
        <f>SUM(Z10:Z40)</f>
        <v/>
      </c>
      <c r="AA41" s="55">
        <f>SUM(AA10:AA40)</f>
        <v/>
      </c>
      <c r="AB41" s="56">
        <f>SUM(P41:AA41)</f>
        <v/>
      </c>
    </row>
    <row r="42" ht="14.25" customHeight="1" s="137"/>
    <row r="43" ht="14.25" customHeight="1" s="137">
      <c r="B43" s="70" t="inlineStr">
        <is>
          <t>YEAR-TO-DATE INCOME LESS EXPENSES</t>
        </is>
      </c>
      <c r="C43" s="71">
        <f>C6-C41</f>
        <v/>
      </c>
      <c r="D43" s="71">
        <f>D6-D41</f>
        <v/>
      </c>
      <c r="E43" s="71">
        <f>E6-E41</f>
        <v/>
      </c>
      <c r="F43" s="72">
        <f>F6-F41</f>
        <v/>
      </c>
      <c r="G43" s="73">
        <f>G6-G41</f>
        <v/>
      </c>
      <c r="H43" s="73">
        <f>H6-H41</f>
        <v/>
      </c>
      <c r="I43" s="74">
        <f>I6-I41</f>
        <v/>
      </c>
      <c r="J43" s="75">
        <f>J6-J41</f>
        <v/>
      </c>
      <c r="K43" s="75">
        <f>K6-K41</f>
        <v/>
      </c>
      <c r="L43" s="76">
        <f>L6-L41</f>
        <v/>
      </c>
      <c r="M43" s="77">
        <f>M6-M41</f>
        <v/>
      </c>
      <c r="N43" s="78">
        <f>N6-N41</f>
        <v/>
      </c>
      <c r="O43" s="79">
        <f>O6-O41</f>
        <v/>
      </c>
      <c r="P43" s="71">
        <f>P6-P41</f>
        <v/>
      </c>
      <c r="Q43" s="71">
        <f>Q6-Q41</f>
        <v/>
      </c>
      <c r="R43" s="71">
        <f>R6-R41</f>
        <v/>
      </c>
      <c r="S43" s="72">
        <f>S6-S41</f>
        <v/>
      </c>
      <c r="T43" s="73">
        <f>T6-T41</f>
        <v/>
      </c>
      <c r="U43" s="73">
        <f>U6-U41</f>
        <v/>
      </c>
      <c r="V43" s="74">
        <f>V6-V41</f>
        <v/>
      </c>
      <c r="W43" s="75">
        <f>W6-W41</f>
        <v/>
      </c>
      <c r="X43" s="75">
        <f>X6-X41</f>
        <v/>
      </c>
      <c r="Y43" s="76">
        <f>Y6-Y41</f>
        <v/>
      </c>
      <c r="Z43" s="77">
        <f>Z6-Z41</f>
        <v/>
      </c>
      <c r="AA43" s="78">
        <f>AA6-AA41</f>
        <v/>
      </c>
      <c r="AB43" s="79">
        <f>AB6-AB41</f>
        <v/>
      </c>
    </row>
    <row r="44" ht="14.25" customHeight="1" s="137"/>
    <row r="45" ht="14.25" customHeight="1" s="137">
      <c r="A45" s="0" t="inlineStr">
        <is>
          <t>2025 columns P–AB. Residence through sale 2025-12-18. MORTGAGE = US Bank loan 09422 monthly P+I from joint 0203 (not $50k extra principal on 9922 Jul/Sep — those are not on this row). HOA n/a. Not tax advice.</t>
        </is>
      </c>
      <c r="B45" s="122" t="inlineStr">
        <is>
          <t>https://forst.tax/tax-deductions-owner-occupied-multi-family-property/</t>
        </is>
      </c>
    </row>
    <row r="46" ht="14.25" customHeight="1" s="137">
      <c r="B46" s="122" t="inlineStr">
        <is>
          <t>https://www.realtor.com/realestateandhomes-detail/524-Ferdinand-Ave_Forest-Park_IL_60130_M81246-00338</t>
        </is>
      </c>
    </row>
    <row r="47" ht="14.25" customHeight="1" s="137"/>
    <row r="48" ht="14.25" customHeight="1" s="137">
      <c r="B48" s="122" t="inlineStr">
        <is>
          <t>Purchase Price</t>
        </is>
      </c>
      <c r="C48" s="88" t="n">
        <v>575000</v>
      </c>
    </row>
    <row r="49" ht="14.25" customHeight="1" s="137">
      <c r="B49" s="122" t="inlineStr">
        <is>
          <t>Interest Rate</t>
        </is>
      </c>
      <c r="C49" s="81" t="n">
        <v>0.06275</v>
      </c>
    </row>
    <row r="50" ht="14.25" customHeight="1" s="137">
      <c r="C50" s="103" t="n"/>
    </row>
    <row r="51" ht="14.25" customHeight="1" s="137">
      <c r="B51" s="129" t="inlineStr">
        <is>
          <t>Misc Closing Costs</t>
        </is>
      </c>
      <c r="C51" s="130" t="n"/>
    </row>
    <row r="52" ht="14.25" customHeight="1" s="137">
      <c r="B52" s="3" t="inlineStr">
        <is>
          <t>Clear View Home Inspection</t>
        </is>
      </c>
      <c r="C52" s="131" t="n"/>
    </row>
    <row r="53" ht="14.25" customHeight="1" s="137">
      <c r="B53" s="3" t="inlineStr">
        <is>
          <t>Closing Costs</t>
        </is>
      </c>
      <c r="C53" s="132" t="inlineStr">
        <is>
          <t>~15000</t>
        </is>
      </c>
    </row>
    <row r="54" ht="14.25" customHeight="1" s="137">
      <c r="B54" s="3" t="n"/>
      <c r="C54" s="132" t="n"/>
    </row>
    <row r="55" ht="14.25" customHeight="1" s="137">
      <c r="B55" s="3" t="n"/>
      <c r="C55" s="133" t="n"/>
    </row>
    <row r="56" ht="14.25" customHeight="1" s="137">
      <c r="B56" s="134" t="inlineStr">
        <is>
          <t xml:space="preserve">Deductions as Investment </t>
        </is>
      </c>
      <c r="C56" s="133" t="n"/>
    </row>
    <row r="57" ht="14.25" customHeight="1" s="137">
      <c r="B57" s="3" t="inlineStr">
        <is>
          <t>Mortgage interest</t>
        </is>
      </c>
      <c r="C57" s="133" t="n"/>
    </row>
    <row r="58" ht="14.25" customHeight="1" s="137">
      <c r="B58" s="3" t="inlineStr">
        <is>
          <t>Property tax</t>
        </is>
      </c>
      <c r="C58" s="133" t="n"/>
    </row>
    <row r="59" ht="14.25" customHeight="1" s="137">
      <c r="B59" s="3" t="inlineStr">
        <is>
          <t>Operating expenses</t>
        </is>
      </c>
      <c r="C59" s="133" t="n"/>
    </row>
    <row r="60" ht="14.25" customHeight="1" s="137">
      <c r="B60" s="3" t="inlineStr">
        <is>
          <t>Depreciation</t>
        </is>
      </c>
      <c r="C60" s="133" t="n"/>
    </row>
    <row r="61" ht="14.25" customHeight="1" s="137">
      <c r="B61" s="3" t="inlineStr">
        <is>
          <t>Repairs</t>
        </is>
      </c>
      <c r="C61" s="133" t="n"/>
    </row>
    <row r="62" ht="14.25" customHeight="1" s="137">
      <c r="B62" s="3" t="n"/>
      <c r="C62" s="133" t="n"/>
    </row>
    <row r="63" ht="14.25" customHeight="1" s="137">
      <c r="B63" s="134" t="inlineStr">
        <is>
          <t>Deductions as Primary Residence</t>
        </is>
      </c>
      <c r="C63" s="133" t="n"/>
    </row>
    <row r="64" ht="14.25" customHeight="1" s="137">
      <c r="B64" s="3" t="inlineStr">
        <is>
          <t>Mortgage interest</t>
        </is>
      </c>
      <c r="C64" s="133" t="n"/>
    </row>
    <row r="65" ht="14.25" customHeight="1" s="137">
      <c r="B65" s="3" t="inlineStr">
        <is>
          <t>Property tax</t>
        </is>
      </c>
      <c r="C65" s="133" t="n"/>
    </row>
    <row r="66" ht="14.25" customHeight="1" s="137">
      <c r="B66" s="3" t="inlineStr">
        <is>
          <t xml:space="preserve">First time home owner tax credit </t>
        </is>
      </c>
      <c r="C66" s="133" t="n"/>
    </row>
    <row r="67" ht="14.25" customHeight="1" s="137">
      <c r="B67" s="3" t="n"/>
      <c r="C67" s="133" t="n"/>
    </row>
    <row r="68" ht="14.25" customHeight="1" s="137">
      <c r="B68" s="135" t="inlineStr">
        <is>
          <t>Questions for Advisor</t>
        </is>
      </c>
      <c r="C68" s="136" t="n"/>
    </row>
    <row r="69" ht="14.25" customHeight="1" s="137"/>
    <row r="70" ht="14.25" customHeight="1" s="137"/>
    <row r="71" ht="14.25" customHeight="1" s="137"/>
    <row r="72" ht="14.25" customHeight="1" s="137"/>
    <row r="73" ht="14.25" customHeight="1" s="137"/>
    <row r="74" ht="14.25" customHeight="1" s="137"/>
    <row r="75" ht="14.25" customHeight="1" s="137"/>
    <row r="76" ht="14.25" customHeight="1" s="137"/>
    <row r="77" ht="14.25" customHeight="1" s="137"/>
    <row r="78" ht="14.25" customHeight="1" s="137"/>
    <row r="79" ht="14.25" customHeight="1" s="137"/>
    <row r="80" ht="14.25" customHeight="1" s="137"/>
    <row r="81" ht="14.25" customHeight="1" s="137"/>
    <row r="82" ht="14.25" customHeight="1" s="137"/>
    <row r="83" ht="14.25" customHeight="1" s="137"/>
    <row r="84" ht="14.25" customHeight="1" s="137"/>
    <row r="85" ht="14.25" customHeight="1" s="137"/>
    <row r="86" ht="14.25" customHeight="1" s="137"/>
    <row r="87" ht="14.25" customHeight="1" s="137"/>
    <row r="88" ht="14.25" customHeight="1" s="137"/>
    <row r="89" ht="14.25" customHeight="1" s="137"/>
    <row r="90" ht="14.25" customHeight="1" s="137"/>
    <row r="91" ht="14.25" customHeight="1" s="137"/>
    <row r="92" ht="14.25" customHeight="1" s="137"/>
    <row r="93" ht="14.25" customHeight="1" s="137"/>
    <row r="94" ht="14.25" customHeight="1" s="137"/>
    <row r="95" ht="14.25" customHeight="1" s="137"/>
    <row r="96" ht="14.25" customHeight="1" s="137"/>
    <row r="97" ht="14.25" customHeight="1" s="137"/>
    <row r="98" ht="14.25" customHeight="1" s="137"/>
    <row r="99" ht="14.25" customHeight="1" s="137"/>
    <row r="100" ht="14.25" customHeight="1" s="137"/>
    <row r="101" ht="14.25" customHeight="1" s="137"/>
    <row r="102" ht="14.25" customHeight="1" s="137"/>
    <row r="103" ht="14.25" customHeight="1" s="137"/>
    <row r="104" ht="14.25" customHeight="1" s="137"/>
    <row r="105" ht="14.25" customHeight="1" s="137"/>
    <row r="106" ht="14.25" customHeight="1" s="137"/>
    <row r="107" ht="14.25" customHeight="1" s="137"/>
    <row r="108" ht="14.25" customHeight="1" s="137"/>
    <row r="109" ht="14.25" customHeight="1" s="137"/>
    <row r="110" ht="14.25" customHeight="1" s="137"/>
    <row r="111" ht="14.25" customHeight="1" s="137"/>
    <row r="112" ht="14.25" customHeight="1" s="137"/>
    <row r="113" ht="14.25" customHeight="1" s="137"/>
    <row r="114" ht="14.25" customHeight="1" s="137"/>
    <row r="115" ht="14.25" customHeight="1" s="137"/>
    <row r="116" ht="14.25" customHeight="1" s="137"/>
    <row r="117" ht="14.25" customHeight="1" s="137"/>
    <row r="118" ht="14.25" customHeight="1" s="137"/>
    <row r="119" ht="14.25" customHeight="1" s="137"/>
    <row r="120" ht="14.25" customHeight="1" s="137"/>
    <row r="121" ht="14.25" customHeight="1" s="137"/>
    <row r="122" ht="14.25" customHeight="1" s="137"/>
    <row r="123" ht="14.25" customHeight="1" s="137"/>
    <row r="124" ht="14.25" customHeight="1" s="137"/>
    <row r="125" ht="14.25" customHeight="1" s="137"/>
    <row r="126" ht="14.25" customHeight="1" s="137"/>
    <row r="127" ht="14.25" customHeight="1" s="137"/>
    <row r="128" ht="14.25" customHeight="1" s="137"/>
    <row r="129" ht="14.25" customHeight="1" s="137"/>
    <row r="130" ht="14.25" customHeight="1" s="137"/>
    <row r="131" ht="14.25" customHeight="1" s="137"/>
    <row r="132" ht="14.25" customHeight="1" s="137"/>
    <row r="133" ht="14.25" customHeight="1" s="137"/>
    <row r="134" ht="14.25" customHeight="1" s="137"/>
    <row r="135" ht="14.25" customHeight="1" s="137"/>
    <row r="136" ht="14.25" customHeight="1" s="137"/>
    <row r="137" ht="14.25" customHeight="1" s="137"/>
    <row r="138" ht="14.25" customHeight="1" s="137"/>
    <row r="139" ht="14.25" customHeight="1" s="137"/>
    <row r="140" ht="14.25" customHeight="1" s="137"/>
    <row r="141" ht="14.25" customHeight="1" s="137"/>
    <row r="142" ht="14.25" customHeight="1" s="137"/>
    <row r="143" ht="14.25" customHeight="1" s="137"/>
    <row r="144" ht="14.25" customHeight="1" s="137"/>
    <row r="145" ht="14.25" customHeight="1" s="137"/>
    <row r="146" ht="14.25" customHeight="1" s="137"/>
    <row r="147" ht="14.25" customHeight="1" s="137"/>
    <row r="148" ht="14.25" customHeight="1" s="137"/>
    <row r="149" ht="14.25" customHeight="1" s="137"/>
    <row r="150" ht="14.25" customHeight="1" s="137"/>
    <row r="151" ht="14.25" customHeight="1" s="137"/>
    <row r="152" ht="14.25" customHeight="1" s="137"/>
    <row r="153" ht="14.25" customHeight="1" s="137"/>
    <row r="154" ht="14.25" customHeight="1" s="137"/>
    <row r="155" ht="14.25" customHeight="1" s="137"/>
    <row r="156" ht="14.25" customHeight="1" s="137"/>
    <row r="157" ht="14.25" customHeight="1" s="137"/>
    <row r="158" ht="14.25" customHeight="1" s="137"/>
    <row r="159" ht="14.25" customHeight="1" s="137"/>
    <row r="160" ht="14.25" customHeight="1" s="137"/>
    <row r="161" ht="14.25" customHeight="1" s="137"/>
    <row r="162" ht="14.25" customHeight="1" s="137"/>
    <row r="163" ht="14.25" customHeight="1" s="137"/>
    <row r="164" ht="14.25" customHeight="1" s="137"/>
    <row r="165" ht="14.25" customHeight="1" s="137"/>
    <row r="166" ht="14.25" customHeight="1" s="137"/>
    <row r="167" ht="14.25" customHeight="1" s="137"/>
    <row r="168" ht="14.25" customHeight="1" s="137"/>
    <row r="169" ht="14.25" customHeight="1" s="137"/>
    <row r="170" ht="14.25" customHeight="1" s="137"/>
    <row r="171" ht="14.25" customHeight="1" s="137"/>
    <row r="172" ht="14.25" customHeight="1" s="137"/>
    <row r="173" ht="14.25" customHeight="1" s="137"/>
    <row r="174" ht="14.25" customHeight="1" s="137"/>
    <row r="175" ht="14.25" customHeight="1" s="137"/>
    <row r="176" ht="14.25" customHeight="1" s="137"/>
    <row r="177" ht="14.25" customHeight="1" s="137"/>
    <row r="178" ht="14.25" customHeight="1" s="137"/>
    <row r="179" ht="14.25" customHeight="1" s="137"/>
    <row r="180" ht="14.25" customHeight="1" s="137"/>
    <row r="181" ht="14.25" customHeight="1" s="137"/>
    <row r="182" ht="14.25" customHeight="1" s="137"/>
    <row r="183" ht="14.25" customHeight="1" s="137"/>
    <row r="184" ht="14.25" customHeight="1" s="137"/>
    <row r="185" ht="14.25" customHeight="1" s="137"/>
    <row r="186" ht="14.25" customHeight="1" s="137"/>
    <row r="187" ht="14.25" customHeight="1" s="137"/>
    <row r="188" ht="14.25" customHeight="1" s="137"/>
    <row r="189" ht="14.25" customHeight="1" s="137"/>
    <row r="190" ht="14.25" customHeight="1" s="137"/>
    <row r="191" ht="14.25" customHeight="1" s="137"/>
    <row r="192" ht="14.25" customHeight="1" s="137"/>
    <row r="193" ht="14.25" customHeight="1" s="137"/>
    <row r="194" ht="14.25" customHeight="1" s="137"/>
    <row r="195" ht="14.25" customHeight="1" s="137"/>
    <row r="196" ht="14.25" customHeight="1" s="137"/>
    <row r="197" ht="14.25" customHeight="1" s="137"/>
    <row r="198" ht="14.25" customHeight="1" s="137"/>
    <row r="199" ht="14.25" customHeight="1" s="137"/>
    <row r="200" ht="14.25" customHeight="1" s="137"/>
    <row r="201" ht="14.25" customHeight="1" s="137"/>
    <row r="202" ht="14.25" customHeight="1" s="137"/>
    <row r="203" ht="14.25" customHeight="1" s="137"/>
    <row r="204" ht="14.25" customHeight="1" s="137"/>
    <row r="205" ht="14.25" customHeight="1" s="137"/>
    <row r="206" ht="14.25" customHeight="1" s="137"/>
    <row r="207" ht="14.25" customHeight="1" s="137"/>
    <row r="208" ht="14.25" customHeight="1" s="137"/>
    <row r="209" ht="14.25" customHeight="1" s="137"/>
    <row r="210" ht="14.25" customHeight="1" s="137"/>
    <row r="211" ht="14.25" customHeight="1" s="137"/>
    <row r="212" ht="14.25" customHeight="1" s="137"/>
    <row r="213" ht="14.25" customHeight="1" s="137"/>
    <row r="214" ht="14.25" customHeight="1" s="137"/>
    <row r="215" ht="14.25" customHeight="1" s="137"/>
    <row r="216" ht="14.25" customHeight="1" s="137"/>
    <row r="217" ht="14.25" customHeight="1" s="137"/>
    <row r="218" ht="14.25" customHeight="1" s="137"/>
    <row r="219" ht="14.25" customHeight="1" s="137"/>
    <row r="220" ht="14.2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1">
    <mergeCell ref="C1:O1"/>
  </mergeCells>
  <pageMargins left="0.7" right="0.7" top="0.75" bottom="0.75" header="0" footer="0"/>
  <pageSetup orientation="portrait"/>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style="137" min="1" max="1"/>
    <col width="28" customWidth="1" style="137" min="2" max="2"/>
  </cols>
  <sheetData>
    <row r="1">
      <c r="A1" s="161" t="inlineStr">
        <is>
          <t>524 Home Sale</t>
        </is>
      </c>
    </row>
    <row r="3">
      <c r="A3" s="0" t="inlineStr">
        <is>
          <t>Item</t>
        </is>
      </c>
      <c r="B3" s="0" t="inlineStr">
        <is>
          <t>Amount</t>
        </is>
      </c>
      <c r="C3" s="0" t="inlineStr">
        <is>
          <t>Status</t>
        </is>
      </c>
    </row>
    <row r="4">
      <c r="A4" s="0" t="inlineStr">
        <is>
          <t>Sale date</t>
        </is>
      </c>
      <c r="B4" s="162" t="inlineStr">
        <is>
          <t>2025-12-18</t>
        </is>
      </c>
      <c r="C4" s="0" t="inlineStr">
        <is>
          <t>LOCKED</t>
        </is>
      </c>
    </row>
    <row r="5">
      <c r="A5" s="0" t="inlineStr">
        <is>
          <t>Sale price</t>
        </is>
      </c>
      <c r="B5" s="162" t="n">
        <v>600000</v>
      </c>
      <c r="C5" s="0" t="inlineStr">
        <is>
          <t>LOCKED</t>
        </is>
      </c>
    </row>
    <row r="6">
      <c r="A6" s="0" t="inlineStr">
        <is>
          <t>Net to seller</t>
        </is>
      </c>
      <c r="B6" s="162" t="n">
        <v>216844.96</v>
      </c>
      <c r="C6" s="0" t="inlineStr">
        <is>
          <t>LOCKED</t>
        </is>
      </c>
    </row>
    <row r="7">
      <c r="A7" s="0" t="inlineStr">
        <is>
          <t>USB payoff</t>
        </is>
      </c>
      <c r="B7" s="162" t="n">
        <v>340911.17</v>
      </c>
      <c r="C7" s="0" t="inlineStr">
        <is>
          <t>LOCKED</t>
        </is>
      </c>
    </row>
    <row r="8">
      <c r="A8" s="0" t="inlineStr">
        <is>
          <t>Commission Living Well</t>
        </is>
      </c>
      <c r="B8" s="162" t="n">
        <v>15000</v>
      </c>
      <c r="C8" s="0" t="inlineStr">
        <is>
          <t>LOCKED</t>
        </is>
      </c>
    </row>
    <row r="9">
      <c r="A9" s="0" t="inlineStr">
        <is>
          <t>Unit 2 basis (2023 4562)</t>
        </is>
      </c>
      <c r="B9" s="162" t="n">
        <v>203434</v>
      </c>
      <c r="C9" s="0" t="inlineStr">
        <is>
          <t>LOCKED</t>
        </is>
      </c>
    </row>
    <row r="10">
      <c r="A10" s="0" t="inlineStr">
        <is>
          <t>Unit 2 dep 2023</t>
        </is>
      </c>
      <c r="B10" s="162" t="n">
        <v>7090</v>
      </c>
      <c r="C10" s="0" t="inlineStr">
        <is>
          <t>LOCKED</t>
        </is>
      </c>
    </row>
    <row r="11">
      <c r="A11" s="0" t="inlineStr">
        <is>
          <t>Unit 2 dep 2024</t>
        </is>
      </c>
      <c r="B11" s="163" t="inlineStr">
        <is>
          <t>TBD — 2024 Form 1040</t>
        </is>
      </c>
      <c r="C11" s="0" t="inlineStr">
        <is>
          <t>TBD</t>
        </is>
      </c>
    </row>
    <row r="12">
      <c r="A12" s="0" t="inlineStr">
        <is>
          <t>Unit 2 dep 2025 stub</t>
        </is>
      </c>
      <c r="B12" s="163" t="inlineStr">
        <is>
          <t>TBD — CPA</t>
        </is>
      </c>
      <c r="C12" s="0" t="inlineStr">
        <is>
          <t>TBD</t>
        </is>
      </c>
    </row>
    <row r="13">
      <c r="A13" s="0" t="inlineStr">
        <is>
          <t>Sec 121 allocation %</t>
        </is>
      </c>
      <c r="B13" s="163" t="inlineStr">
        <is>
          <t>TBD — CPA</t>
        </is>
      </c>
      <c r="C13" s="0" t="inlineStr">
        <is>
          <t>TBD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style="137" min="1" max="1"/>
    <col width="28" customWidth="1" style="137" min="2" max="2"/>
    <col width="12" customWidth="1" style="137" min="3" max="3"/>
    <col width="12" customWidth="1" style="137" min="4" max="4"/>
  </cols>
  <sheetData>
    <row r="1">
      <c r="A1" s="161" t="inlineStr">
        <is>
          <t>827 Grove CapEx</t>
        </is>
      </c>
    </row>
    <row r="3">
      <c r="A3" s="0" t="inlineStr">
        <is>
          <t>Item</t>
        </is>
      </c>
      <c r="B3" s="0" t="inlineStr">
        <is>
          <t>Amount</t>
        </is>
      </c>
      <c r="C3" s="0" t="inlineStr">
        <is>
          <t>Status</t>
        </is>
      </c>
    </row>
    <row r="4">
      <c r="A4" s="0" t="inlineStr">
        <is>
          <t>Purchase close</t>
        </is>
      </c>
      <c r="B4" s="162" t="inlineStr">
        <is>
          <t>2025-12-18</t>
        </is>
      </c>
      <c r="C4" s="0" t="inlineStr">
        <is>
          <t>LOCKED</t>
        </is>
      </c>
    </row>
    <row r="5">
      <c r="A5" s="0" t="inlineStr">
        <is>
          <t>Purchase price</t>
        </is>
      </c>
      <c r="B5" s="162" t="n">
        <v>670000</v>
      </c>
      <c r="C5" s="0" t="inlineStr">
        <is>
          <t>LOCKED</t>
        </is>
      </c>
    </row>
    <row r="6">
      <c r="A6" s="0" t="inlineStr">
        <is>
          <t>TY2025 CapEx for return</t>
        </is>
      </c>
      <c r="B6" s="162" t="n">
        <v>53660</v>
      </c>
      <c r="C6" s="0" t="inlineStr">
        <is>
          <t>LOCKED</t>
        </is>
      </c>
    </row>
    <row r="7">
      <c r="A7" s="0" t="inlineStr">
        <is>
          <t>TY2026 CapEx</t>
        </is>
      </c>
      <c r="B7" s="162" t="n">
        <v>268532</v>
      </c>
      <c r="C7" s="0" t="inlineStr">
        <is>
          <t>LOCKED</t>
        </is>
      </c>
    </row>
    <row r="8">
      <c r="A8" s="0" t="inlineStr">
        <is>
          <t>CapEx UNKNOWN</t>
        </is>
      </c>
      <c r="B8" s="163" t="n">
        <v>9401.93</v>
      </c>
      <c r="C8" s="0" t="inlineStr">
        <is>
          <t>TBD</t>
        </is>
      </c>
    </row>
    <row r="9">
      <c r="A9" s="0" t="inlineStr">
        <is>
          <t>Radon on CD</t>
        </is>
      </c>
      <c r="B9" s="163" t="n">
        <v>2550</v>
      </c>
      <c r="C9" s="0" t="inlineStr">
        <is>
          <t>TBD</t>
        </is>
      </c>
    </row>
    <row r="11">
      <c r="A11" s="164" t="inlineStr">
        <is>
          <t>Prime HD / Lowe’s / IKEA — 827 N Grove the house 1/3 (NOT Grove Collaborative supplies)</t>
        </is>
      </c>
    </row>
    <row r="12">
      <c r="A12" s="165" t="inlineStr">
        <is>
          <t>Date</t>
        </is>
      </c>
      <c r="B12" s="165" t="inlineStr">
        <is>
          <t>Merchant</t>
        </is>
      </c>
      <c r="C12" s="165" t="inlineStr">
        <is>
          <t>Full txn</t>
        </is>
      </c>
      <c r="D12" s="165" t="inlineStr">
        <is>
          <t>Grove 1/3</t>
        </is>
      </c>
    </row>
    <row r="13">
      <c r="A13" s="0" t="inlineStr">
        <is>
          <t>2025-02-16</t>
        </is>
      </c>
      <c r="B13" s="0" t="inlineStr">
        <is>
          <t>THE HOME DEPOT #1901</t>
        </is>
      </c>
      <c r="C13" s="166" t="n">
        <v>34.01</v>
      </c>
      <c r="D13" s="167" t="n">
        <v>11.33</v>
      </c>
    </row>
    <row r="14">
      <c r="A14" s="0" t="inlineStr">
        <is>
          <t>2025-02-17</t>
        </is>
      </c>
      <c r="B14" s="0" t="inlineStr">
        <is>
          <t>IKEA BOLINGBROOK</t>
        </is>
      </c>
      <c r="C14" s="166" t="n">
        <v>299.37</v>
      </c>
      <c r="D14" s="167" t="n">
        <v>99.79000000000001</v>
      </c>
    </row>
    <row r="15">
      <c r="A15" s="0" t="inlineStr">
        <is>
          <t>2025-02-18</t>
        </is>
      </c>
      <c r="B15" s="0" t="inlineStr">
        <is>
          <t>IKEA 471245314</t>
        </is>
      </c>
      <c r="C15" s="166" t="n">
        <v>65.98</v>
      </c>
      <c r="D15" s="167" t="n">
        <v>21.99</v>
      </c>
    </row>
    <row r="16">
      <c r="A16" s="0" t="inlineStr">
        <is>
          <t>2025-03-23</t>
        </is>
      </c>
      <c r="B16" s="0" t="inlineStr">
        <is>
          <t>LOWES #01845</t>
        </is>
      </c>
      <c r="C16" s="166" t="n">
        <v>55.69</v>
      </c>
      <c r="D16" s="167" t="n">
        <v>18.56</v>
      </c>
    </row>
    <row r="17">
      <c r="A17" s="0" t="inlineStr">
        <is>
          <t>2025-04-20</t>
        </is>
      </c>
      <c r="B17" s="0" t="inlineStr">
        <is>
          <t>THE HOME DEPOT #1901</t>
        </is>
      </c>
      <c r="C17" s="166" t="n">
        <v>236.36</v>
      </c>
      <c r="D17" s="167" t="n">
        <v>78.78</v>
      </c>
    </row>
    <row r="18">
      <c r="A18" s="0" t="inlineStr">
        <is>
          <t>2025-04-20</t>
        </is>
      </c>
      <c r="B18" s="0" t="inlineStr">
        <is>
          <t>THE HOME DEPOT #1901</t>
        </is>
      </c>
      <c r="C18" s="166" t="n">
        <v>1.07</v>
      </c>
      <c r="D18" s="167" t="n">
        <v>0.35</v>
      </c>
    </row>
    <row r="19">
      <c r="A19" s="0" t="inlineStr">
        <is>
          <t>2025-07-06</t>
        </is>
      </c>
      <c r="B19" s="0" t="inlineStr">
        <is>
          <t>THE HOME DEPOT #1901</t>
        </is>
      </c>
      <c r="C19" s="166" t="n">
        <v>305.94</v>
      </c>
      <c r="D19" s="167" t="n">
        <v>101.98</v>
      </c>
    </row>
    <row r="20">
      <c r="A20" s="0" t="inlineStr">
        <is>
          <t>2025-09-01</t>
        </is>
      </c>
      <c r="B20" s="0" t="inlineStr">
        <is>
          <t>LOWES #01845</t>
        </is>
      </c>
      <c r="C20" s="166" t="n">
        <v>209.19</v>
      </c>
      <c r="D20" s="167" t="n">
        <v>69.73</v>
      </c>
    </row>
    <row r="21">
      <c r="A21" s="0" t="inlineStr">
        <is>
          <t>2025-10-11</t>
        </is>
      </c>
      <c r="B21" s="0" t="inlineStr">
        <is>
          <t>THE HOME DEPOT #1901</t>
        </is>
      </c>
      <c r="C21" s="166" t="n">
        <v>410.88</v>
      </c>
      <c r="D21" s="167" t="n">
        <v>136.96</v>
      </c>
    </row>
    <row r="22">
      <c r="A22" s="0" t="inlineStr">
        <is>
          <t>2025-11-02</t>
        </is>
      </c>
      <c r="B22" s="0" t="inlineStr">
        <is>
          <t>THE HOME DEPOT #1901</t>
        </is>
      </c>
      <c r="C22" s="166" t="n">
        <v>193.97</v>
      </c>
      <c r="D22" s="167" t="n">
        <v>64.65000000000001</v>
      </c>
    </row>
    <row r="23">
      <c r="B23" s="168" t="inlineStr">
        <is>
          <t>Grove 1/3 total</t>
        </is>
      </c>
      <c r="D23" s="169" t="n">
        <v>604.12</v>
      </c>
    </row>
    <row r="25">
      <c r="A25" s="170" t="inlineStr">
        <is>
          <t>CPA: this 1/3 is pre-close hardware/furniture for 827 N Grove the house (close 2025-12-18). This is NOT Grove Collaborative. Do NOT fold into locked TY2025 CapEx $53,660 (the 2025-12-19 contractor payments) until you say so. May be additional 827 basis / CapEx / personal — FLAG.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48" customWidth="1" style="137" min="1" max="1"/>
    <col width="42" customWidth="1" style="137" min="2" max="2"/>
    <col width="42" customWidth="1" style="137" min="3" max="3"/>
  </cols>
  <sheetData>
    <row r="1">
      <c r="A1" s="171" t="inlineStr">
        <is>
          <t>Childcare — Form 2441 (Emma + Phoebe)</t>
        </is>
      </c>
    </row>
    <row r="2">
      <c r="A2" s="0" t="inlineStr">
        <is>
          <t>Organizational only — not tax advice. CPA allocates Aug prepaid across children and care months.</t>
        </is>
      </c>
    </row>
    <row r="4">
      <c r="A4" s="165" t="inlineStr">
        <is>
          <t>Item</t>
        </is>
      </c>
      <c r="B4" s="165" t="inlineStr">
        <is>
          <t>Value</t>
        </is>
      </c>
      <c r="C4" s="165" t="inlineStr">
        <is>
          <t>Status</t>
        </is>
      </c>
    </row>
    <row r="5">
      <c r="A5" s="172" t="inlineStr">
        <is>
          <t>Provider legal name (Form 2441 Part I)</t>
        </is>
      </c>
      <c r="B5" s="172" t="inlineStr">
        <is>
          <t>La Casa Montessori School</t>
        </is>
      </c>
      <c r="C5" s="172" t="inlineStr">
        <is>
          <t>LOCKED</t>
        </is>
      </c>
    </row>
    <row r="6">
      <c r="A6" s="172" t="inlineStr">
        <is>
          <t>Provider EIN</t>
        </is>
      </c>
      <c r="B6" s="172" t="inlineStr">
        <is>
          <t>45-5289483</t>
        </is>
      </c>
      <c r="C6" s="172" t="inlineStr">
        <is>
          <t>LOCKED</t>
        </is>
      </c>
    </row>
    <row r="7">
      <c r="A7" s="172" t="inlineStr">
        <is>
          <t>Street address</t>
        </is>
      </c>
      <c r="B7" s="172" t="inlineStr">
        <is>
          <t>608 Harrison St</t>
        </is>
      </c>
      <c r="C7" s="172" t="inlineStr">
        <is>
          <t>LOCKED</t>
        </is>
      </c>
    </row>
    <row r="8">
      <c r="A8" s="172" t="inlineStr">
        <is>
          <t>City, state, ZIP</t>
        </is>
      </c>
      <c r="B8" s="172" t="inlineStr">
        <is>
          <t>Oak Park, IL 60304</t>
        </is>
      </c>
      <c r="C8" s="172" t="inlineStr">
        <is>
          <t>LOCKED</t>
        </is>
      </c>
    </row>
    <row r="9">
      <c r="A9" s="172" t="inlineStr">
        <is>
          <t>Billing platform</t>
        </is>
      </c>
      <c r="B9" s="172" t="inlineStr">
        <is>
          <t>BrightWheel (not the EIN holder)</t>
        </is>
      </c>
      <c r="C9" s="172" t="inlineStr">
        <is>
          <t>LOCKED</t>
        </is>
      </c>
    </row>
    <row r="10">
      <c r="A10" s="172" t="inlineStr">
        <is>
          <t>Children</t>
        </is>
      </c>
      <c r="B10" s="172" t="inlineStr">
        <is>
          <t>Emma Coley; Phoebe Coley</t>
        </is>
      </c>
      <c r="C10" s="172" t="inlineStr">
        <is>
          <t>LOCKED</t>
        </is>
      </c>
    </row>
    <row r="11">
      <c r="A11" s="172" t="inlineStr">
        <is>
          <t>BrightWheel invoice cash TY2025</t>
        </is>
      </c>
      <c r="B11" s="173" t="n">
        <v>30668.55</v>
      </c>
      <c r="C11" s="172" t="inlineStr">
        <is>
          <t>LOCKED</t>
        </is>
      </c>
    </row>
    <row r="12">
      <c r="A12" s="172" t="inlineStr">
        <is>
          <t>Aug 4 prepaid both kids (CPA allocates)</t>
        </is>
      </c>
      <c r="B12" s="173" t="n">
        <v>23361.05</v>
      </c>
      <c r="C12" s="172" t="inlineStr">
        <is>
          <t>LOCKED</t>
        </is>
      </c>
    </row>
    <row r="13">
      <c r="A13" s="172" t="inlineStr">
        <is>
          <t>Kids Empire Villa Park</t>
        </is>
      </c>
      <c r="B13" s="172" t="inlineStr">
        <is>
          <t>EXCLUDED 233.28</t>
        </is>
      </c>
      <c r="C13" s="172" t="inlineStr">
        <is>
          <t>LOCKED</t>
        </is>
      </c>
    </row>
    <row r="14">
      <c r="A14" s="172" t="inlineStr">
        <is>
          <t>Babysitting Zelle</t>
        </is>
      </c>
      <c r="B14" s="172" t="inlineStr">
        <is>
          <t>EXCLUDED 100.00</t>
        </is>
      </c>
      <c r="C14" s="172" t="inlineStr">
        <is>
          <t>LOCKED</t>
        </is>
      </c>
    </row>
    <row r="16">
      <c r="A16" s="168" t="inlineStr">
        <is>
          <t>Form 2441 Part I (copy onto return)</t>
        </is>
      </c>
    </row>
    <row r="17">
      <c r="A17" s="174" t="inlineStr">
        <is>
          <t>Name</t>
        </is>
      </c>
      <c r="B17" s="174" t="inlineStr">
        <is>
          <t>La Casa Montessori School</t>
        </is>
      </c>
    </row>
    <row r="18">
      <c r="A18" s="174" t="inlineStr">
        <is>
          <t>Address</t>
        </is>
      </c>
      <c r="B18" s="174" t="inlineStr">
        <is>
          <t>608 Harrison St, Oak Park, IL 60304</t>
        </is>
      </c>
    </row>
    <row r="19">
      <c r="A19" s="174" t="inlineStr">
        <is>
          <t>Identifying number (EIN)</t>
        </is>
      </c>
      <c r="B19" s="174" t="inlineStr">
        <is>
          <t>45-5289483</t>
        </is>
      </c>
    </row>
    <row r="20">
      <c r="A20" s="174" t="inlineStr">
        <is>
          <t>Amount paid (provider invoices)</t>
        </is>
      </c>
      <c r="B20" s="175" t="n">
        <v>30668.55</v>
      </c>
      <c r="C20" s="174" t="inlineStr">
        <is>
          <t>CPA splits Emma vs Phoebe / months from Aug prepaid</t>
        </is>
      </c>
    </row>
    <row r="22">
      <c r="A22" s="170" t="inlineStr">
        <is>
          <t>User provided EIN 455289483 and address 608 Harrison St, Oak Park 60304 (2026-09-18). EIN formatted 45-5289483 for Form 2441. Public records match this EIN+address to La Casa Montessori School. BrightWheel is the tuition portal only. Aug $23,361.05 prepaid covers both girls — CPA allocates. Not tax advice.</t>
        </is>
      </c>
    </row>
  </sheetData>
  <pageMargins left="0.75" right="0.75" top="1" bottom="1" header="0.5" footer="0.5"/>
</worksheet>
</file>

<file path=xl/worksheets/sheet15.xml><?xml version="1.0" encoding="utf-8"?>
<worksheet xmlns="http://schemas.openxmlformats.org/spreadsheetml/2006/main">
  <sheetPr>
    <tabColor rgb="001F4E79"/>
    <outlinePr summaryBelow="1" summaryRight="1"/>
    <pageSetUpPr/>
  </sheetPr>
  <dimension ref="A1:L67"/>
  <sheetViews>
    <sheetView workbookViewId="0">
      <pane ySplit="3" topLeftCell="A4" activePane="bottomLeft" state="frozen"/>
      <selection pane="bottomLeft" activeCell="A1" sqref="A1"/>
    </sheetView>
  </sheetViews>
  <sheetFormatPr baseColWidth="8" defaultRowHeight="15"/>
  <cols>
    <col width="12" customWidth="1" style="137" min="1" max="1"/>
    <col width="28" customWidth="1" style="137" min="2" max="2"/>
    <col width="14" customWidth="1" style="137" min="3" max="3"/>
    <col width="10" customWidth="1" style="137" min="4" max="4"/>
    <col width="16" customWidth="1" style="137" min="5" max="5"/>
    <col width="12" customWidth="1" style="137" min="6" max="6"/>
    <col width="42" customWidth="1" style="137" min="7" max="7"/>
    <col width="22" customWidth="1" style="137" min="8" max="8"/>
    <col width="22" customWidth="1" style="137" min="9" max="9"/>
    <col width="22" customWidth="1" style="137" min="10" max="10"/>
    <col width="55" customWidth="1" style="137" min="11" max="11"/>
    <col width="70" customWidth="1" style="137" min="12" max="12"/>
  </cols>
  <sheetData>
    <row r="1" ht="48" customHeight="1" s="137">
      <c r="A1" s="176" t="inlineStr">
        <is>
          <t>Mercury Checking 8291 — EPGC LLC (Choice Financial) 2025. 64 unique cash transactions. Coinbase ACH = investment. Newstar = jewelry COGS on intaglios/gems/scarabs. Do not treat BoA 9922 draws or Koziol/Ariadne $150k as P&amp;L until confirmed. Not tax advice.</t>
        </is>
      </c>
    </row>
    <row r="3" ht="22" customHeight="1" s="137">
      <c r="A3" s="177" t="inlineStr">
        <is>
          <t>Date</t>
        </is>
      </c>
      <c r="B3" s="177" t="inlineStr">
        <is>
          <t>Counterparty</t>
        </is>
      </c>
      <c r="C3" s="177" t="inlineStr">
        <is>
          <t>Amount</t>
        </is>
      </c>
      <c r="D3" s="177" t="inlineStr">
        <is>
          <t>Direction</t>
        </is>
      </c>
      <c r="E3" s="177" t="inlineStr">
        <is>
          <t>Bucket</t>
        </is>
      </c>
      <c r="F3" s="177" t="inlineStr">
        <is>
          <t>Status</t>
        </is>
      </c>
      <c r="G3" s="177" t="inlineStr">
        <is>
          <t>Deal / object</t>
        </is>
      </c>
      <c r="H3" s="177" t="inlineStr">
        <is>
          <t>Hits EPGC Art Sales?</t>
        </is>
      </c>
      <c r="I3" s="177" t="inlineStr">
        <is>
          <t>Hits EPGC Consultant?</t>
        </is>
      </c>
      <c r="J3" s="177" t="inlineStr">
        <is>
          <t>Monarch category</t>
        </is>
      </c>
      <c r="K3" s="177" t="inlineStr">
        <is>
          <t>Original statement</t>
        </is>
      </c>
      <c r="L3" s="177" t="inlineStr">
        <is>
          <t>Notes</t>
        </is>
      </c>
    </row>
    <row r="4" ht="36" customHeight="1" s="137">
      <c r="A4" s="178" t="inlineStr">
        <is>
          <t>2025-01-08</t>
        </is>
      </c>
      <c r="B4" s="178" t="inlineStr">
        <is>
          <t>Erdal Dere (Fortuna)</t>
        </is>
      </c>
      <c r="C4" s="179" t="n">
        <v>-13000</v>
      </c>
      <c r="D4" s="178" t="inlineStr">
        <is>
          <t>OUT</t>
        </is>
      </c>
      <c r="E4" s="180" t="inlineStr">
        <is>
          <t>ART_PURCHASE</t>
        </is>
      </c>
      <c r="F4" s="181" t="inlineStr">
        <is>
          <t>MATCHED</t>
        </is>
      </c>
      <c r="G4" s="178" t="inlineStr">
        <is>
          <t>A Collection of Seals — COGS</t>
        </is>
      </c>
      <c r="H4" s="178" t="inlineStr">
        <is>
          <t>no</t>
        </is>
      </c>
      <c r="I4" s="178" t="inlineStr">
        <is>
          <t>no</t>
        </is>
      </c>
      <c r="J4" s="178" t="inlineStr">
        <is>
          <t xml:space="preserve">Business Investment </t>
        </is>
      </c>
      <c r="K4" s="178" t="inlineStr">
        <is>
          <t>Merchant name: Erdal Dere (Fortuna)</t>
        </is>
      </c>
      <c r="L4" s="182" t="inlineStr">
        <is>
          <t>Fortuna / Erdal Dere. Matches Art Sales Cost $13,000; Berk sold it 1/10 for $14,000.</t>
        </is>
      </c>
    </row>
    <row r="5" ht="36" customHeight="1" s="137">
      <c r="A5" s="178" t="inlineStr">
        <is>
          <t>2025-01-10</t>
        </is>
      </c>
      <c r="B5" s="178" t="inlineStr">
        <is>
          <t>HARLAN J BERK LTD</t>
        </is>
      </c>
      <c r="C5" s="183" t="n">
        <v>14000</v>
      </c>
      <c r="D5" s="178" t="inlineStr">
        <is>
          <t>IN</t>
        </is>
      </c>
      <c r="E5" s="184" t="inlineStr">
        <is>
          <t>ART_SALE</t>
        </is>
      </c>
      <c r="F5" s="181" t="inlineStr">
        <is>
          <t>MATCHED</t>
        </is>
      </c>
      <c r="G5" s="178" t="inlineStr">
        <is>
          <t>A Collection of Seals — Sale Price</t>
        </is>
      </c>
      <c r="H5" s="178" t="inlineStr">
        <is>
          <t>YES</t>
        </is>
      </c>
      <c r="I5" s="178" t="inlineStr">
        <is>
          <t>no</t>
        </is>
      </c>
      <c r="J5" s="178" t="inlineStr">
        <is>
          <t>Business Income</t>
        </is>
      </c>
      <c r="K5" s="178" t="inlineStr">
        <is>
          <t>Incoming Wire; Merchant name: HARLAN J BERK LTD</t>
        </is>
      </c>
      <c r="L5" s="182" t="inlineStr">
        <is>
          <t>Harlan J. Berk Ltd wire. Matches Art Sales Sale Price $14,000.</t>
        </is>
      </c>
    </row>
    <row r="6" ht="36" customHeight="1" s="137">
      <c r="A6" s="178" t="inlineStr">
        <is>
          <t>2025-01-16</t>
        </is>
      </c>
      <c r="B6" s="178" t="inlineStr">
        <is>
          <t>EOEB LLC</t>
        </is>
      </c>
      <c r="C6" s="139" t="n">
        <v>1000</v>
      </c>
      <c r="D6" s="178" t="inlineStr">
        <is>
          <t>IN</t>
        </is>
      </c>
      <c r="E6" s="185" t="inlineStr">
        <is>
          <t>ASK</t>
        </is>
      </c>
      <c r="F6" s="185" t="inlineStr">
        <is>
          <t>ASK</t>
        </is>
      </c>
      <c r="G6" s="178" t="inlineStr">
        <is>
          <t>EOEB $1,000 — Canosan horse vs advisory</t>
        </is>
      </c>
      <c r="H6" s="178" t="inlineStr">
        <is>
          <t>no</t>
        </is>
      </c>
      <c r="I6" s="178" t="inlineStr">
        <is>
          <t>no</t>
        </is>
      </c>
      <c r="J6" s="178" t="inlineStr">
        <is>
          <t>Business Income</t>
        </is>
      </c>
      <c r="K6" s="178" t="inlineStr">
        <is>
          <t>Incoming Wire; MAKE A PAYMENT; Merchant name: EOEB LLC</t>
        </is>
      </c>
      <c r="L6" s="182" t="inlineStr">
        <is>
          <t>Art Sales has Canosan Terracotta Horse to Erdal $1,000. This cash is EOEB, not Erdal. Sale or advisory invoice?</t>
        </is>
      </c>
    </row>
    <row r="7" ht="36" customHeight="1" s="137">
      <c r="A7" s="178" t="inlineStr">
        <is>
          <t>2025-02-04</t>
        </is>
      </c>
      <c r="B7" s="178" t="inlineStr">
        <is>
          <t>Bank of America - Checking ••9922</t>
        </is>
      </c>
      <c r="C7" s="179" t="n">
        <v>-25000</v>
      </c>
      <c r="D7" s="178" t="inlineStr">
        <is>
          <t>OUT</t>
        </is>
      </c>
      <c r="E7" s="186" t="inlineStr">
        <is>
          <t>TRANSFER</t>
        </is>
      </c>
      <c r="F7" s="181" t="inlineStr">
        <is>
          <t>LOCKED</t>
        </is>
      </c>
      <c r="G7" s="178" t="inlineStr">
        <is>
          <t>Owner transfer to BoA 9922</t>
        </is>
      </c>
      <c r="H7" s="178" t="inlineStr">
        <is>
          <t>no</t>
        </is>
      </c>
      <c r="I7" s="178" t="inlineStr">
        <is>
          <t>no</t>
        </is>
      </c>
      <c r="J7" s="178" t="inlineStr">
        <is>
          <t>Transfer</t>
        </is>
      </c>
      <c r="K7" s="178" t="inlineStr">
        <is>
          <t>Transfer from Mercury to another bank account; Merchant name: Bank of America - Checking ••9922</t>
        </is>
      </c>
      <c r="L7" s="182" t="inlineStr">
        <is>
          <t>Not EPGC P&amp;L. Draw / transfer to Jake Adv Plus 9922.</t>
        </is>
      </c>
    </row>
    <row r="8" ht="36" customHeight="1" s="137">
      <c r="A8" s="178" t="inlineStr">
        <is>
          <t>2025-02-04</t>
        </is>
      </c>
      <c r="B8" s="178" t="inlineStr">
        <is>
          <t>AQUINAS HOBOR</t>
        </is>
      </c>
      <c r="C8" s="139" t="n">
        <v>1000</v>
      </c>
      <c r="D8" s="178" t="inlineStr">
        <is>
          <t>IN</t>
        </is>
      </c>
      <c r="E8" s="185" t="inlineStr">
        <is>
          <t>ASK</t>
        </is>
      </c>
      <c r="F8" s="185" t="inlineStr">
        <is>
          <t>ASK</t>
        </is>
      </c>
      <c r="G8" s="178" t="inlineStr">
        <is>
          <t>Aquinas Hobor $1,000</t>
        </is>
      </c>
      <c r="H8" s="178" t="inlineStr">
        <is>
          <t>no</t>
        </is>
      </c>
      <c r="I8" s="178" t="inlineStr">
        <is>
          <t>no</t>
        </is>
      </c>
      <c r="J8" s="178" t="inlineStr">
        <is>
          <t>Transfer</t>
        </is>
      </c>
      <c r="K8" s="178" t="inlineStr">
        <is>
          <t>AQUINAS HOBOR; SENDER; 770699534; Merchant name: AQUINAS HOBOR</t>
        </is>
      </c>
      <c r="L8" s="182" t="inlineStr">
        <is>
          <t>Prior-year buyer (Saharan bracelets 2022). 2025 sale, leftover, or something else?</t>
        </is>
      </c>
    </row>
    <row r="9" ht="36" customHeight="1" s="137">
      <c r="A9" s="178" t="inlineStr">
        <is>
          <t>2025-02-07</t>
        </is>
      </c>
      <c r="B9" s="178" t="inlineStr">
        <is>
          <t>HARLAN J BERK LTD</t>
        </is>
      </c>
      <c r="C9" s="183" t="n">
        <v>30000</v>
      </c>
      <c r="D9" s="178" t="inlineStr">
        <is>
          <t>IN</t>
        </is>
      </c>
      <c r="E9" s="184" t="inlineStr">
        <is>
          <t>ART_SALE</t>
        </is>
      </c>
      <c r="F9" s="181" t="inlineStr">
        <is>
          <t>MATCHED</t>
        </is>
      </c>
      <c r="G9" s="178" t="inlineStr">
        <is>
          <t>Berk lots lump Sale Price $30,000</t>
        </is>
      </c>
      <c r="H9" s="178" t="inlineStr">
        <is>
          <t>YES</t>
        </is>
      </c>
      <c r="I9" s="178" t="inlineStr">
        <is>
          <t>no</t>
        </is>
      </c>
      <c r="J9" s="178" t="inlineStr">
        <is>
          <t>Business Income</t>
        </is>
      </c>
      <c r="K9" s="178" t="inlineStr">
        <is>
          <t>Incoming Wire; PER ARB; Merchant name: HARLAN J BERK LTD</t>
        </is>
      </c>
      <c r="L9" s="182" t="inlineStr">
        <is>
          <t>Harlan J. Berk Ltd PER ARB. Matches Art Sales F71 hardcoded $30,000 covering rows 51–70. Per-object invoices still yellow.</t>
        </is>
      </c>
    </row>
    <row r="10" ht="36" customHeight="1" s="137">
      <c r="A10" s="178" t="inlineStr">
        <is>
          <t>2025-02-21</t>
        </is>
      </c>
      <c r="B10" s="178" t="inlineStr">
        <is>
          <t>Jamal M Rifai</t>
        </is>
      </c>
      <c r="C10" s="179" t="n">
        <v>-10</v>
      </c>
      <c r="D10" s="178" t="inlineStr">
        <is>
          <t>OUT</t>
        </is>
      </c>
      <c r="E10" s="186" t="inlineStr">
        <is>
          <t>TEST</t>
        </is>
      </c>
      <c r="F10" s="181" t="inlineStr">
        <is>
          <t>LOCKED</t>
        </is>
      </c>
      <c r="G10" s="178" t="inlineStr">
        <is>
          <t>$10 test wire to Jamal M. Rifai</t>
        </is>
      </c>
      <c r="H10" s="178" t="inlineStr">
        <is>
          <t>no</t>
        </is>
      </c>
      <c r="I10" s="178" t="inlineStr">
        <is>
          <t>no</t>
        </is>
      </c>
      <c r="J10" s="178" t="inlineStr">
        <is>
          <t>Transfer</t>
        </is>
      </c>
      <c r="K10" s="178" t="inlineStr">
        <is>
          <t>Merchant name: Jamal M Rifai</t>
        </is>
      </c>
      <c r="L10" s="182" t="inlineStr">
        <is>
          <t>Not P&amp;L. Related to mosaics counterparty test.</t>
        </is>
      </c>
    </row>
    <row r="11" ht="36" customHeight="1" s="137">
      <c r="A11" s="178" t="inlineStr">
        <is>
          <t>2025-02-21</t>
        </is>
      </c>
      <c r="B11" s="178" t="inlineStr">
        <is>
          <t>DDA/066196221</t>
        </is>
      </c>
      <c r="C11" s="179" t="n">
        <v>10</v>
      </c>
      <c r="D11" s="178" t="inlineStr">
        <is>
          <t>IN</t>
        </is>
      </c>
      <c r="E11" s="186" t="inlineStr">
        <is>
          <t>TEST</t>
        </is>
      </c>
      <c r="F11" s="181" t="inlineStr">
        <is>
          <t>LOCKED</t>
        </is>
      </c>
      <c r="G11" s="178" t="inlineStr">
        <is>
          <t>$10 test wire in</t>
        </is>
      </c>
      <c r="H11" s="178" t="inlineStr">
        <is>
          <t>no</t>
        </is>
      </c>
      <c r="I11" s="178" t="inlineStr">
        <is>
          <t>no</t>
        </is>
      </c>
      <c r="J11" s="178" t="inlineStr">
        <is>
          <t>Transfer</t>
        </is>
      </c>
      <c r="K11" s="178" t="inlineStr">
        <is>
          <t>Incoming Wire; Merchant name: DDA/066196221</t>
        </is>
      </c>
      <c r="L11" s="182" t="inlineStr">
        <is>
          <t>Not P&amp;L.</t>
        </is>
      </c>
    </row>
    <row r="12" ht="36" customHeight="1" s="137">
      <c r="A12" s="178" t="inlineStr">
        <is>
          <t>2025-02-21</t>
        </is>
      </c>
      <c r="B12" s="178" t="inlineStr">
        <is>
          <t>EOEB LLC</t>
        </is>
      </c>
      <c r="C12" s="183" t="n">
        <v>105000</v>
      </c>
      <c r="D12" s="178" t="inlineStr">
        <is>
          <t>IN</t>
        </is>
      </c>
      <c r="E12" s="184" t="inlineStr">
        <is>
          <t>ART_SALE</t>
        </is>
      </c>
      <c r="F12" s="181" t="inlineStr">
        <is>
          <t>MATCHED</t>
        </is>
      </c>
      <c r="G12" s="178" t="inlineStr">
        <is>
          <t>Three Ancient Mosaics — Sale Price</t>
        </is>
      </c>
      <c r="H12" s="178" t="inlineStr">
        <is>
          <t>YES</t>
        </is>
      </c>
      <c r="I12" s="178" t="inlineStr">
        <is>
          <t>no</t>
        </is>
      </c>
      <c r="J12" s="178" t="inlineStr">
        <is>
          <t>Transfer</t>
        </is>
      </c>
      <c r="K12" s="178" t="inlineStr">
        <is>
          <t>Incoming Wire; MAKE A PAYMENT; Merchant name: EOEB LLC</t>
        </is>
      </c>
      <c r="L12" s="182" t="inlineStr">
        <is>
          <t>EOEB LLC MAKE A PAYMENT. Matches Art Sales to Jonathan Yantis $105,000.</t>
        </is>
      </c>
    </row>
    <row r="13" ht="36" customHeight="1" s="137">
      <c r="A13" s="178" t="inlineStr">
        <is>
          <t>2025-02-24</t>
        </is>
      </c>
      <c r="B13" s="178" t="inlineStr">
        <is>
          <t>Bank of America - Checking ••9922</t>
        </is>
      </c>
      <c r="C13" s="179" t="n">
        <v>-90000</v>
      </c>
      <c r="D13" s="178" t="inlineStr">
        <is>
          <t>OUT</t>
        </is>
      </c>
      <c r="E13" s="186" t="inlineStr">
        <is>
          <t>TRANSFER</t>
        </is>
      </c>
      <c r="F13" s="181" t="inlineStr">
        <is>
          <t>LOCKED</t>
        </is>
      </c>
      <c r="G13" s="178" t="inlineStr">
        <is>
          <t>Owner transfer to BoA 9922</t>
        </is>
      </c>
      <c r="H13" s="178" t="inlineStr">
        <is>
          <t>no</t>
        </is>
      </c>
      <c r="I13" s="178" t="inlineStr">
        <is>
          <t>no</t>
        </is>
      </c>
      <c r="J13" s="178" t="inlineStr">
        <is>
          <t>Transfer</t>
        </is>
      </c>
      <c r="K13" s="178" t="inlineStr">
        <is>
          <t>Transfer from Mercury to another bank account; Merchant name: Bank of America - Checking ••9922</t>
        </is>
      </c>
      <c r="L13" s="182" t="inlineStr">
        <is>
          <t>Not EPGC P&amp;L.</t>
        </is>
      </c>
    </row>
    <row r="14" ht="36" customHeight="1" s="137">
      <c r="A14" s="178" t="inlineStr">
        <is>
          <t>2025-02-24</t>
        </is>
      </c>
      <c r="B14" s="178" t="inlineStr">
        <is>
          <t>Jamal M Rifai</t>
        </is>
      </c>
      <c r="C14" s="179" t="n">
        <v>-10</v>
      </c>
      <c r="D14" s="178" t="inlineStr">
        <is>
          <t>OUT</t>
        </is>
      </c>
      <c r="E14" s="186" t="inlineStr">
        <is>
          <t>TEST</t>
        </is>
      </c>
      <c r="F14" s="181" t="inlineStr">
        <is>
          <t>LOCKED</t>
        </is>
      </c>
      <c r="G14" s="178" t="inlineStr">
        <is>
          <t>$10 test (Jamal or Plutus)</t>
        </is>
      </c>
      <c r="H14" s="178" t="inlineStr">
        <is>
          <t>no</t>
        </is>
      </c>
      <c r="I14" s="178" t="inlineStr">
        <is>
          <t>no</t>
        </is>
      </c>
      <c r="J14" s="178" t="inlineStr">
        <is>
          <t>Transfer</t>
        </is>
      </c>
      <c r="K14" s="178" t="inlineStr">
        <is>
          <t>Merchant name: Jamal M Rifai</t>
        </is>
      </c>
      <c r="L14" s="182" t="inlineStr">
        <is>
          <t>Not P&amp;L. If this is the Plutus $10, it is the first $10 of the $50,000 mosaics cost; the $49,990 follows 2/25.</t>
        </is>
      </c>
    </row>
    <row r="15" ht="36" customHeight="1" s="137">
      <c r="A15" s="178" t="inlineStr">
        <is>
          <t>2025-02-24</t>
        </is>
      </c>
      <c r="B15" s="178" t="inlineStr">
        <is>
          <t>Plutus &amp; Mnemosyne, LLC</t>
        </is>
      </c>
      <c r="C15" s="179" t="n">
        <v>-10</v>
      </c>
      <c r="D15" s="178" t="inlineStr">
        <is>
          <t>OUT</t>
        </is>
      </c>
      <c r="E15" s="186" t="inlineStr">
        <is>
          <t>TEST</t>
        </is>
      </c>
      <c r="F15" s="181" t="inlineStr">
        <is>
          <t>LOCKED</t>
        </is>
      </c>
      <c r="G15" s="178" t="inlineStr">
        <is>
          <t>$10 test (Jamal or Plutus)</t>
        </is>
      </c>
      <c r="H15" s="178" t="inlineStr">
        <is>
          <t>no</t>
        </is>
      </c>
      <c r="I15" s="178" t="inlineStr">
        <is>
          <t>no</t>
        </is>
      </c>
      <c r="J15" s="178" t="inlineStr">
        <is>
          <t xml:space="preserve">Business Investment </t>
        </is>
      </c>
      <c r="K15" s="178" t="inlineStr">
        <is>
          <t>Merchant name: Plutus &amp; Mnemosyne, LLC</t>
        </is>
      </c>
      <c r="L15" s="182" t="inlineStr">
        <is>
          <t>Not P&amp;L. If this is the Plutus $10, it is the first $10 of the $50,000 mosaics cost; the $49,990 follows 2/25.</t>
        </is>
      </c>
    </row>
    <row r="16" ht="36" customHeight="1" s="137">
      <c r="A16" s="178" t="inlineStr">
        <is>
          <t>2025-02-24</t>
        </is>
      </c>
      <c r="B16" s="178" t="inlineStr">
        <is>
          <t>EPGC LLC</t>
        </is>
      </c>
      <c r="C16" s="179" t="n">
        <v>10</v>
      </c>
      <c r="D16" s="178" t="inlineStr">
        <is>
          <t>IN</t>
        </is>
      </c>
      <c r="E16" s="186" t="inlineStr">
        <is>
          <t>TEST</t>
        </is>
      </c>
      <c r="F16" s="181" t="inlineStr">
        <is>
          <t>LOCKED</t>
        </is>
      </c>
      <c r="G16" s="178" t="inlineStr">
        <is>
          <t>$10 test wire EPGC</t>
        </is>
      </c>
      <c r="H16" s="178" t="inlineStr">
        <is>
          <t>no</t>
        </is>
      </c>
      <c r="I16" s="178" t="inlineStr">
        <is>
          <t>no</t>
        </is>
      </c>
      <c r="J16" s="178" t="inlineStr">
        <is>
          <t>Transfer</t>
        </is>
      </c>
      <c r="K16" s="178" t="inlineStr">
        <is>
          <t>Incoming Wire; Merchant name: EPGC LLC</t>
        </is>
      </c>
      <c r="L16" s="182" t="inlineStr">
        <is>
          <t>Not P&amp;L.</t>
        </is>
      </c>
    </row>
    <row r="17" ht="36" customHeight="1" s="137">
      <c r="A17" s="178" t="inlineStr">
        <is>
          <t>2025-02-25</t>
        </is>
      </c>
      <c r="B17" s="178" t="inlineStr">
        <is>
          <t>Plutus &amp; Mnemosyne, LLC</t>
        </is>
      </c>
      <c r="C17" s="179" t="n">
        <v>-49990</v>
      </c>
      <c r="D17" s="178" t="inlineStr">
        <is>
          <t>OUT</t>
        </is>
      </c>
      <c r="E17" s="180" t="inlineStr">
        <is>
          <t>ART_PURCHASE</t>
        </is>
      </c>
      <c r="F17" s="181" t="inlineStr">
        <is>
          <t>MATCHED</t>
        </is>
      </c>
      <c r="G17" s="178" t="inlineStr">
        <is>
          <t>Three Ancient Mosaics — partial COGS</t>
        </is>
      </c>
      <c r="H17" s="178" t="inlineStr">
        <is>
          <t>no</t>
        </is>
      </c>
      <c r="I17" s="178" t="inlineStr">
        <is>
          <t>no</t>
        </is>
      </c>
      <c r="J17" s="178" t="inlineStr">
        <is>
          <t xml:space="preserve">Business Investment </t>
        </is>
      </c>
      <c r="K17" s="178" t="inlineStr">
        <is>
          <t>Merchant name: Plutus &amp; Mnemosyne, LLC</t>
        </is>
      </c>
      <c r="L17" s="182" t="inlineStr">
        <is>
          <t>Plutus &amp; Mnemosyne LLC. With the 2/24 $10 test this is $50,000 of the $90,000 mosaics Cost. $40,000 of Cost is not on Mercury 8291.</t>
        </is>
      </c>
    </row>
    <row r="18" ht="36" customHeight="1" s="137">
      <c r="A18" s="178" t="inlineStr">
        <is>
          <t>2025-03-10</t>
        </is>
      </c>
      <c r="B18" s="178" t="inlineStr">
        <is>
          <t>EOEB LLC</t>
        </is>
      </c>
      <c r="C18" s="139" t="n">
        <v>14000</v>
      </c>
      <c r="D18" s="178" t="inlineStr">
        <is>
          <t>IN</t>
        </is>
      </c>
      <c r="E18" s="185" t="inlineStr">
        <is>
          <t>ADVISORY</t>
        </is>
      </c>
      <c r="F18" s="185" t="inlineStr">
        <is>
          <t>ASK</t>
        </is>
      </c>
      <c r="G18" s="178" t="inlineStr">
        <is>
          <t>EOEB — sale vs art advisory</t>
        </is>
      </c>
      <c r="H18" s="178" t="inlineStr">
        <is>
          <t>no</t>
        </is>
      </c>
      <c r="I18" s="178" t="inlineStr">
        <is>
          <t>no — ASK first</t>
        </is>
      </c>
      <c r="J18" s="178" t="inlineStr">
        <is>
          <t>Business Income</t>
        </is>
      </c>
      <c r="K18" s="178" t="inlineStr">
        <is>
          <t>Incoming Wire; MAKE A PAYMENT; Merchant name: EOEB LLC</t>
        </is>
      </c>
      <c r="L18" s="182" t="inlineStr">
        <is>
          <t>Invoice / MAKE A PAYMENT. Not matched to an Art Sales object. Proposed advisory (Consultant) until you say otherwise.</t>
        </is>
      </c>
    </row>
    <row r="19" ht="36" customHeight="1" s="137">
      <c r="A19" s="178" t="inlineStr">
        <is>
          <t>2025-05-01</t>
        </is>
      </c>
      <c r="B19" s="178" t="inlineStr">
        <is>
          <t>EOEB LLC</t>
        </is>
      </c>
      <c r="C19" s="139" t="n">
        <v>21000</v>
      </c>
      <c r="D19" s="178" t="inlineStr">
        <is>
          <t>IN</t>
        </is>
      </c>
      <c r="E19" s="185" t="inlineStr">
        <is>
          <t>ADVISORY</t>
        </is>
      </c>
      <c r="F19" s="185" t="inlineStr">
        <is>
          <t>ASK</t>
        </is>
      </c>
      <c r="G19" s="178" t="inlineStr">
        <is>
          <t>EOEB — sale vs art advisory</t>
        </is>
      </c>
      <c r="H19" s="178" t="inlineStr">
        <is>
          <t>no</t>
        </is>
      </c>
      <c r="I19" s="178" t="inlineStr">
        <is>
          <t>no — ASK first</t>
        </is>
      </c>
      <c r="J19" s="178" t="inlineStr">
        <is>
          <t>Business Income</t>
        </is>
      </c>
      <c r="K19" s="178" t="inlineStr">
        <is>
          <t>Incoming Wire; MAKE A PAYMENT; Merchant name: EOEB LLC</t>
        </is>
      </c>
      <c r="L19" s="182" t="inlineStr">
        <is>
          <t>Invoice / MAKE A PAYMENT. Proposed advisory until confirmed.</t>
        </is>
      </c>
    </row>
    <row r="20" ht="36" customHeight="1" s="137">
      <c r="A20" s="178" t="inlineStr">
        <is>
          <t>2025-05-09</t>
        </is>
      </c>
      <c r="B20" s="178" t="inlineStr">
        <is>
          <t>Erdal Dere (Fortuna)</t>
        </is>
      </c>
      <c r="C20" s="139" t="n">
        <v>-20000</v>
      </c>
      <c r="D20" s="178" t="inlineStr">
        <is>
          <t>OUT</t>
        </is>
      </c>
      <c r="E20" s="180" t="inlineStr">
        <is>
          <t>ART_PURCHASE</t>
        </is>
      </c>
      <c r="F20" s="185" t="inlineStr">
        <is>
          <t>ASK</t>
        </is>
      </c>
      <c r="G20" s="178" t="inlineStr">
        <is>
          <t>Fortuna / Erdal — inventory vs other</t>
        </is>
      </c>
      <c r="H20" s="178" t="inlineStr">
        <is>
          <t>no</t>
        </is>
      </c>
      <c r="I20" s="178" t="inlineStr">
        <is>
          <t>no</t>
        </is>
      </c>
      <c r="J20" s="178" t="inlineStr">
        <is>
          <t xml:space="preserve">Business Investment </t>
        </is>
      </c>
      <c r="K20" s="178" t="inlineStr">
        <is>
          <t>Merchant name: Erdal Dere (Fortuna)</t>
        </is>
      </c>
      <c r="L20" s="182" t="inlineStr">
        <is>
          <t>After seals $13,000. Object name? Inventory purchase (COGS when sold) or something else?</t>
        </is>
      </c>
    </row>
    <row r="21" ht="36" customHeight="1" s="137">
      <c r="A21" s="178" t="inlineStr">
        <is>
          <t>2025-05-13</t>
        </is>
      </c>
      <c r="B21" s="178" t="inlineStr">
        <is>
          <t>EOEB LLC</t>
        </is>
      </c>
      <c r="C21" s="139" t="n">
        <v>16200</v>
      </c>
      <c r="D21" s="178" t="inlineStr">
        <is>
          <t>IN</t>
        </is>
      </c>
      <c r="E21" s="185" t="inlineStr">
        <is>
          <t>ADVISORY</t>
        </is>
      </c>
      <c r="F21" s="185" t="inlineStr">
        <is>
          <t>ASK</t>
        </is>
      </c>
      <c r="G21" s="178" t="inlineStr">
        <is>
          <t>EOEB — sale vs art advisory</t>
        </is>
      </c>
      <c r="H21" s="178" t="inlineStr">
        <is>
          <t>no</t>
        </is>
      </c>
      <c r="I21" s="178" t="inlineStr">
        <is>
          <t>no — ASK first</t>
        </is>
      </c>
      <c r="J21" s="178" t="inlineStr">
        <is>
          <t>Business Income</t>
        </is>
      </c>
      <c r="K21" s="178" t="inlineStr">
        <is>
          <t>Incoming Wire; MAKE A PAYMENT; Merchant name: EOEB LLC</t>
        </is>
      </c>
      <c r="L21" s="182" t="inlineStr">
        <is>
          <t>Invoice / MAKE A PAYMENT. Proposed advisory until confirmed.</t>
        </is>
      </c>
    </row>
    <row r="22" ht="36" customHeight="1" s="137">
      <c r="A22" s="178" t="inlineStr">
        <is>
          <t>2025-06-12</t>
        </is>
      </c>
      <c r="B22" s="178" t="inlineStr">
        <is>
          <t>EOEB LLC</t>
        </is>
      </c>
      <c r="C22" s="139" t="n">
        <v>3300</v>
      </c>
      <c r="D22" s="178" t="inlineStr">
        <is>
          <t>IN</t>
        </is>
      </c>
      <c r="E22" s="185" t="inlineStr">
        <is>
          <t>ADVISORY</t>
        </is>
      </c>
      <c r="F22" s="185" t="inlineStr">
        <is>
          <t>ASK</t>
        </is>
      </c>
      <c r="G22" s="178" t="inlineStr">
        <is>
          <t>EOEB — sale vs art advisory</t>
        </is>
      </c>
      <c r="H22" s="178" t="inlineStr">
        <is>
          <t>no</t>
        </is>
      </c>
      <c r="I22" s="178" t="inlineStr">
        <is>
          <t>no — ASK first</t>
        </is>
      </c>
      <c r="J22" s="178" t="inlineStr">
        <is>
          <t>Business Income</t>
        </is>
      </c>
      <c r="K22" s="178" t="inlineStr">
        <is>
          <t>Incoming Wire; MAKE A PAYMENT; Merchant name: EOEB LLC</t>
        </is>
      </c>
      <c r="L22" s="182" t="inlineStr">
        <is>
          <t>Invoice / MAKE A PAYMENT. Proposed advisory until confirmed.</t>
        </is>
      </c>
    </row>
    <row r="23" ht="36" customHeight="1" s="137">
      <c r="A23" s="178" t="inlineStr">
        <is>
          <t>2025-06-12</t>
        </is>
      </c>
      <c r="B23" s="178" t="inlineStr">
        <is>
          <t>EOEB LLC</t>
        </is>
      </c>
      <c r="C23" s="139" t="n">
        <v>25000</v>
      </c>
      <c r="D23" s="178" t="inlineStr">
        <is>
          <t>IN</t>
        </is>
      </c>
      <c r="E23" s="185" t="inlineStr">
        <is>
          <t>ADVISORY</t>
        </is>
      </c>
      <c r="F23" s="185" t="inlineStr">
        <is>
          <t>ASK</t>
        </is>
      </c>
      <c r="G23" s="178" t="inlineStr">
        <is>
          <t>EOEB — sale vs art advisory</t>
        </is>
      </c>
      <c r="H23" s="178" t="inlineStr">
        <is>
          <t>no</t>
        </is>
      </c>
      <c r="I23" s="178" t="inlineStr">
        <is>
          <t>no — ASK first</t>
        </is>
      </c>
      <c r="J23" s="178" t="inlineStr">
        <is>
          <t>Business Income</t>
        </is>
      </c>
      <c r="K23" s="178" t="inlineStr">
        <is>
          <t>Incoming Wire; MAKE A PAYMENT; Merchant name: EOEB LLC</t>
        </is>
      </c>
      <c r="L23" s="182" t="inlineStr">
        <is>
          <t>Invoice / MAKE A PAYMENT. Proposed advisory until confirmed.</t>
        </is>
      </c>
    </row>
    <row r="24" ht="36" customHeight="1" s="137">
      <c r="A24" s="178" t="inlineStr">
        <is>
          <t>2025-06-24</t>
        </is>
      </c>
      <c r="B24" s="178" t="inlineStr">
        <is>
          <t>DAVID AARON LIMITED</t>
        </is>
      </c>
      <c r="C24" s="139" t="n">
        <v>13595</v>
      </c>
      <c r="D24" s="178" t="inlineStr">
        <is>
          <t>IN</t>
        </is>
      </c>
      <c r="E24" s="184" t="inlineStr">
        <is>
          <t>ART_SALE</t>
        </is>
      </c>
      <c r="F24" s="185" t="inlineStr">
        <is>
          <t>PROPOSED</t>
        </is>
      </c>
      <c r="G24" s="178" t="inlineStr">
        <is>
          <t>David Aaron Limited — proposed art sale</t>
        </is>
      </c>
      <c r="H24" s="178" t="inlineStr">
        <is>
          <t>no</t>
        </is>
      </c>
      <c r="I24" s="178" t="inlineStr">
        <is>
          <t>no</t>
        </is>
      </c>
      <c r="J24" s="178" t="inlineStr">
        <is>
          <t>Business Income</t>
        </is>
      </c>
      <c r="K24" s="178" t="inlineStr">
        <is>
          <t>Auto-Routing transfer; Merchant name: DAVID AARON LIMITED</t>
        </is>
      </c>
      <c r="L24" s="182" t="inlineStr">
        <is>
          <t>London antiquities dealer; Request or Invoice Payment $13,595. Booked as a proposed sale (yellow) — confirm object / whether this is a purchase refund.</t>
        </is>
      </c>
    </row>
    <row r="25" ht="36" customHeight="1" s="137">
      <c r="A25" s="178" t="inlineStr">
        <is>
          <t>2025-07-03</t>
        </is>
      </c>
      <c r="B25" s="178" t="inlineStr">
        <is>
          <t>Bank of America - Checking ••9922</t>
        </is>
      </c>
      <c r="C25" s="179" t="n">
        <v>-40000</v>
      </c>
      <c r="D25" s="178" t="inlineStr">
        <is>
          <t>OUT</t>
        </is>
      </c>
      <c r="E25" s="186" t="inlineStr">
        <is>
          <t>TRANSFER</t>
        </is>
      </c>
      <c r="F25" s="181" t="inlineStr">
        <is>
          <t>LOCKED</t>
        </is>
      </c>
      <c r="G25" s="178" t="inlineStr">
        <is>
          <t>Owner transfer to BoA 9922</t>
        </is>
      </c>
      <c r="H25" s="178" t="inlineStr">
        <is>
          <t>no</t>
        </is>
      </c>
      <c r="I25" s="178" t="inlineStr">
        <is>
          <t>no</t>
        </is>
      </c>
      <c r="J25" s="178" t="inlineStr">
        <is>
          <t>Transfer</t>
        </is>
      </c>
      <c r="K25" s="178" t="inlineStr">
        <is>
          <t>Transfer from Mercury to another bank account; Merchant name: Bank of America - Checking ••9922</t>
        </is>
      </c>
      <c r="L25" s="182" t="inlineStr">
        <is>
          <t>Not EPGC P&amp;L.</t>
        </is>
      </c>
    </row>
    <row r="26" ht="36" customHeight="1" s="137">
      <c r="A26" s="178" t="inlineStr">
        <is>
          <t>2025-07-08</t>
        </is>
      </c>
      <c r="B26" s="178" t="inlineStr">
        <is>
          <t>EOEB LLC</t>
        </is>
      </c>
      <c r="C26" s="139" t="n">
        <v>2000</v>
      </c>
      <c r="D26" s="178" t="inlineStr">
        <is>
          <t>IN</t>
        </is>
      </c>
      <c r="E26" s="185" t="inlineStr">
        <is>
          <t>ADVISORY</t>
        </is>
      </c>
      <c r="F26" s="185" t="inlineStr">
        <is>
          <t>ASK</t>
        </is>
      </c>
      <c r="G26" s="178" t="inlineStr">
        <is>
          <t>EOEB — sale vs art advisory</t>
        </is>
      </c>
      <c r="H26" s="178" t="inlineStr">
        <is>
          <t>no</t>
        </is>
      </c>
      <c r="I26" s="178" t="inlineStr">
        <is>
          <t>no — ASK first</t>
        </is>
      </c>
      <c r="J26" s="178" t="inlineStr">
        <is>
          <t>Transfer</t>
        </is>
      </c>
      <c r="K26" s="178" t="inlineStr">
        <is>
          <t>Auto-Routing transfer; Merchant name: EOEB LLC</t>
        </is>
      </c>
      <c r="L26" s="182" t="inlineStr">
        <is>
          <t>Auto-Routing Request or Invoice Payment. Proposed advisory until confirmed.</t>
        </is>
      </c>
    </row>
    <row r="27" ht="36" customHeight="1" s="137">
      <c r="A27" s="178" t="inlineStr">
        <is>
          <t>2025-07-09</t>
        </is>
      </c>
      <c r="B27" s="178" t="inlineStr">
        <is>
          <t>Wise Inc</t>
        </is>
      </c>
      <c r="C27" s="139" t="n">
        <v>-334.17</v>
      </c>
      <c r="D27" s="178" t="inlineStr">
        <is>
          <t>OUT</t>
        </is>
      </c>
      <c r="E27" s="185" t="inlineStr">
        <is>
          <t>ASK</t>
        </is>
      </c>
      <c r="F27" s="185" t="inlineStr">
        <is>
          <t>ASK</t>
        </is>
      </c>
      <c r="G27" s="178" t="inlineStr">
        <is>
          <t>Wise — vendor / COGS / other</t>
        </is>
      </c>
      <c r="H27" s="178" t="inlineStr">
        <is>
          <t>no</t>
        </is>
      </c>
      <c r="I27" s="178" t="inlineStr">
        <is>
          <t>no</t>
        </is>
      </c>
      <c r="J27" s="178" t="inlineStr">
        <is>
          <t xml:space="preserve">Business Expense </t>
        </is>
      </c>
      <c r="K27" s="178" t="inlineStr">
        <is>
          <t>Wise Inc; WISE; EPGC LLC; Merchant name: Wise Inc</t>
        </is>
      </c>
      <c r="L27" s="182" t="inlineStr">
        <is>
          <t>International payment from EPGC. Not reimbursed. COGS, advisory cost, or personal?</t>
        </is>
      </c>
    </row>
    <row r="28" ht="36" customHeight="1" s="137">
      <c r="A28" s="178" t="inlineStr">
        <is>
          <t>2025-07-11</t>
        </is>
      </c>
      <c r="B28" s="178" t="inlineStr">
        <is>
          <t>L5</t>
        </is>
      </c>
      <c r="C28" s="139" t="n">
        <v>8534.790000000001</v>
      </c>
      <c r="D28" s="178" t="inlineStr">
        <is>
          <t>IN</t>
        </is>
      </c>
      <c r="E28" s="185" t="inlineStr">
        <is>
          <t>ADVISORY</t>
        </is>
      </c>
      <c r="F28" s="185" t="inlineStr">
        <is>
          <t>ASK</t>
        </is>
      </c>
      <c r="G28" s="178" t="inlineStr">
        <is>
          <t>L5 — sale vs art advisory</t>
        </is>
      </c>
      <c r="H28" s="178" t="inlineStr">
        <is>
          <t>no</t>
        </is>
      </c>
      <c r="I28" s="178" t="inlineStr">
        <is>
          <t>no — ASK first</t>
        </is>
      </c>
      <c r="J28" s="178" t="inlineStr">
        <is>
          <t>Business Income</t>
        </is>
      </c>
      <c r="K28" s="178" t="inlineStr">
        <is>
          <t>Auto-Routing transfer; Merchant name: L5</t>
        </is>
      </c>
      <c r="L28" s="182" t="inlineStr">
        <is>
          <t>Auto-Routing Request or Invoice Payment. Same invoice pattern as EOEB. Proposed advisory until confirmed.</t>
        </is>
      </c>
    </row>
    <row r="29" ht="36" customHeight="1" s="137">
      <c r="A29" s="178" t="inlineStr">
        <is>
          <t>2025-07-15</t>
        </is>
      </c>
      <c r="B29" s="178" t="inlineStr">
        <is>
          <t>L5</t>
        </is>
      </c>
      <c r="C29" s="139" t="n">
        <v>2500</v>
      </c>
      <c r="D29" s="178" t="inlineStr">
        <is>
          <t>IN</t>
        </is>
      </c>
      <c r="E29" s="185" t="inlineStr">
        <is>
          <t>ADVISORY</t>
        </is>
      </c>
      <c r="F29" s="185" t="inlineStr">
        <is>
          <t>ASK</t>
        </is>
      </c>
      <c r="G29" s="178" t="inlineStr">
        <is>
          <t>L5 — sale vs art advisory</t>
        </is>
      </c>
      <c r="H29" s="178" t="inlineStr">
        <is>
          <t>no</t>
        </is>
      </c>
      <c r="I29" s="178" t="inlineStr">
        <is>
          <t>no — ASK first</t>
        </is>
      </c>
      <c r="J29" s="178" t="inlineStr">
        <is>
          <t>Business Income</t>
        </is>
      </c>
      <c r="K29" s="178" t="inlineStr">
        <is>
          <t>Auto-Routing transfer; Merchant name: L5</t>
        </is>
      </c>
      <c r="L29" s="182" t="inlineStr">
        <is>
          <t>Auto-Routing Request or Invoice Payment. Proposed advisory until confirmed.</t>
        </is>
      </c>
    </row>
    <row r="30" ht="36" customHeight="1" s="137">
      <c r="A30" s="178" t="inlineStr">
        <is>
          <t>2025-07-15</t>
        </is>
      </c>
      <c r="B30" s="178" t="inlineStr">
        <is>
          <t>L5</t>
        </is>
      </c>
      <c r="C30" s="139" t="n">
        <v>50000</v>
      </c>
      <c r="D30" s="178" t="inlineStr">
        <is>
          <t>IN</t>
        </is>
      </c>
      <c r="E30" s="185" t="inlineStr">
        <is>
          <t>ADVISORY</t>
        </is>
      </c>
      <c r="F30" s="185" t="inlineStr">
        <is>
          <t>ASK</t>
        </is>
      </c>
      <c r="G30" s="178" t="inlineStr">
        <is>
          <t>L5 $50,000 — sale vs art advisory vs pass-through</t>
        </is>
      </c>
      <c r="H30" s="178" t="inlineStr">
        <is>
          <t>no</t>
        </is>
      </c>
      <c r="I30" s="178" t="inlineStr">
        <is>
          <t>no — ASK first</t>
        </is>
      </c>
      <c r="J30" s="178" t="inlineStr">
        <is>
          <t>Transfer</t>
        </is>
      </c>
      <c r="K30" s="178" t="inlineStr">
        <is>
          <t>Auto-Routing transfer; Merchant name: L5</t>
        </is>
      </c>
      <c r="L30" s="182" t="inlineStr">
        <is>
          <t>Largest L5 invoice. Sale of an object, advisory, or pass-through? Same week as Aysel $50k IN and Fortuna $45k OUT.</t>
        </is>
      </c>
    </row>
    <row r="31" ht="36" customHeight="1" s="137">
      <c r="A31" s="178" t="inlineStr">
        <is>
          <t>2025-07-18</t>
        </is>
      </c>
      <c r="B31" s="178" t="inlineStr">
        <is>
          <t>Aysel Dere</t>
        </is>
      </c>
      <c r="C31" s="139" t="n">
        <v>50000</v>
      </c>
      <c r="D31" s="178" t="inlineStr">
        <is>
          <t>IN</t>
        </is>
      </c>
      <c r="E31" s="185" t="inlineStr">
        <is>
          <t>ASK</t>
        </is>
      </c>
      <c r="F31" s="185" t="inlineStr">
        <is>
          <t>ASK</t>
        </is>
      </c>
      <c r="G31" s="178" t="inlineStr">
        <is>
          <t>Aysel Dere $50,000 IN</t>
        </is>
      </c>
      <c r="H31" s="178" t="inlineStr">
        <is>
          <t>no</t>
        </is>
      </c>
      <c r="I31" s="178" t="inlineStr">
        <is>
          <t>no</t>
        </is>
      </c>
      <c r="J31" s="178" t="inlineStr">
        <is>
          <t>Transfer</t>
        </is>
      </c>
      <c r="K31" s="178" t="inlineStr">
        <is>
          <t>Merchant name: Aysel Dere</t>
        </is>
      </c>
      <c r="L31" s="182" t="inlineStr">
        <is>
          <t>Same week as L5 $50k, Fortuna $45k OUT (7/21), Erdal $26k IN (7/24). Sale, family/related transfer, or inventory reverse?</t>
        </is>
      </c>
    </row>
    <row r="32" ht="36" customHeight="1" s="137">
      <c r="A32" s="178" t="inlineStr">
        <is>
          <t>2025-07-21</t>
        </is>
      </c>
      <c r="B32" s="178" t="inlineStr">
        <is>
          <t>Erdal Dere (Fortuna)</t>
        </is>
      </c>
      <c r="C32" s="139" t="n">
        <v>-45000</v>
      </c>
      <c r="D32" s="178" t="inlineStr">
        <is>
          <t>OUT</t>
        </is>
      </c>
      <c r="E32" s="180" t="inlineStr">
        <is>
          <t>ART_PURCHASE</t>
        </is>
      </c>
      <c r="F32" s="185" t="inlineStr">
        <is>
          <t>ASK</t>
        </is>
      </c>
      <c r="G32" s="178" t="inlineStr">
        <is>
          <t>Fortuna / Erdal — inventory vs other</t>
        </is>
      </c>
      <c r="H32" s="178" t="inlineStr">
        <is>
          <t>no</t>
        </is>
      </c>
      <c r="I32" s="178" t="inlineStr">
        <is>
          <t>no</t>
        </is>
      </c>
      <c r="J32" s="178" t="inlineStr">
        <is>
          <t xml:space="preserve">Business Investment </t>
        </is>
      </c>
      <c r="K32" s="178" t="inlineStr">
        <is>
          <t>Merchant name: Erdal Dere (Fortuna)</t>
        </is>
      </c>
      <c r="L32" s="182" t="inlineStr">
        <is>
          <t>Object name? Ties to Aysel $50k / Erdal $26k the same week?</t>
        </is>
      </c>
    </row>
    <row r="33" ht="36" customHeight="1" s="137">
      <c r="A33" s="178" t="inlineStr">
        <is>
          <t>2025-07-24</t>
        </is>
      </c>
      <c r="B33" s="178" t="inlineStr">
        <is>
          <t>ERDAL DERE</t>
        </is>
      </c>
      <c r="C33" s="139" t="n">
        <v>26000</v>
      </c>
      <c r="D33" s="178" t="inlineStr">
        <is>
          <t>IN</t>
        </is>
      </c>
      <c r="E33" s="184" t="inlineStr">
        <is>
          <t>ART_SALE</t>
        </is>
      </c>
      <c r="F33" s="185" t="inlineStr">
        <is>
          <t>ASK</t>
        </is>
      </c>
      <c r="G33" s="178" t="inlineStr">
        <is>
          <t>Erdal Dere $26,000 IN — sale vs other</t>
        </is>
      </c>
      <c r="H33" s="178" t="inlineStr">
        <is>
          <t>no</t>
        </is>
      </c>
      <c r="I33" s="178" t="inlineStr">
        <is>
          <t>no</t>
        </is>
      </c>
      <c r="J33" s="178" t="inlineStr">
        <is>
          <t>Business Income</t>
        </is>
      </c>
      <c r="K33" s="178" t="inlineStr">
        <is>
          <t>Incoming Wire; Merchant name: ERDAL DERE</t>
        </is>
      </c>
      <c r="L33" s="182" t="inlineStr">
        <is>
          <t>Incoming wire ERDAL DERE. Sale of inventory to Erdal, repayment, or advisory?</t>
        </is>
      </c>
    </row>
    <row r="34" ht="36" customHeight="1" s="137">
      <c r="A34" s="178" t="inlineStr">
        <is>
          <t>2025-07-28</t>
        </is>
      </c>
      <c r="B34" s="178" t="inlineStr">
        <is>
          <t>Bank of America - Checking ••9922</t>
        </is>
      </c>
      <c r="C34" s="179" t="n">
        <v>-60000</v>
      </c>
      <c r="D34" s="178" t="inlineStr">
        <is>
          <t>OUT</t>
        </is>
      </c>
      <c r="E34" s="186" t="inlineStr">
        <is>
          <t>TRANSFER</t>
        </is>
      </c>
      <c r="F34" s="181" t="inlineStr">
        <is>
          <t>LOCKED</t>
        </is>
      </c>
      <c r="G34" s="178" t="inlineStr">
        <is>
          <t>Owner transfer to BoA 9922</t>
        </is>
      </c>
      <c r="H34" s="178" t="inlineStr">
        <is>
          <t>no</t>
        </is>
      </c>
      <c r="I34" s="178" t="inlineStr">
        <is>
          <t>no</t>
        </is>
      </c>
      <c r="J34" s="178" t="inlineStr">
        <is>
          <t>Transfer</t>
        </is>
      </c>
      <c r="K34" s="178" t="inlineStr">
        <is>
          <t>Transfer from Mercury to another bank account; Merchant name: Bank of America - Checking ••9922</t>
        </is>
      </c>
      <c r="L34" s="182" t="inlineStr">
        <is>
          <t>Not EPGC P&amp;L.</t>
        </is>
      </c>
    </row>
    <row r="35" ht="36" customHeight="1" s="137">
      <c r="A35" s="178" t="inlineStr">
        <is>
          <t>2025-08-15</t>
        </is>
      </c>
      <c r="B35" s="178" t="inlineStr">
        <is>
          <t>Erdal Dere (Fortuna)</t>
        </is>
      </c>
      <c r="C35" s="139" t="n">
        <v>-20000</v>
      </c>
      <c r="D35" s="178" t="inlineStr">
        <is>
          <t>OUT</t>
        </is>
      </c>
      <c r="E35" s="180" t="inlineStr">
        <is>
          <t>ART_PURCHASE</t>
        </is>
      </c>
      <c r="F35" s="185" t="inlineStr">
        <is>
          <t>ASK</t>
        </is>
      </c>
      <c r="G35" s="178" t="inlineStr">
        <is>
          <t>Fortuna / Erdal — inventory vs other</t>
        </is>
      </c>
      <c r="H35" s="178" t="inlineStr">
        <is>
          <t>no</t>
        </is>
      </c>
      <c r="I35" s="178" t="inlineStr">
        <is>
          <t>no</t>
        </is>
      </c>
      <c r="J35" s="178" t="inlineStr">
        <is>
          <t xml:space="preserve">Business Investment </t>
        </is>
      </c>
      <c r="K35" s="178" t="inlineStr">
        <is>
          <t>Merchant name: Erdal Dere (Fortuna)</t>
        </is>
      </c>
      <c r="L35" s="182" t="inlineStr">
        <is>
          <t>Object name?</t>
        </is>
      </c>
    </row>
    <row r="36" ht="36" customHeight="1" s="137">
      <c r="A36" s="178" t="inlineStr">
        <is>
          <t>2025-08-29</t>
        </is>
      </c>
      <c r="B36" s="178" t="inlineStr">
        <is>
          <t>EOEB LLC</t>
        </is>
      </c>
      <c r="C36" s="139" t="n">
        <v>10000</v>
      </c>
      <c r="D36" s="178" t="inlineStr">
        <is>
          <t>IN</t>
        </is>
      </c>
      <c r="E36" s="185" t="inlineStr">
        <is>
          <t>ADVISORY</t>
        </is>
      </c>
      <c r="F36" s="185" t="inlineStr">
        <is>
          <t>ASK</t>
        </is>
      </c>
      <c r="G36" s="178" t="inlineStr">
        <is>
          <t>EOEB — sale vs art advisory</t>
        </is>
      </c>
      <c r="H36" s="178" t="inlineStr">
        <is>
          <t>no</t>
        </is>
      </c>
      <c r="I36" s="178" t="inlineStr">
        <is>
          <t>no — ASK first</t>
        </is>
      </c>
      <c r="J36" s="178" t="inlineStr">
        <is>
          <t>Business Income</t>
        </is>
      </c>
      <c r="K36" s="178" t="inlineStr">
        <is>
          <t>Auto-Routing transfer; Merchant name: EOEB LLC</t>
        </is>
      </c>
      <c r="L36" s="182" t="inlineStr">
        <is>
          <t>Auto-Routing. Proposed advisory until confirmed.</t>
        </is>
      </c>
    </row>
    <row r="37" ht="36" customHeight="1" s="137">
      <c r="A37" s="178" t="inlineStr">
        <is>
          <t>2025-09-02</t>
        </is>
      </c>
      <c r="B37" s="178" t="inlineStr">
        <is>
          <t>L5</t>
        </is>
      </c>
      <c r="C37" s="139" t="n">
        <v>5042</v>
      </c>
      <c r="D37" s="178" t="inlineStr">
        <is>
          <t>IN</t>
        </is>
      </c>
      <c r="E37" s="185" t="inlineStr">
        <is>
          <t>ADVISORY</t>
        </is>
      </c>
      <c r="F37" s="185" t="inlineStr">
        <is>
          <t>ASK</t>
        </is>
      </c>
      <c r="G37" s="178" t="inlineStr">
        <is>
          <t>L5 — sale vs art advisory</t>
        </is>
      </c>
      <c r="H37" s="178" t="inlineStr">
        <is>
          <t>no</t>
        </is>
      </c>
      <c r="I37" s="178" t="inlineStr">
        <is>
          <t>no — ASK first</t>
        </is>
      </c>
      <c r="J37" s="178" t="inlineStr">
        <is>
          <t>Business Income</t>
        </is>
      </c>
      <c r="K37" s="178" t="inlineStr">
        <is>
          <t>Auto-Routing transfer; Merchant name: L5</t>
        </is>
      </c>
      <c r="L37" s="182" t="inlineStr">
        <is>
          <t>Auto-Routing. Proposed advisory until confirmed.</t>
        </is>
      </c>
    </row>
    <row r="38" ht="36" customHeight="1" s="137">
      <c r="A38" s="178" t="inlineStr">
        <is>
          <t>2025-09-04</t>
        </is>
      </c>
      <c r="B38" s="178" t="inlineStr">
        <is>
          <t>COINBASE INC.</t>
        </is>
      </c>
      <c r="C38" s="183" t="n">
        <v>-3000</v>
      </c>
      <c r="D38" s="178" t="inlineStr">
        <is>
          <t>OUT</t>
        </is>
      </c>
      <c r="E38" s="187" t="inlineStr">
        <is>
          <t>INVESTMENT</t>
        </is>
      </c>
      <c r="F38" s="181" t="inlineStr">
        <is>
          <t>LOCKED</t>
        </is>
      </c>
      <c r="G38" s="178" t="inlineStr">
        <is>
          <t>Coinbase ACH funding</t>
        </is>
      </c>
      <c r="H38" s="178" t="inlineStr">
        <is>
          <t>no</t>
        </is>
      </c>
      <c r="I38" s="178" t="inlineStr">
        <is>
          <t>no</t>
        </is>
      </c>
      <c r="J38" s="178" t="inlineStr">
        <is>
          <t>Transfer</t>
        </is>
      </c>
      <c r="K38" s="178" t="inlineStr">
        <is>
          <t>COINBASE INC.; 2A0875F9; JACOB COLEY; Merchant name: COINBASE INC.</t>
        </is>
      </c>
      <c r="L38" s="182" t="inlineStr">
        <is>
          <t>Investment transfer off Mercury 8291. Not EPGC operating. Distinct from Coinbase 6108 credit-card spend.</t>
        </is>
      </c>
    </row>
    <row r="39" ht="36" customHeight="1" s="137">
      <c r="A39" s="178" t="inlineStr">
        <is>
          <t>2025-09-19</t>
        </is>
      </c>
      <c r="B39" s="178" t="inlineStr">
        <is>
          <t>EOEB LLC</t>
        </is>
      </c>
      <c r="C39" s="139" t="n">
        <v>5000</v>
      </c>
      <c r="D39" s="178" t="inlineStr">
        <is>
          <t>IN</t>
        </is>
      </c>
      <c r="E39" s="185" t="inlineStr">
        <is>
          <t>ADVISORY</t>
        </is>
      </c>
      <c r="F39" s="185" t="inlineStr">
        <is>
          <t>ASK</t>
        </is>
      </c>
      <c r="G39" s="178" t="inlineStr">
        <is>
          <t>EOEB — sale vs art advisory</t>
        </is>
      </c>
      <c r="H39" s="178" t="inlineStr">
        <is>
          <t>no</t>
        </is>
      </c>
      <c r="I39" s="178" t="inlineStr">
        <is>
          <t>no — ASK first</t>
        </is>
      </c>
      <c r="J39" s="178" t="inlineStr">
        <is>
          <t>Business Income</t>
        </is>
      </c>
      <c r="K39" s="178" t="inlineStr">
        <is>
          <t>Auto-Routing transfer; Merchant name: EOEB LLC</t>
        </is>
      </c>
      <c r="L39" s="182" t="inlineStr">
        <is>
          <t>Auto-Routing. Proposed advisory until confirmed.</t>
        </is>
      </c>
    </row>
    <row r="40" ht="36" customHeight="1" s="137">
      <c r="A40" s="178" t="inlineStr">
        <is>
          <t>2025-09-23</t>
        </is>
      </c>
      <c r="B40" s="178" t="inlineStr">
        <is>
          <t>L5</t>
        </is>
      </c>
      <c r="C40" s="139" t="n">
        <v>9119.27</v>
      </c>
      <c r="D40" s="178" t="inlineStr">
        <is>
          <t>IN</t>
        </is>
      </c>
      <c r="E40" s="185" t="inlineStr">
        <is>
          <t>ADVISORY</t>
        </is>
      </c>
      <c r="F40" s="185" t="inlineStr">
        <is>
          <t>ASK</t>
        </is>
      </c>
      <c r="G40" s="178" t="inlineStr">
        <is>
          <t>L5 — sale vs art advisory</t>
        </is>
      </c>
      <c r="H40" s="178" t="inlineStr">
        <is>
          <t>no</t>
        </is>
      </c>
      <c r="I40" s="178" t="inlineStr">
        <is>
          <t>no — ASK first</t>
        </is>
      </c>
      <c r="J40" s="178" t="inlineStr">
        <is>
          <t>Business Income</t>
        </is>
      </c>
      <c r="K40" s="178" t="inlineStr">
        <is>
          <t>Auto-Routing transfer; Merchant name: L5</t>
        </is>
      </c>
      <c r="L40" s="182" t="inlineStr">
        <is>
          <t>Auto-Routing. Proposed advisory until confirmed.</t>
        </is>
      </c>
    </row>
    <row r="41" ht="36" customHeight="1" s="137">
      <c r="A41" s="178" t="inlineStr">
        <is>
          <t>2025-09-25</t>
        </is>
      </c>
      <c r="B41" s="178" t="inlineStr">
        <is>
          <t>Bank of America - Checking ••9922</t>
        </is>
      </c>
      <c r="C41" s="179" t="n">
        <v>-40000</v>
      </c>
      <c r="D41" s="178" t="inlineStr">
        <is>
          <t>OUT</t>
        </is>
      </c>
      <c r="E41" s="186" t="inlineStr">
        <is>
          <t>TRANSFER</t>
        </is>
      </c>
      <c r="F41" s="181" t="inlineStr">
        <is>
          <t>LOCKED</t>
        </is>
      </c>
      <c r="G41" s="178" t="inlineStr">
        <is>
          <t>Owner transfer to BoA 9922</t>
        </is>
      </c>
      <c r="H41" s="178" t="inlineStr">
        <is>
          <t>no</t>
        </is>
      </c>
      <c r="I41" s="178" t="inlineStr">
        <is>
          <t>no</t>
        </is>
      </c>
      <c r="J41" s="178" t="inlineStr">
        <is>
          <t>Transfer</t>
        </is>
      </c>
      <c r="K41" s="178" t="inlineStr">
        <is>
          <t>Transfer from Mercury to another bank account; Merchant name: Bank of America - Checking ••9922</t>
        </is>
      </c>
      <c r="L41" s="182" t="inlineStr">
        <is>
          <t>Not EPGC P&amp;L.</t>
        </is>
      </c>
    </row>
    <row r="42" ht="36" customHeight="1" s="137">
      <c r="A42" s="178" t="inlineStr">
        <is>
          <t>2025-09-25</t>
        </is>
      </c>
      <c r="B42" s="178" t="inlineStr">
        <is>
          <t>EOEB LLC</t>
        </is>
      </c>
      <c r="C42" s="139" t="n">
        <v>3100</v>
      </c>
      <c r="D42" s="178" t="inlineStr">
        <is>
          <t>IN</t>
        </is>
      </c>
      <c r="E42" s="185" t="inlineStr">
        <is>
          <t>ADVISORY</t>
        </is>
      </c>
      <c r="F42" s="185" t="inlineStr">
        <is>
          <t>ASK</t>
        </is>
      </c>
      <c r="G42" s="178" t="inlineStr">
        <is>
          <t>EOEB — sale vs art advisory</t>
        </is>
      </c>
      <c r="H42" s="178" t="inlineStr">
        <is>
          <t>no</t>
        </is>
      </c>
      <c r="I42" s="178" t="inlineStr">
        <is>
          <t>no — ASK first</t>
        </is>
      </c>
      <c r="J42" s="178" t="inlineStr">
        <is>
          <t>Business Income</t>
        </is>
      </c>
      <c r="K42" s="178" t="inlineStr">
        <is>
          <t>Auto-Routing transfer; Merchant name: EOEB LLC</t>
        </is>
      </c>
      <c r="L42" s="182" t="inlineStr">
        <is>
          <t>Auto-Routing. Proposed advisory until confirmed.</t>
        </is>
      </c>
    </row>
    <row r="43" ht="36" customHeight="1" s="137">
      <c r="A43" s="178" t="inlineStr">
        <is>
          <t>2025-09-29</t>
        </is>
      </c>
      <c r="B43" s="178" t="inlineStr">
        <is>
          <t>COINBASE INC.</t>
        </is>
      </c>
      <c r="C43" s="183" t="n">
        <v>-6000</v>
      </c>
      <c r="D43" s="178" t="inlineStr">
        <is>
          <t>OUT</t>
        </is>
      </c>
      <c r="E43" s="187" t="inlineStr">
        <is>
          <t>INVESTMENT</t>
        </is>
      </c>
      <c r="F43" s="181" t="inlineStr">
        <is>
          <t>LOCKED</t>
        </is>
      </c>
      <c r="G43" s="178" t="inlineStr">
        <is>
          <t>Coinbase ACH funding</t>
        </is>
      </c>
      <c r="H43" s="178" t="inlineStr">
        <is>
          <t>no</t>
        </is>
      </c>
      <c r="I43" s="178" t="inlineStr">
        <is>
          <t>no</t>
        </is>
      </c>
      <c r="J43" s="178" t="inlineStr">
        <is>
          <t>Transfer</t>
        </is>
      </c>
      <c r="K43" s="178" t="inlineStr">
        <is>
          <t>COINBASE INC.; 27B17286; JACOB COLEY; Merchant name: COINBASE INC.</t>
        </is>
      </c>
      <c r="L43" s="182" t="inlineStr">
        <is>
          <t>Investment transfer. Not EPGC operating.</t>
        </is>
      </c>
    </row>
    <row r="44" ht="36" customHeight="1" s="137">
      <c r="A44" s="178" t="inlineStr">
        <is>
          <t>2025-10-01</t>
        </is>
      </c>
      <c r="B44" s="178" t="inlineStr">
        <is>
          <t>COINBASE INC.</t>
        </is>
      </c>
      <c r="C44" s="183" t="n">
        <v>-10000</v>
      </c>
      <c r="D44" s="178" t="inlineStr">
        <is>
          <t>OUT</t>
        </is>
      </c>
      <c r="E44" s="187" t="inlineStr">
        <is>
          <t>INVESTMENT</t>
        </is>
      </c>
      <c r="F44" s="181" t="inlineStr">
        <is>
          <t>LOCKED</t>
        </is>
      </c>
      <c r="G44" s="178" t="inlineStr">
        <is>
          <t>Coinbase ACH funding</t>
        </is>
      </c>
      <c r="H44" s="178" t="inlineStr">
        <is>
          <t>no</t>
        </is>
      </c>
      <c r="I44" s="178" t="inlineStr">
        <is>
          <t>no</t>
        </is>
      </c>
      <c r="J44" s="178" t="inlineStr">
        <is>
          <t>Transfer</t>
        </is>
      </c>
      <c r="K44" s="178" t="inlineStr">
        <is>
          <t>COINBASE INC.; E2C52DA9; JACOB COLEY; Merchant name: COINBASE INC.</t>
        </is>
      </c>
      <c r="L44" s="182" t="inlineStr">
        <is>
          <t>Investment transfer. Not EPGC operating.</t>
        </is>
      </c>
    </row>
    <row r="45" ht="36" customHeight="1" s="137">
      <c r="A45" s="178" t="inlineStr">
        <is>
          <t>2025-10-01</t>
        </is>
      </c>
      <c r="B45" s="178" t="inlineStr">
        <is>
          <t>EOEB LLC</t>
        </is>
      </c>
      <c r="C45" s="139" t="n">
        <v>10000</v>
      </c>
      <c r="D45" s="178" t="inlineStr">
        <is>
          <t>IN</t>
        </is>
      </c>
      <c r="E45" s="185" t="inlineStr">
        <is>
          <t>ADVISORY</t>
        </is>
      </c>
      <c r="F45" s="185" t="inlineStr">
        <is>
          <t>ASK</t>
        </is>
      </c>
      <c r="G45" s="178" t="inlineStr">
        <is>
          <t>EOEB — sale vs art advisory</t>
        </is>
      </c>
      <c r="H45" s="178" t="inlineStr">
        <is>
          <t>no</t>
        </is>
      </c>
      <c r="I45" s="178" t="inlineStr">
        <is>
          <t>no — ASK first</t>
        </is>
      </c>
      <c r="J45" s="178" t="inlineStr">
        <is>
          <t>Transfer</t>
        </is>
      </c>
      <c r="K45" s="178" t="inlineStr">
        <is>
          <t>Auto-Routing transfer; Merchant name: EOEB LLC</t>
        </is>
      </c>
      <c r="L45" s="182" t="inlineStr">
        <is>
          <t>Auto-Routing. Proposed advisory until confirmed.</t>
        </is>
      </c>
    </row>
    <row r="46" ht="36" customHeight="1" s="137">
      <c r="A46" s="178" t="inlineStr">
        <is>
          <t>2025-10-09</t>
        </is>
      </c>
      <c r="B46" s="178" t="inlineStr">
        <is>
          <t>Bank of America - Checking ••9922</t>
        </is>
      </c>
      <c r="C46" s="179" t="n">
        <v>-6172</v>
      </c>
      <c r="D46" s="178" t="inlineStr">
        <is>
          <t>OUT</t>
        </is>
      </c>
      <c r="E46" s="186" t="inlineStr">
        <is>
          <t>TRANSFER</t>
        </is>
      </c>
      <c r="F46" s="181" t="inlineStr">
        <is>
          <t>LOCKED</t>
        </is>
      </c>
      <c r="G46" s="178" t="inlineStr">
        <is>
          <t>Owner transfer to BoA 9922</t>
        </is>
      </c>
      <c r="H46" s="178" t="inlineStr">
        <is>
          <t>no</t>
        </is>
      </c>
      <c r="I46" s="178" t="inlineStr">
        <is>
          <t>no</t>
        </is>
      </c>
      <c r="J46" s="178" t="inlineStr">
        <is>
          <t>Transfer</t>
        </is>
      </c>
      <c r="K46" s="178" t="inlineStr">
        <is>
          <t>Transfer from Mercury to another bank account; Merchant name: Bank of America - Checking ••9922</t>
        </is>
      </c>
      <c r="L46" s="182" t="inlineStr">
        <is>
          <t>Not EPGC P&amp;L.</t>
        </is>
      </c>
    </row>
    <row r="47" ht="36" customHeight="1" s="137">
      <c r="A47" s="178" t="inlineStr">
        <is>
          <t>2025-10-09</t>
        </is>
      </c>
      <c r="B47" s="178" t="inlineStr">
        <is>
          <t>ERDAL DERE</t>
        </is>
      </c>
      <c r="C47" s="139" t="n">
        <v>25000</v>
      </c>
      <c r="D47" s="178" t="inlineStr">
        <is>
          <t>IN</t>
        </is>
      </c>
      <c r="E47" s="184" t="inlineStr">
        <is>
          <t>ART_SALE</t>
        </is>
      </c>
      <c r="F47" s="185" t="inlineStr">
        <is>
          <t>ASK</t>
        </is>
      </c>
      <c r="G47" s="178" t="inlineStr">
        <is>
          <t>Erdal Dere $25,000 IN — sale vs other</t>
        </is>
      </c>
      <c r="H47" s="178" t="inlineStr">
        <is>
          <t>no</t>
        </is>
      </c>
      <c r="I47" s="178" t="inlineStr">
        <is>
          <t>no</t>
        </is>
      </c>
      <c r="J47" s="178" t="inlineStr">
        <is>
          <t>Business Income</t>
        </is>
      </c>
      <c r="K47" s="178" t="inlineStr">
        <is>
          <t>Incoming Wire; Merchant name: ERDAL DERE</t>
        </is>
      </c>
      <c r="L47" s="182" t="inlineStr">
        <is>
          <t>Incoming wire ERDAL DERE. Sale of inventory to Erdal or something else?</t>
        </is>
      </c>
    </row>
    <row r="48" ht="36" customHeight="1" s="137">
      <c r="A48" s="178" t="inlineStr">
        <is>
          <t>2025-10-14</t>
        </is>
      </c>
      <c r="B48" s="178" t="inlineStr">
        <is>
          <t>Newstar Jewelers</t>
        </is>
      </c>
      <c r="C48" s="183" t="n">
        <v>-8000</v>
      </c>
      <c r="D48" s="178" t="inlineStr">
        <is>
          <t>OUT</t>
        </is>
      </c>
      <c r="E48" s="180" t="inlineStr">
        <is>
          <t>COGS_JEWELRY</t>
        </is>
      </c>
      <c r="F48" s="181" t="inlineStr">
        <is>
          <t>LOCKED</t>
        </is>
      </c>
      <c r="G48" s="178" t="inlineStr">
        <is>
          <t>Newstar Jewelers — jewelry fabrication</t>
        </is>
      </c>
      <c r="H48" s="178" t="inlineStr">
        <is>
          <t>no</t>
        </is>
      </c>
      <c r="I48" s="178" t="inlineStr">
        <is>
          <t>no</t>
        </is>
      </c>
      <c r="J48" s="178" t="inlineStr">
        <is>
          <t xml:space="preserve">Business Expense </t>
        </is>
      </c>
      <c r="K48" s="178" t="inlineStr">
        <is>
          <t>Merchant name: Newstar Jewelers</t>
        </is>
      </c>
      <c r="L48" s="182" t="inlineStr">
        <is>
          <t>Fees for making jewelry out of intaglios, engraved gems, and scarabs. COGS, not EPGC operating. Not added to sold-lot Cost (Berk lots already sold in February).</t>
        </is>
      </c>
    </row>
    <row r="49" ht="36" customHeight="1" s="137">
      <c r="A49" s="178" t="inlineStr">
        <is>
          <t>2025-10-15</t>
        </is>
      </c>
      <c r="B49" s="178" t="inlineStr">
        <is>
          <t>EOEB LLC</t>
        </is>
      </c>
      <c r="C49" s="139" t="n">
        <v>16000</v>
      </c>
      <c r="D49" s="178" t="inlineStr">
        <is>
          <t>IN</t>
        </is>
      </c>
      <c r="E49" s="185" t="inlineStr">
        <is>
          <t>ADVISORY</t>
        </is>
      </c>
      <c r="F49" s="185" t="inlineStr">
        <is>
          <t>ASK</t>
        </is>
      </c>
      <c r="G49" s="178" t="inlineStr">
        <is>
          <t>EOEB — sale vs art advisory</t>
        </is>
      </c>
      <c r="H49" s="178" t="inlineStr">
        <is>
          <t>no</t>
        </is>
      </c>
      <c r="I49" s="178" t="inlineStr">
        <is>
          <t>no — ASK first</t>
        </is>
      </c>
      <c r="J49" s="178" t="inlineStr">
        <is>
          <t>Business Income</t>
        </is>
      </c>
      <c r="K49" s="178" t="inlineStr">
        <is>
          <t>Auto-Routing transfer; Merchant name: EOEB LLC</t>
        </is>
      </c>
      <c r="L49" s="182" t="inlineStr">
        <is>
          <t>Auto-Routing. Proposed advisory until confirmed.</t>
        </is>
      </c>
    </row>
    <row r="50" ht="36" customHeight="1" s="137">
      <c r="A50" s="178" t="inlineStr">
        <is>
          <t>2025-10-20</t>
        </is>
      </c>
      <c r="B50" s="178" t="inlineStr">
        <is>
          <t>JACK EDWARD KOZIOL &amp; TRACY HOFFMAN</t>
        </is>
      </c>
      <c r="C50" s="139" t="n">
        <v>150000</v>
      </c>
      <c r="D50" s="178" t="inlineStr">
        <is>
          <t>IN</t>
        </is>
      </c>
      <c r="E50" s="187" t="inlineStr">
        <is>
          <t>PASS_THROUGH</t>
        </is>
      </c>
      <c r="F50" s="187" t="inlineStr">
        <is>
          <t>HOLD</t>
        </is>
      </c>
      <c r="G50" s="178" t="inlineStr">
        <is>
          <t>Jack Koziol &amp; Tracy Hoffman $150,000 IN</t>
        </is>
      </c>
      <c r="H50" s="178" t="inlineStr">
        <is>
          <t>no</t>
        </is>
      </c>
      <c r="I50" s="178" t="inlineStr">
        <is>
          <t>no</t>
        </is>
      </c>
      <c r="J50" s="178" t="inlineStr">
        <is>
          <t>Transfer</t>
        </is>
      </c>
      <c r="K50" s="178" t="inlineStr">
        <is>
          <t>Incoming Wire; /BNF/Per your request; Merchant name: JACK EDWARD KOZIOL &amp; TRACY HOFFMAN</t>
        </is>
      </c>
      <c r="L50" s="182" t="inlineStr">
        <is>
          <t>Incoming wire /BNF/Per your request. Next-day $150,000 OUT to Ariadne Demirjian LLC. Proposed pass-through — not income unless you say it is a sale.</t>
        </is>
      </c>
    </row>
    <row r="51" ht="36" customHeight="1" s="137">
      <c r="A51" s="178" t="inlineStr">
        <is>
          <t>2025-10-21</t>
        </is>
      </c>
      <c r="B51" s="178" t="inlineStr">
        <is>
          <t>Ariadne Demirjian LLC</t>
        </is>
      </c>
      <c r="C51" s="139" t="n">
        <v>-150000</v>
      </c>
      <c r="D51" s="178" t="inlineStr">
        <is>
          <t>OUT</t>
        </is>
      </c>
      <c r="E51" s="187" t="inlineStr">
        <is>
          <t>PASS_THROUGH</t>
        </is>
      </c>
      <c r="F51" s="187" t="inlineStr">
        <is>
          <t>HOLD</t>
        </is>
      </c>
      <c r="G51" s="178" t="inlineStr">
        <is>
          <t>Ariadne Demirjian LLC $150,000 OUT</t>
        </is>
      </c>
      <c r="H51" s="178" t="inlineStr">
        <is>
          <t>no</t>
        </is>
      </c>
      <c r="I51" s="178" t="inlineStr">
        <is>
          <t>no</t>
        </is>
      </c>
      <c r="J51" s="178" t="inlineStr">
        <is>
          <t>Transfer</t>
        </is>
      </c>
      <c r="K51" s="178" t="inlineStr">
        <is>
          <t>Merchant name: Ariadne Demirjian LLC</t>
        </is>
      </c>
      <c r="L51" s="182" t="inlineStr">
        <is>
          <t>Same window as Koziol $150,000 IN. Proposed pass-through — not COGS/expense unless you say it is a purchase.</t>
        </is>
      </c>
    </row>
    <row r="52" ht="36" customHeight="1" s="137">
      <c r="A52" s="178" t="inlineStr">
        <is>
          <t>2025-10-21</t>
        </is>
      </c>
      <c r="B52" s="178" t="inlineStr">
        <is>
          <t>L5</t>
        </is>
      </c>
      <c r="C52" s="139" t="n">
        <v>7500</v>
      </c>
      <c r="D52" s="178" t="inlineStr">
        <is>
          <t>IN</t>
        </is>
      </c>
      <c r="E52" s="185" t="inlineStr">
        <is>
          <t>ADVISORY</t>
        </is>
      </c>
      <c r="F52" s="185" t="inlineStr">
        <is>
          <t>ASK</t>
        </is>
      </c>
      <c r="G52" s="178" t="inlineStr">
        <is>
          <t>L5 — sale vs art advisory</t>
        </is>
      </c>
      <c r="H52" s="178" t="inlineStr">
        <is>
          <t>no</t>
        </is>
      </c>
      <c r="I52" s="178" t="inlineStr">
        <is>
          <t>no — ASK first</t>
        </is>
      </c>
      <c r="J52" s="178" t="inlineStr">
        <is>
          <t>Business Income</t>
        </is>
      </c>
      <c r="K52" s="178" t="inlineStr">
        <is>
          <t>Auto-Routing transfer; Merchant name: L5</t>
        </is>
      </c>
      <c r="L52" s="182" t="inlineStr">
        <is>
          <t>Auto-Routing. Proposed advisory until confirmed.</t>
        </is>
      </c>
    </row>
    <row r="53" ht="36" customHeight="1" s="137">
      <c r="A53" s="178" t="inlineStr">
        <is>
          <t>2025-10-24</t>
        </is>
      </c>
      <c r="B53" s="178" t="inlineStr">
        <is>
          <t>EOEB LLC</t>
        </is>
      </c>
      <c r="C53" s="139" t="n">
        <v>1500</v>
      </c>
      <c r="D53" s="178" t="inlineStr">
        <is>
          <t>IN</t>
        </is>
      </c>
      <c r="E53" s="185" t="inlineStr">
        <is>
          <t>ADVISORY</t>
        </is>
      </c>
      <c r="F53" s="185" t="inlineStr">
        <is>
          <t>ASK</t>
        </is>
      </c>
      <c r="G53" s="178" t="inlineStr">
        <is>
          <t>EOEB — sale vs art advisory</t>
        </is>
      </c>
      <c r="H53" s="178" t="inlineStr">
        <is>
          <t>no</t>
        </is>
      </c>
      <c r="I53" s="178" t="inlineStr">
        <is>
          <t>no — ASK first</t>
        </is>
      </c>
      <c r="J53" s="178" t="inlineStr">
        <is>
          <t>Transfer</t>
        </is>
      </c>
      <c r="K53" s="178" t="inlineStr">
        <is>
          <t>Auto-Routing transfer; Merchant name: EOEB LLC</t>
        </is>
      </c>
      <c r="L53" s="182" t="inlineStr">
        <is>
          <t>Auto-Routing. Proposed advisory until confirmed.</t>
        </is>
      </c>
    </row>
    <row r="54" ht="36" customHeight="1" s="137">
      <c r="A54" s="178" t="inlineStr">
        <is>
          <t>2025-10-30</t>
        </is>
      </c>
      <c r="B54" s="178" t="inlineStr">
        <is>
          <t>Wise Inc</t>
        </is>
      </c>
      <c r="C54" s="139" t="n">
        <v>-658.63</v>
      </c>
      <c r="D54" s="178" t="inlineStr">
        <is>
          <t>OUT</t>
        </is>
      </c>
      <c r="E54" s="185" t="inlineStr">
        <is>
          <t>ASK</t>
        </is>
      </c>
      <c r="F54" s="185" t="inlineStr">
        <is>
          <t>ASK</t>
        </is>
      </c>
      <c r="G54" s="178" t="inlineStr">
        <is>
          <t>Wise — vendor / COGS / other</t>
        </is>
      </c>
      <c r="H54" s="178" t="inlineStr">
        <is>
          <t>no</t>
        </is>
      </c>
      <c r="I54" s="178" t="inlineStr">
        <is>
          <t>no</t>
        </is>
      </c>
      <c r="J54" s="178" t="inlineStr">
        <is>
          <t xml:space="preserve">Business Expense </t>
        </is>
      </c>
      <c r="K54" s="178" t="inlineStr">
        <is>
          <t>Wise Inc; WISE; EPGC LLC; Merchant name: Wise Inc</t>
        </is>
      </c>
      <c r="L54" s="182" t="inlineStr">
        <is>
          <t>International payment from EPGC. Not reimbursed. COGS, advisory cost, or personal?</t>
        </is>
      </c>
    </row>
    <row r="55" ht="36" customHeight="1" s="137">
      <c r="A55" s="178" t="inlineStr">
        <is>
          <t>2025-10-31</t>
        </is>
      </c>
      <c r="B55" s="178" t="inlineStr">
        <is>
          <t>EOEB LLC</t>
        </is>
      </c>
      <c r="C55" s="139" t="n">
        <v>2170</v>
      </c>
      <c r="D55" s="178" t="inlineStr">
        <is>
          <t>IN</t>
        </is>
      </c>
      <c r="E55" s="185" t="inlineStr">
        <is>
          <t>ADVISORY</t>
        </is>
      </c>
      <c r="F55" s="185" t="inlineStr">
        <is>
          <t>ASK</t>
        </is>
      </c>
      <c r="G55" s="178" t="inlineStr">
        <is>
          <t>EOEB — sale vs art advisory</t>
        </is>
      </c>
      <c r="H55" s="178" t="inlineStr">
        <is>
          <t>no</t>
        </is>
      </c>
      <c r="I55" s="178" t="inlineStr">
        <is>
          <t>no — ASK first</t>
        </is>
      </c>
      <c r="J55" s="178" t="inlineStr">
        <is>
          <t>Business Income</t>
        </is>
      </c>
      <c r="K55" s="178" t="inlineStr">
        <is>
          <t>Auto-Routing transfer; Merchant name: EOEB LLC</t>
        </is>
      </c>
      <c r="L55" s="182" t="inlineStr">
        <is>
          <t>Auto-Routing. Proposed advisory until confirmed.</t>
        </is>
      </c>
    </row>
    <row r="56" ht="36" customHeight="1" s="137">
      <c r="A56" s="178" t="inlineStr">
        <is>
          <t>2025-11-06</t>
        </is>
      </c>
      <c r="B56" s="178" t="inlineStr">
        <is>
          <t>COINBASE INC.</t>
        </is>
      </c>
      <c r="C56" s="183" t="n">
        <v>-10000</v>
      </c>
      <c r="D56" s="178" t="inlineStr">
        <is>
          <t>OUT</t>
        </is>
      </c>
      <c r="E56" s="187" t="inlineStr">
        <is>
          <t>INVESTMENT</t>
        </is>
      </c>
      <c r="F56" s="181" t="inlineStr">
        <is>
          <t>LOCKED</t>
        </is>
      </c>
      <c r="G56" s="178" t="inlineStr">
        <is>
          <t>Coinbase ACH funding</t>
        </is>
      </c>
      <c r="H56" s="178" t="inlineStr">
        <is>
          <t>no</t>
        </is>
      </c>
      <c r="I56" s="178" t="inlineStr">
        <is>
          <t>no</t>
        </is>
      </c>
      <c r="J56" s="178" t="inlineStr">
        <is>
          <t>Transfer</t>
        </is>
      </c>
      <c r="K56" s="178" t="inlineStr">
        <is>
          <t>COINBASE INC.; 450310C7; JACOB COLEY; Merchant name: COINBASE INC.</t>
        </is>
      </c>
      <c r="L56" s="182" t="inlineStr">
        <is>
          <t>Investment transfer. Not EPGC operating.</t>
        </is>
      </c>
    </row>
    <row r="57" ht="36" customHeight="1" s="137">
      <c r="A57" s="178" t="inlineStr">
        <is>
          <t>2025-11-07</t>
        </is>
      </c>
      <c r="B57" s="178" t="inlineStr">
        <is>
          <t>ERDAL DERE</t>
        </is>
      </c>
      <c r="C57" s="139" t="n">
        <v>6000</v>
      </c>
      <c r="D57" s="178" t="inlineStr">
        <is>
          <t>IN</t>
        </is>
      </c>
      <c r="E57" s="184" t="inlineStr">
        <is>
          <t>ART_SALE</t>
        </is>
      </c>
      <c r="F57" s="185" t="inlineStr">
        <is>
          <t>ASK</t>
        </is>
      </c>
      <c r="G57" s="178" t="inlineStr">
        <is>
          <t>Erdal Dere Fortuna PAYMENT $6,000 IN</t>
        </is>
      </c>
      <c r="H57" s="178" t="inlineStr">
        <is>
          <t>no</t>
        </is>
      </c>
      <c r="I57" s="178" t="inlineStr">
        <is>
          <t>no</t>
        </is>
      </c>
      <c r="J57" s="178" t="inlineStr">
        <is>
          <t>Business Income</t>
        </is>
      </c>
      <c r="K57" s="178" t="inlineStr">
        <is>
          <t>Incoming Wire; ERDAL DERE FORTUNA PAYMENT; Merchant name: ERDAL DERE</t>
        </is>
      </c>
      <c r="L57" s="182" t="inlineStr">
        <is>
          <t>Wire memo ERDAL DERE FORTUNA PAYMENT. Sale, refund of a Fortuna purchase, or other?</t>
        </is>
      </c>
    </row>
    <row r="58" ht="36" customHeight="1" s="137">
      <c r="A58" s="178" t="inlineStr">
        <is>
          <t>2025-11-12</t>
        </is>
      </c>
      <c r="B58" s="178" t="inlineStr">
        <is>
          <t>Newstar Jewelers</t>
        </is>
      </c>
      <c r="C58" s="183" t="n">
        <v>-8000</v>
      </c>
      <c r="D58" s="178" t="inlineStr">
        <is>
          <t>OUT</t>
        </is>
      </c>
      <c r="E58" s="180" t="inlineStr">
        <is>
          <t>COGS_JEWELRY</t>
        </is>
      </c>
      <c r="F58" s="181" t="inlineStr">
        <is>
          <t>LOCKED</t>
        </is>
      </c>
      <c r="G58" s="178" t="inlineStr">
        <is>
          <t>Newstar Jewelers — jewelry fabrication</t>
        </is>
      </c>
      <c r="H58" s="178" t="inlineStr">
        <is>
          <t>no</t>
        </is>
      </c>
      <c r="I58" s="178" t="inlineStr">
        <is>
          <t>no</t>
        </is>
      </c>
      <c r="J58" s="178" t="inlineStr">
        <is>
          <t xml:space="preserve">Business Expense </t>
        </is>
      </c>
      <c r="K58" s="178" t="inlineStr">
        <is>
          <t>Merchant name: Newstar Jewelers</t>
        </is>
      </c>
      <c r="L58" s="182" t="inlineStr">
        <is>
          <t>Intaglios / engraved gems / scarabs. COGS, not EPGC operating.</t>
        </is>
      </c>
    </row>
    <row r="59" ht="36" customHeight="1" s="137">
      <c r="A59" s="178" t="inlineStr">
        <is>
          <t>2025-11-14</t>
        </is>
      </c>
      <c r="B59" s="178" t="inlineStr">
        <is>
          <t>COINBASE INC.</t>
        </is>
      </c>
      <c r="C59" s="183" t="n">
        <v>-10000</v>
      </c>
      <c r="D59" s="178" t="inlineStr">
        <is>
          <t>OUT</t>
        </is>
      </c>
      <c r="E59" s="187" t="inlineStr">
        <is>
          <t>INVESTMENT</t>
        </is>
      </c>
      <c r="F59" s="181" t="inlineStr">
        <is>
          <t>LOCKED</t>
        </is>
      </c>
      <c r="G59" s="178" t="inlineStr">
        <is>
          <t>Coinbase ACH funding</t>
        </is>
      </c>
      <c r="H59" s="178" t="inlineStr">
        <is>
          <t>no</t>
        </is>
      </c>
      <c r="I59" s="178" t="inlineStr">
        <is>
          <t>no</t>
        </is>
      </c>
      <c r="J59" s="178" t="inlineStr">
        <is>
          <t>Transfer</t>
        </is>
      </c>
      <c r="K59" s="178" t="inlineStr">
        <is>
          <t>COINBASE INC.; 8DF808EA; JACOB COLEY; Merchant name: COINBASE INC.</t>
        </is>
      </c>
      <c r="L59" s="182" t="inlineStr">
        <is>
          <t>Investment transfer. Not EPGC operating.</t>
        </is>
      </c>
    </row>
    <row r="60" ht="36" customHeight="1" s="137">
      <c r="A60" s="178" t="inlineStr">
        <is>
          <t>2025-11-17</t>
        </is>
      </c>
      <c r="B60" s="178" t="inlineStr">
        <is>
          <t>COINBASE INC.</t>
        </is>
      </c>
      <c r="C60" s="183" t="n">
        <v>-10000</v>
      </c>
      <c r="D60" s="178" t="inlineStr">
        <is>
          <t>OUT</t>
        </is>
      </c>
      <c r="E60" s="187" t="inlineStr">
        <is>
          <t>INVESTMENT</t>
        </is>
      </c>
      <c r="F60" s="181" t="inlineStr">
        <is>
          <t>LOCKED</t>
        </is>
      </c>
      <c r="G60" s="178" t="inlineStr">
        <is>
          <t>Coinbase ACH funding</t>
        </is>
      </c>
      <c r="H60" s="178" t="inlineStr">
        <is>
          <t>no</t>
        </is>
      </c>
      <c r="I60" s="178" t="inlineStr">
        <is>
          <t>no</t>
        </is>
      </c>
      <c r="J60" s="178" t="inlineStr">
        <is>
          <t>Transfer</t>
        </is>
      </c>
      <c r="K60" s="178" t="inlineStr">
        <is>
          <t>COINBASE INC.; 6651A007; JACOB COLEY; Merchant name: COINBASE INC.</t>
        </is>
      </c>
      <c r="L60" s="182" t="inlineStr">
        <is>
          <t>Investment transfer. Not EPGC operating.</t>
        </is>
      </c>
    </row>
    <row r="61" ht="36" customHeight="1" s="137">
      <c r="A61" s="178" t="inlineStr">
        <is>
          <t>2025-11-24</t>
        </is>
      </c>
      <c r="B61" s="178" t="inlineStr">
        <is>
          <t>COINBASE INC.</t>
        </is>
      </c>
      <c r="C61" s="183" t="n">
        <v>-5000</v>
      </c>
      <c r="D61" s="178" t="inlineStr">
        <is>
          <t>OUT</t>
        </is>
      </c>
      <c r="E61" s="187" t="inlineStr">
        <is>
          <t>INVESTMENT</t>
        </is>
      </c>
      <c r="F61" s="181" t="inlineStr">
        <is>
          <t>LOCKED</t>
        </is>
      </c>
      <c r="G61" s="178" t="inlineStr">
        <is>
          <t>Coinbase ACH funding</t>
        </is>
      </c>
      <c r="H61" s="178" t="inlineStr">
        <is>
          <t>no</t>
        </is>
      </c>
      <c r="I61" s="178" t="inlineStr">
        <is>
          <t>no</t>
        </is>
      </c>
      <c r="J61" s="178" t="inlineStr">
        <is>
          <t>Transfer</t>
        </is>
      </c>
      <c r="K61" s="178" t="inlineStr">
        <is>
          <t>COINBASE INC.; D5957FFE; JACOB COLEY; Merchant name: COINBASE INC.</t>
        </is>
      </c>
      <c r="L61" s="182" t="inlineStr">
        <is>
          <t>Investment transfer. Not EPGC operating.</t>
        </is>
      </c>
    </row>
    <row r="62" ht="36" customHeight="1" s="137">
      <c r="A62" s="178" t="inlineStr">
        <is>
          <t>2025-12-02</t>
        </is>
      </c>
      <c r="B62" s="178" t="inlineStr">
        <is>
          <t>Wise Inc</t>
        </is>
      </c>
      <c r="C62" s="179" t="n">
        <v>-565.75</v>
      </c>
      <c r="D62" s="178" t="inlineStr">
        <is>
          <t>OUT</t>
        </is>
      </c>
      <c r="E62" s="186" t="inlineStr">
        <is>
          <t>REIMBURSE</t>
        </is>
      </c>
      <c r="F62" s="181" t="inlineStr">
        <is>
          <t>LOCKED</t>
        </is>
      </c>
      <c r="G62" s="178" t="inlineStr">
        <is>
          <t>Wise $565.75 reimbursed by EOEB</t>
        </is>
      </c>
      <c r="H62" s="178" t="inlineStr">
        <is>
          <t>no</t>
        </is>
      </c>
      <c r="I62" s="178" t="inlineStr">
        <is>
          <t>no</t>
        </is>
      </c>
      <c r="J62" s="178" t="inlineStr">
        <is>
          <t xml:space="preserve">Business Expense </t>
        </is>
      </c>
      <c r="K62" s="178" t="inlineStr">
        <is>
          <t>Wise Inc; WISE; EPGC LLC; Merchant name: Wise Inc</t>
        </is>
      </c>
      <c r="L62" s="182" t="inlineStr">
        <is>
          <t>Same-day EOEB IN $565.75. Net $0. Not EPGC expense.</t>
        </is>
      </c>
    </row>
    <row r="63" ht="36" customHeight="1" s="137">
      <c r="A63" s="178" t="inlineStr">
        <is>
          <t>2025-12-02</t>
        </is>
      </c>
      <c r="B63" s="178" t="inlineStr">
        <is>
          <t>EOEB LLC</t>
        </is>
      </c>
      <c r="C63" s="179" t="n">
        <v>565.75</v>
      </c>
      <c r="D63" s="178" t="inlineStr">
        <is>
          <t>IN</t>
        </is>
      </c>
      <c r="E63" s="186" t="inlineStr">
        <is>
          <t>REIMBURSE</t>
        </is>
      </c>
      <c r="F63" s="181" t="inlineStr">
        <is>
          <t>LOCKED</t>
        </is>
      </c>
      <c r="G63" s="178" t="inlineStr">
        <is>
          <t>EOEB reimburses Wise $565.75</t>
        </is>
      </c>
      <c r="H63" s="178" t="inlineStr">
        <is>
          <t>no</t>
        </is>
      </c>
      <c r="I63" s="178" t="inlineStr">
        <is>
          <t>no</t>
        </is>
      </c>
      <c r="J63" s="178" t="inlineStr">
        <is>
          <t>Transfer</t>
        </is>
      </c>
      <c r="K63" s="178" t="inlineStr">
        <is>
          <t>Auto-Routing transfer; Merchant name: EOEB LLC</t>
        </is>
      </c>
      <c r="L63" s="182" t="inlineStr">
        <is>
          <t>Monarch tag Reimburse. Nets with same-day Wise OUT. Not income.</t>
        </is>
      </c>
    </row>
    <row r="64" ht="36" customHeight="1" s="137">
      <c r="A64" s="178" t="inlineStr">
        <is>
          <t>2025-12-04</t>
        </is>
      </c>
      <c r="B64" s="178" t="inlineStr">
        <is>
          <t>L5</t>
        </is>
      </c>
      <c r="C64" s="139" t="n">
        <v>4700.26</v>
      </c>
      <c r="D64" s="178" t="inlineStr">
        <is>
          <t>IN</t>
        </is>
      </c>
      <c r="E64" s="185" t="inlineStr">
        <is>
          <t>ADVISORY</t>
        </is>
      </c>
      <c r="F64" s="185" t="inlineStr">
        <is>
          <t>ASK</t>
        </is>
      </c>
      <c r="G64" s="178" t="inlineStr">
        <is>
          <t>L5 — sale vs art advisory</t>
        </is>
      </c>
      <c r="H64" s="178" t="inlineStr">
        <is>
          <t>no</t>
        </is>
      </c>
      <c r="I64" s="178" t="inlineStr">
        <is>
          <t>no — ASK first</t>
        </is>
      </c>
      <c r="J64" s="178" t="inlineStr">
        <is>
          <t>Transfer</t>
        </is>
      </c>
      <c r="K64" s="178" t="inlineStr">
        <is>
          <t>Auto-Routing transfer; Merchant name: L5</t>
        </is>
      </c>
      <c r="L64" s="182" t="inlineStr">
        <is>
          <t>Auto-Routing. Proposed advisory until confirmed.</t>
        </is>
      </c>
    </row>
    <row r="65" ht="36" customHeight="1" s="137">
      <c r="A65" s="178" t="inlineStr">
        <is>
          <t>2025-12-11</t>
        </is>
      </c>
      <c r="B65" s="178" t="inlineStr">
        <is>
          <t>COINBASE INC.</t>
        </is>
      </c>
      <c r="C65" s="183" t="n">
        <v>-5000</v>
      </c>
      <c r="D65" s="178" t="inlineStr">
        <is>
          <t>OUT</t>
        </is>
      </c>
      <c r="E65" s="187" t="inlineStr">
        <is>
          <t>INVESTMENT</t>
        </is>
      </c>
      <c r="F65" s="181" t="inlineStr">
        <is>
          <t>LOCKED</t>
        </is>
      </c>
      <c r="G65" s="178" t="inlineStr">
        <is>
          <t>Coinbase ACH funding</t>
        </is>
      </c>
      <c r="H65" s="178" t="inlineStr">
        <is>
          <t>no</t>
        </is>
      </c>
      <c r="I65" s="178" t="inlineStr">
        <is>
          <t>no</t>
        </is>
      </c>
      <c r="J65" s="178" t="inlineStr">
        <is>
          <t>Transfer</t>
        </is>
      </c>
      <c r="K65" s="178" t="inlineStr">
        <is>
          <t>COINBASE INC.; DFF8E6A8; JACOB COLEY; Merchant name: COINBASE INC.</t>
        </is>
      </c>
      <c r="L65" s="182" t="inlineStr">
        <is>
          <t>Investment transfer. Not EPGC operating.</t>
        </is>
      </c>
    </row>
    <row r="66" ht="36" customHeight="1" s="137">
      <c r="A66" s="178" t="inlineStr">
        <is>
          <t>2025-12-22</t>
        </is>
      </c>
      <c r="B66" s="178" t="inlineStr">
        <is>
          <t>COINBASE INC.</t>
        </is>
      </c>
      <c r="C66" s="183" t="n">
        <v>8000</v>
      </c>
      <c r="D66" s="178" t="inlineStr">
        <is>
          <t>IN</t>
        </is>
      </c>
      <c r="E66" s="187" t="inlineStr">
        <is>
          <t>INVESTMENT</t>
        </is>
      </c>
      <c r="F66" s="181" t="inlineStr">
        <is>
          <t>LOCKED</t>
        </is>
      </c>
      <c r="G66" s="178" t="inlineStr">
        <is>
          <t>Coinbase ACH back to Mercury</t>
        </is>
      </c>
      <c r="H66" s="178" t="inlineStr">
        <is>
          <t>no</t>
        </is>
      </c>
      <c r="I66" s="178" t="inlineStr">
        <is>
          <t>no</t>
        </is>
      </c>
      <c r="J66" s="178" t="inlineStr">
        <is>
          <t>Transfer</t>
        </is>
      </c>
      <c r="K66" s="178" t="inlineStr">
        <is>
          <t>COINBASE INC.; 6B2DA6B2; JACOB COLEY; Merchant name: COINBASE INC.</t>
        </is>
      </c>
      <c r="L66" s="182" t="inlineStr">
        <is>
          <t>Investment withdrawal onto 8291. Not Art Sales / not advisory income.</t>
        </is>
      </c>
    </row>
    <row r="67" ht="36" customHeight="1" s="137">
      <c r="A67" s="178" t="inlineStr">
        <is>
          <t>2025-12-24</t>
        </is>
      </c>
      <c r="B67" s="178" t="inlineStr">
        <is>
          <t>Newstar Jewelers</t>
        </is>
      </c>
      <c r="C67" s="183" t="n">
        <v>-7581</v>
      </c>
      <c r="D67" s="178" t="inlineStr">
        <is>
          <t>OUT</t>
        </is>
      </c>
      <c r="E67" s="180" t="inlineStr">
        <is>
          <t>COGS_JEWELRY</t>
        </is>
      </c>
      <c r="F67" s="181" t="inlineStr">
        <is>
          <t>LOCKED</t>
        </is>
      </c>
      <c r="G67" s="178" t="inlineStr">
        <is>
          <t>Newstar Jewelers — jewelry fabrication (3 of 3)</t>
        </is>
      </c>
      <c r="H67" s="178" t="inlineStr">
        <is>
          <t>no</t>
        </is>
      </c>
      <c r="I67" s="178" t="inlineStr">
        <is>
          <t>no</t>
        </is>
      </c>
      <c r="J67" s="178" t="inlineStr">
        <is>
          <t xml:space="preserve">Business Expense </t>
        </is>
      </c>
      <c r="K67" s="178" t="inlineStr">
        <is>
          <t>From EPGC LLC via mercury.com 3 of 3; Merchant name: Newstar Jewelers</t>
        </is>
      </c>
      <c r="L67" s="182" t="inlineStr">
        <is>
          <t>Mercury.com ‘3 of 3’. Intaglios / engraved gems / scarabs. COGS, not EPGC operating.</t>
        </is>
      </c>
    </row>
  </sheetData>
  <autoFilter ref="A3:L67"/>
  <mergeCells count="1">
    <mergeCell ref="A1:L1"/>
  </mergeCells>
  <pageMargins left="0.75" right="0.75" top="1" bottom="1" header="0.5" footer="0.5"/>
</worksheet>
</file>

<file path=xl/worksheets/sheet16.xml><?xml version="1.0" encoding="utf-8"?>
<worksheet xmlns="http://schemas.openxmlformats.org/spreadsheetml/2006/main">
  <sheetPr>
    <tabColor rgb="00FFC000"/>
    <outlinePr summaryBelow="1" summaryRight="1"/>
    <pageSetUpPr/>
  </sheetPr>
  <dimension ref="A1:C22"/>
  <sheetViews>
    <sheetView workbookViewId="0">
      <selection activeCell="A1" sqref="A1"/>
    </sheetView>
  </sheetViews>
  <sheetFormatPr baseColWidth="8" defaultRowHeight="15"/>
  <cols>
    <col width="55" customWidth="1" style="137" min="1" max="1"/>
    <col width="110" customWidth="1" style="137" min="2" max="2"/>
    <col width="20" customWidth="1" style="137" min="3" max="3"/>
  </cols>
  <sheetData>
    <row r="1">
      <c r="A1" s="156" t="inlineStr">
        <is>
          <t>ASK — Mercury 8291 (answer these so EPGC Consultant / remaining sales can be booked). Not tax advice.</t>
        </is>
      </c>
    </row>
    <row r="3">
      <c r="A3" s="188" t="inlineStr">
        <is>
          <t>Question</t>
        </is>
      </c>
      <c r="B3" s="188" t="inlineStr">
        <is>
          <t>What I need</t>
        </is>
      </c>
    </row>
    <row r="4" ht="48" customHeight="1" s="137">
      <c r="A4" s="189" t="inlineStr">
        <is>
          <t>1. EOEB LLC remainder after mosaics</t>
        </is>
      </c>
      <c r="B4" s="190" t="inlineStr">
        <is>
          <t>$130,270.00 of EOEB IN is not the $105,000 mosaics sale and not the $565.75 Wise reimbursement. Invoice / MAKE A PAYMENT pattern. Book as art advisory (EPGC Consultant) or as more art sales? Jan 16 $1,000 might be the Canosan horse (sold to Erdal $1,000 on Art Sales) — yes/no?</t>
        </is>
      </c>
    </row>
    <row r="5" ht="48" customHeight="1" s="137">
      <c r="A5" s="189" t="inlineStr">
        <is>
          <t>2. L5 (all seven invoices)</t>
        </is>
      </c>
      <c r="B5" s="190" t="inlineStr">
        <is>
          <t>$87,396.32. Same Auto-Routing Request or Invoice Payment pattern as EOEB. Advisory fees, art sales, or mixed? The 7/15 $50,000 lands the same week as Aysel $50k and Fortuna $45k.</t>
        </is>
      </c>
    </row>
    <row r="6" ht="48" customHeight="1" s="137">
      <c r="A6" s="189" t="inlineStr">
        <is>
          <t>3. Fortuna / Erdal Dere OUT after seals</t>
        </is>
      </c>
      <c r="B6" s="190" t="inlineStr">
        <is>
          <t>$85,000.00 after the 1/8 $13,000 seals COGS (5/9 $20k, 7/21 $45k, 8/15 $20k). Inventory purchases (object names) or something else?</t>
        </is>
      </c>
    </row>
    <row r="7" ht="48" customHeight="1" s="137">
      <c r="A7" s="189" t="inlineStr">
        <is>
          <t>4. Erdal Dere IN</t>
        </is>
      </c>
      <c r="B7" s="190" t="inlineStr">
        <is>
          <t>$57,000.00 (7/24 $26k, 10/9 $25k, 11/7 $6k ‘FORTUNA PAYMENT’). Sales to Erdal, refunds of Fortuna purchases, or other?</t>
        </is>
      </c>
    </row>
    <row r="8" ht="48" customHeight="1" s="137">
      <c r="A8" s="189" t="inlineStr">
        <is>
          <t>5. Aysel Dere $50,000 IN (7/18)</t>
        </is>
      </c>
      <c r="B8" s="190" t="inlineStr">
        <is>
          <t>Sale, related-party transfer, or part of the mid-July Fortuna/L5 cluster?</t>
        </is>
      </c>
    </row>
    <row r="9" ht="48" customHeight="1" s="137">
      <c r="A9" s="189" t="inlineStr">
        <is>
          <t>6. David Aaron Limited $13,595 IN (6/24)</t>
        </is>
      </c>
      <c r="B9" s="190" t="inlineStr">
        <is>
          <t>Proposed art sale (London antiquities dealer invoice). Confirm object. If it is a purchase you paid and they refunded, say so.</t>
        </is>
      </c>
    </row>
    <row r="10" ht="48" customHeight="1" s="137">
      <c r="A10" s="189" t="inlineStr">
        <is>
          <t>7. Wise $334.17 (7/9) and $658.63 (10/30)</t>
        </is>
      </c>
      <c r="B10" s="190" t="inlineStr">
        <is>
          <t>Who / what? Dec $565.75 was reimbursed by EOEB (locked net $0). These two were not.</t>
        </is>
      </c>
    </row>
    <row r="11" ht="48" customHeight="1" s="137">
      <c r="A11" s="189" t="inlineStr">
        <is>
          <t>8. Jack Koziol &amp; Tracy Hoffman $150,000 IN (10/20) / Ariadne Demirjian $150,000 OUT (10/21)</t>
        </is>
      </c>
      <c r="B11" s="190" t="inlineStr">
        <is>
          <t>Proposed pass-through (not P&amp;L). If this was a real purchase/sale, name the object.</t>
        </is>
      </c>
    </row>
    <row r="12" ht="48" customHeight="1" s="137">
      <c r="A12" s="189" t="inlineStr">
        <is>
          <t>9. Aquinas Hobor $1,000 IN (2/4)</t>
        </is>
      </c>
      <c r="B12" s="190" t="inlineStr">
        <is>
          <t>Sale, leftover, or other? Aquinas bought Saharan bracelets in 2022.</t>
        </is>
      </c>
    </row>
    <row r="13" ht="48" customHeight="1" s="137">
      <c r="A13" s="189" t="inlineStr">
        <is>
          <t>10. Mosaics Cost $90,000 vs Mercury $50,000</t>
        </is>
      </c>
      <c r="B13" s="190" t="inlineStr">
        <is>
          <t>Plutus &amp; Mnemosyne paid $50,000 in February. Where is the other $40,000 of Cost (other account / 2024 / still owed)?</t>
        </is>
      </c>
    </row>
    <row r="15">
      <c r="A15" s="188" t="inlineStr">
        <is>
          <t>LOCKED / MATCHED this pass (do not recast without saying so)</t>
        </is>
      </c>
    </row>
    <row r="16">
      <c r="A16" s="181" t="inlineStr">
        <is>
          <t>Coinbase ACH net</t>
        </is>
      </c>
      <c r="B16" s="181" t="inlineStr">
        <is>
          <t>$-51,000.00  (OUT $-59,000.00 / IN $8,000.00) — Investments tab, not EPGC</t>
        </is>
      </c>
    </row>
    <row r="17">
      <c r="A17" s="181" t="inlineStr">
        <is>
          <t>Newstar Jewelers</t>
        </is>
      </c>
      <c r="B17" s="181" t="inlineStr">
        <is>
          <t>$23,581.00 jewelry fabrication COGS (10/14 $8,000 + 11/12 $8,000 + 12/24 $7,581)</t>
        </is>
      </c>
    </row>
    <row r="18">
      <c r="A18" s="181" t="inlineStr">
        <is>
          <t>Berk sales</t>
        </is>
      </c>
      <c r="B18" s="181" t="inlineStr">
        <is>
          <t>$14,000 seals (1/10) + $30,000 lots (2/7) = $44,000 Art Sales</t>
        </is>
      </c>
    </row>
    <row r="19">
      <c r="A19" s="181" t="inlineStr">
        <is>
          <t>Mosaics</t>
        </is>
      </c>
      <c r="B19" s="181" t="inlineStr">
        <is>
          <t>EOEB $105,000 sale (2/21) / Plutus $50,000 of $90,000 Cost</t>
        </is>
      </c>
    </row>
    <row r="20">
      <c r="A20" s="181" t="inlineStr">
        <is>
          <t>BoA 9922 draws</t>
        </is>
      </c>
      <c r="B20" s="181" t="inlineStr">
        <is>
          <t>$261,172.00 owner transfer — not P&amp;L</t>
        </is>
      </c>
    </row>
    <row r="21">
      <c r="A21" s="181" t="inlineStr">
        <is>
          <t>Wise/EOEB 12/2</t>
        </is>
      </c>
      <c r="B21" s="181" t="inlineStr">
        <is>
          <t>$565.75 reimbursed — not income, not expense</t>
        </is>
      </c>
    </row>
    <row r="22">
      <c r="A22" s="181" t="inlineStr">
        <is>
          <t>$10 test wires</t>
        </is>
      </c>
      <c r="B22" s="181" t="inlineStr">
        <is>
          <t>Jamal Rifai / EPGC / Plutus tests — not P&amp;L</t>
        </is>
      </c>
    </row>
  </sheetData>
  <mergeCells count="2">
    <mergeCell ref="A1:C1"/>
    <mergeCell ref="A15: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Jacob Coley</dc:creator>
  <dcterms:created xsi:type="dcterms:W3CDTF">2022-12-14T01:51:29Z</dcterms:created>
  <dcterms:modified xsi:type="dcterms:W3CDTF">2026-09-20T03:46:15Z</dcterms:modified>
</cp:coreProperties>
</file>