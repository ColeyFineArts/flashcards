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8">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 numFmtId="171" formatCode="yyyy-mm-dd h:mm:ss"/>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0">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0" authorId="0" shapeId="0">
      <text>
        <t>======
ID#AAABsxbhmK0
Jacob Coley    (2025-10-30 02:56:34)
2,000 for collection and 2,005
to Amyas for mount making</t>
      </text>
    </comment>
    <comment ref="C98"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still ASK — not on Consultant income.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5"/>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89" t="inlineStr">
        <is>
          <t>Total</t>
        </is>
      </c>
      <c r="B77" s="104" t="n"/>
      <c r="C77" s="114" t="n"/>
      <c r="D77" s="113" t="n"/>
      <c r="E77" s="113" t="n"/>
      <c r="F77" s="114" t="n"/>
      <c r="G77" s="113" t="n"/>
      <c r="H77" s="114">
        <f>SUM(H51:H75)</f>
        <v/>
      </c>
      <c r="I77" s="105" t="n"/>
    </row>
    <row r="78" ht="48" customHeight="1" s="137">
      <c r="A78" s="199"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books sold — EPGC Art Sales February; Cost TBD (not in I8). Not tax advice.</t>
        </is>
      </c>
    </row>
    <row r="79" ht="14.25" customHeight="1" s="137">
      <c r="A79" s="119" t="inlineStr">
        <is>
          <t>Art Purchases/Inventory</t>
        </is>
      </c>
      <c r="B79" s="120" t="n"/>
      <c r="C79" s="100" t="n"/>
      <c r="D79" s="101" t="n"/>
      <c r="E79" s="99" t="n"/>
      <c r="F79" s="100" t="n"/>
      <c r="G79" s="101" t="n"/>
      <c r="H79" s="99" t="n"/>
      <c r="I79" s="121" t="n"/>
      <c r="J79" s="99" t="n"/>
      <c r="K79" s="99" t="n"/>
      <c r="L79" s="99" t="n"/>
      <c r="M79" s="99" t="n"/>
      <c r="N79" s="99" t="n"/>
      <c r="O79" s="99" t="n"/>
      <c r="P79" s="99" t="n"/>
      <c r="Q79" s="99" t="n"/>
      <c r="R79" s="99" t="n"/>
      <c r="S79" s="99" t="n"/>
      <c r="T79" s="99" t="n"/>
      <c r="U79" s="99" t="n"/>
      <c r="V79" s="99" t="n"/>
      <c r="W79" s="99" t="n"/>
      <c r="X79" s="99" t="n"/>
      <c r="Y79" s="99" t="n"/>
      <c r="Z79" s="99" t="n"/>
    </row>
    <row r="80" ht="14.25" customHeight="1" s="137">
      <c r="A80" s="122" t="inlineStr">
        <is>
          <t>30 Paleothic and Neolithic Stone Tools</t>
        </is>
      </c>
      <c r="B80" s="116" t="inlineStr">
        <is>
          <t>Holestein</t>
        </is>
      </c>
      <c r="C80" s="88" t="n">
        <v>4000</v>
      </c>
      <c r="E80" s="105" t="n"/>
    </row>
    <row r="81" ht="14.25" customHeight="1" s="137">
      <c r="A81" s="122" t="inlineStr">
        <is>
          <t>A Tairona Figure</t>
        </is>
      </c>
      <c r="B81" s="116" t="inlineStr">
        <is>
          <t>Live Auctioneers</t>
        </is>
      </c>
      <c r="C81" s="88" t="n">
        <v>250</v>
      </c>
      <c r="D81" s="92" t="n">
        <v>45119</v>
      </c>
      <c r="E81" s="105" t="n"/>
    </row>
    <row r="82" ht="14.25" customHeight="1" s="137">
      <c r="A82" s="122" t="inlineStr">
        <is>
          <t>A Tairona Figure</t>
        </is>
      </c>
      <c r="B82" s="116" t="inlineStr">
        <is>
          <t>Live Auctioneers</t>
        </is>
      </c>
      <c r="C82" s="88" t="n">
        <v>300</v>
      </c>
      <c r="D82" s="92" t="n">
        <v>45119</v>
      </c>
      <c r="E82" s="105" t="n"/>
    </row>
    <row r="83" ht="14.25" customHeight="1" s="137">
      <c r="A83" s="122" t="inlineStr">
        <is>
          <t>A Pair of Greek Bronze Greeves</t>
        </is>
      </c>
      <c r="B83" s="116" t="inlineStr">
        <is>
          <t>ebay</t>
        </is>
      </c>
      <c r="C83" s="88" t="n">
        <v>200</v>
      </c>
      <c r="D83" s="92" t="n">
        <v>45145</v>
      </c>
      <c r="E83" s="105" t="n"/>
    </row>
    <row r="84" ht="14.25" customHeight="1" s="137">
      <c r="A84" s="122" t="inlineStr">
        <is>
          <t>An Illyrian Bronze Helmet</t>
        </is>
      </c>
      <c r="B84" s="116" t="inlineStr">
        <is>
          <t>ebay</t>
        </is>
      </c>
      <c r="C84" s="88" t="n">
        <v>551.25</v>
      </c>
      <c r="D84" s="92" t="n">
        <v>45114</v>
      </c>
      <c r="E84" s="105" t="n"/>
    </row>
    <row r="85" ht="14.25" customHeight="1" s="137">
      <c r="A85" s="122" t="inlineStr">
        <is>
          <t>An Egyptian Faience Ibis</t>
        </is>
      </c>
      <c r="B85" s="104" t="inlineStr">
        <is>
          <t>Hindman</t>
        </is>
      </c>
      <c r="C85" s="88" t="n">
        <v>375</v>
      </c>
      <c r="D85" s="92" t="n">
        <v>44343</v>
      </c>
      <c r="E85" s="92" t="n"/>
      <c r="F85" s="88" t="n"/>
      <c r="I85" s="105" t="n"/>
    </row>
    <row r="86" ht="14.25" customHeight="1" s="137">
      <c r="A86" s="122" t="inlineStr">
        <is>
          <t>African Stone Bracelet Upper Volta River 1 0f 4</t>
        </is>
      </c>
      <c r="B86" s="104" t="inlineStr">
        <is>
          <t>Live Auctioneers</t>
        </is>
      </c>
      <c r="C86" s="88" t="n">
        <v>293</v>
      </c>
      <c r="D86" s="92" t="n">
        <v>44548</v>
      </c>
      <c r="F86" s="88" t="n"/>
      <c r="I86" s="105" t="n"/>
    </row>
    <row r="87" ht="14.25" customHeight="1" s="137">
      <c r="A87" s="122" t="inlineStr">
        <is>
          <t>African Stone Bracelet Upper Volta River 2 0f 4</t>
        </is>
      </c>
      <c r="B87" s="104" t="inlineStr">
        <is>
          <t>Live Auctioneers</t>
        </is>
      </c>
      <c r="C87" s="88" t="n">
        <v>293</v>
      </c>
      <c r="D87" s="92" t="n">
        <v>44548</v>
      </c>
      <c r="F87" s="88" t="n"/>
      <c r="I87" s="105" t="n"/>
    </row>
    <row r="88" ht="14.25" customHeight="1" s="137">
      <c r="A88" s="122" t="inlineStr">
        <is>
          <t>African Stone Bracelet Upper Volta River 4 0f 4</t>
        </is>
      </c>
      <c r="B88" s="104" t="inlineStr">
        <is>
          <t>Live Auctioneers</t>
        </is>
      </c>
      <c r="C88" s="88" t="n">
        <v>293</v>
      </c>
      <c r="D88" s="92" t="n">
        <v>44548</v>
      </c>
      <c r="F88" s="88" t="n"/>
      <c r="I88" s="105" t="n"/>
    </row>
    <row r="89" ht="14.25" customHeight="1" s="137">
      <c r="A89" s="122" t="inlineStr">
        <is>
          <t>A Saharan Stone Discoidal</t>
        </is>
      </c>
      <c r="B89" s="104" t="inlineStr">
        <is>
          <t>Pace African Art</t>
        </is>
      </c>
      <c r="C89" s="88" t="n">
        <v>1000</v>
      </c>
      <c r="D89" s="92" t="n">
        <v>44562</v>
      </c>
      <c r="F89" s="88" t="n"/>
      <c r="I89" s="105" t="n"/>
    </row>
    <row r="90" ht="14.25" customHeight="1" s="137">
      <c r="A90" s="122" t="inlineStr">
        <is>
          <t>Carved Ostrish Egg</t>
        </is>
      </c>
      <c r="B90" s="104" t="inlineStr">
        <is>
          <t xml:space="preserve">Etsy </t>
        </is>
      </c>
      <c r="C90" s="88" t="n">
        <v>90</v>
      </c>
      <c r="F90" s="88" t="n"/>
      <c r="I90" s="105" t="n"/>
    </row>
    <row r="91" ht="14.25" customHeight="1" s="137">
      <c r="A91" s="122" t="inlineStr">
        <is>
          <t>Carved Goose Egg</t>
        </is>
      </c>
      <c r="B91" s="104" t="inlineStr">
        <is>
          <t>Etsy</t>
        </is>
      </c>
      <c r="C91" s="88" t="n">
        <v>30</v>
      </c>
      <c r="F91" s="88" t="n"/>
      <c r="I91" s="105" t="n"/>
    </row>
    <row r="92" ht="14.25" customHeight="1" s="137">
      <c r="A92" s="122" t="inlineStr">
        <is>
          <t>Carved Goose Egg</t>
        </is>
      </c>
      <c r="B92" s="104" t="inlineStr">
        <is>
          <t>Etsy</t>
        </is>
      </c>
      <c r="C92" s="88" t="n">
        <v>35</v>
      </c>
      <c r="F92" s="88" t="n"/>
      <c r="I92" s="105" t="n"/>
    </row>
    <row r="93" ht="14.25" customHeight="1" s="137">
      <c r="A93" s="122" t="inlineStr">
        <is>
          <t>Quimbaya Figure (Gift)</t>
        </is>
      </c>
      <c r="B93" s="104" t="inlineStr">
        <is>
          <t>Jeffrey Norris</t>
        </is>
      </c>
      <c r="C93" s="88" t="n">
        <v>10</v>
      </c>
      <c r="D93" s="92" t="n">
        <v>45079</v>
      </c>
      <c r="I93" s="105" t="n"/>
    </row>
    <row r="94" ht="14.25" customHeight="1" s="137">
      <c r="A94" s="122" t="inlineStr">
        <is>
          <t>A Saharan Stone Discoidal (Gift)</t>
        </is>
      </c>
      <c r="B94" s="104" t="inlineStr">
        <is>
          <t>Aquinas Hobor</t>
        </is>
      </c>
      <c r="C94" s="88" t="n">
        <v>10</v>
      </c>
      <c r="D94" s="92" t="n">
        <v>45079</v>
      </c>
      <c r="I94" s="105" t="n"/>
    </row>
    <row r="95" ht="14.25" customHeight="1" s="137">
      <c r="A95" s="122" t="inlineStr">
        <is>
          <t>A Saharan Stone Discoidal</t>
        </is>
      </c>
      <c r="B95" s="104" t="inlineStr">
        <is>
          <t>Aquinas Hobor</t>
        </is>
      </c>
      <c r="C95" s="103" t="n">
        <v>500</v>
      </c>
      <c r="D95" s="92" t="n">
        <v>45079</v>
      </c>
      <c r="F95" s="88" t="n"/>
      <c r="I95" s="105" t="n"/>
    </row>
    <row r="96" ht="14.25" customHeight="1" s="137">
      <c r="A96" s="122" t="inlineStr">
        <is>
          <t>Two Songye and Bozo Vessels</t>
        </is>
      </c>
      <c r="B96" s="104" t="inlineStr">
        <is>
          <t>Hindman</t>
        </is>
      </c>
      <c r="C96" s="103" t="n">
        <v>138.91</v>
      </c>
      <c r="D96" s="92" t="n">
        <v>45211</v>
      </c>
      <c r="F96" s="88" t="n"/>
      <c r="I96" s="105" t="n"/>
    </row>
    <row r="97" ht="14.25" customHeight="1" s="137">
      <c r="A97" s="122" t="inlineStr">
        <is>
          <t xml:space="preserve">Sword 9th Century </t>
        </is>
      </c>
      <c r="B97" s="104" t="inlineStr">
        <is>
          <t>Zevantiques</t>
        </is>
      </c>
      <c r="C97" s="103" t="n">
        <v>3000</v>
      </c>
      <c r="D97" s="92" t="n">
        <v>45311</v>
      </c>
      <c r="F97" s="88" t="n"/>
      <c r="I97" s="105" t="n"/>
    </row>
    <row r="98" ht="14.25" customHeight="1" s="137">
      <c r="A98" s="122" t="inlineStr">
        <is>
          <t>A Roman Marble Plaque with Insciption</t>
        </is>
      </c>
      <c r="B98" s="104" t="inlineStr">
        <is>
          <t>ebay</t>
        </is>
      </c>
      <c r="C98" s="103" t="n">
        <v>1331.41</v>
      </c>
      <c r="D98" s="92" t="n">
        <v>45546</v>
      </c>
      <c r="F98" s="88" t="n"/>
      <c r="I98" s="105" t="n"/>
    </row>
    <row r="99" ht="14.25" customHeight="1" s="137">
      <c r="A99" s="122" t="inlineStr">
        <is>
          <t>Erotic Intaglio Finger Ring</t>
        </is>
      </c>
      <c r="B99" s="104" t="inlineStr">
        <is>
          <t>ebay</t>
        </is>
      </c>
      <c r="C99" s="103" t="n">
        <v>205.07</v>
      </c>
      <c r="D99" s="92" t="n">
        <v>45446</v>
      </c>
      <c r="F99" s="88" t="n"/>
      <c r="I99" s="105" t="n"/>
    </row>
    <row r="100" ht="14.25" customHeight="1" s="137">
      <c r="B100" s="104" t="n"/>
      <c r="C100" s="103" t="n"/>
      <c r="D100" s="92" t="n"/>
      <c r="F100" s="88" t="n"/>
      <c r="I100" s="105" t="n"/>
    </row>
    <row r="101" ht="14.25" customHeight="1" s="137">
      <c r="A101" s="5" t="inlineStr">
        <is>
          <t>Total</t>
        </is>
      </c>
      <c r="B101" s="104" t="n"/>
      <c r="C101" s="86" t="n"/>
      <c r="F101" s="88" t="n"/>
      <c r="I101" s="105" t="n"/>
    </row>
    <row r="102" ht="14.25" customHeight="1" s="137">
      <c r="B102" s="104" t="n"/>
      <c r="C102" s="88" t="n"/>
      <c r="F102" s="88" t="n"/>
      <c r="I102" s="105" t="n"/>
    </row>
    <row r="103" ht="14.25" customHeight="1" s="137">
      <c r="A103" s="119" t="inlineStr">
        <is>
          <t>Office/Business Inventory</t>
        </is>
      </c>
      <c r="B103" s="120" t="n"/>
      <c r="C103" s="100" t="n"/>
      <c r="D103" s="99" t="n"/>
      <c r="E103" s="99" t="n"/>
      <c r="F103" s="100" t="n"/>
      <c r="G103" s="99" t="n"/>
      <c r="H103" s="99" t="n"/>
      <c r="I103" s="121" t="n"/>
      <c r="J103" s="99" t="n"/>
      <c r="K103" s="99" t="n"/>
      <c r="L103" s="99" t="n"/>
      <c r="M103" s="99" t="n"/>
      <c r="N103" s="99" t="n"/>
      <c r="O103" s="99" t="n"/>
      <c r="P103" s="99" t="n"/>
      <c r="Q103" s="99" t="n"/>
      <c r="R103" s="99" t="n"/>
      <c r="S103" s="99" t="n"/>
      <c r="T103" s="99" t="n"/>
      <c r="U103" s="99" t="n"/>
      <c r="V103" s="99" t="n"/>
      <c r="W103" s="99" t="n"/>
      <c r="X103" s="99" t="n"/>
      <c r="Y103" s="99" t="n"/>
      <c r="Z103" s="99" t="n"/>
    </row>
    <row r="104" ht="14.25" customHeight="1" s="137">
      <c r="A104" s="122" t="inlineStr">
        <is>
          <t>Sofa</t>
        </is>
      </c>
      <c r="B104" s="104" t="n"/>
      <c r="C104" s="88" t="n"/>
      <c r="F104" s="88" t="n"/>
      <c r="I104" s="105" t="n"/>
    </row>
    <row r="105" ht="14.25" customHeight="1" s="137">
      <c r="A105" s="122" t="inlineStr">
        <is>
          <t>Space Heater</t>
        </is>
      </c>
      <c r="B105" s="104" t="n"/>
      <c r="C105" s="88" t="n"/>
      <c r="F105" s="88" t="n"/>
      <c r="I105" s="105" t="n"/>
    </row>
    <row r="106" ht="14.25" customHeight="1" s="137">
      <c r="A106" s="122" t="inlineStr">
        <is>
          <t>Shelving</t>
        </is>
      </c>
      <c r="B106" s="104" t="n"/>
      <c r="C106" s="88" t="n"/>
      <c r="F106" s="88" t="n"/>
      <c r="I106" s="105" t="n"/>
    </row>
    <row r="107" ht="14.25" customHeight="1" s="137">
      <c r="A107" s="122" t="inlineStr">
        <is>
          <t>Storage Bins</t>
        </is>
      </c>
      <c r="B107" s="104" t="n"/>
      <c r="C107" s="88" t="n"/>
      <c r="F107" s="88" t="n"/>
      <c r="I107" s="105" t="n"/>
    </row>
    <row r="108" ht="14.25" customHeight="1" s="137">
      <c r="A108" s="122" t="inlineStr">
        <is>
          <t>Table</t>
        </is>
      </c>
      <c r="B108" s="104" t="n"/>
      <c r="C108" s="88" t="n"/>
      <c r="F108" s="88" t="n"/>
      <c r="I108" s="105" t="n"/>
    </row>
    <row r="109" ht="14.25" customHeight="1" s="137">
      <c r="A109" s="122" t="inlineStr">
        <is>
          <t>Computer</t>
        </is>
      </c>
      <c r="B109" s="104" t="n"/>
      <c r="C109" s="88" t="n"/>
      <c r="F109" s="88" t="n"/>
      <c r="I109" s="105" t="n"/>
    </row>
    <row r="110" ht="14.25" customHeight="1" s="137">
      <c r="A110" s="122" t="inlineStr">
        <is>
          <t>Art Library</t>
        </is>
      </c>
      <c r="B110" s="104" t="n"/>
      <c r="C110" s="88" t="n"/>
      <c r="F110" s="88" t="n"/>
      <c r="I110" s="105" t="n"/>
    </row>
    <row r="111" ht="14.25" customHeight="1" s="137">
      <c r="A111" s="122" t="inlineStr">
        <is>
          <t>Standing Desk</t>
        </is>
      </c>
      <c r="B111" s="104" t="n"/>
      <c r="C111" s="88" t="n"/>
      <c r="F111" s="88" t="n"/>
      <c r="I111" s="105" t="n"/>
    </row>
    <row r="112" ht="14.25" customHeight="1" s="137">
      <c r="B112" s="104" t="n"/>
      <c r="C112" s="88" t="n"/>
      <c r="F112" s="88" t="n"/>
      <c r="I112" s="105" t="n"/>
    </row>
    <row r="113" ht="14.25" customHeight="1" s="137">
      <c r="A113" s="156" t="inlineStr">
        <is>
          <t>2025 CC inventory (not in Cost total until object is named)</t>
        </is>
      </c>
      <c r="B113" s="104" t="n"/>
      <c r="C113" s="88" t="n"/>
      <c r="F113" s="88" t="n"/>
      <c r="I113" s="105" t="n"/>
    </row>
    <row r="114" ht="14.25" customHeight="1" s="137">
      <c r="A114" s="0" t="inlineStr">
        <is>
          <t>Los Angeles Modern Auctions (inventory purchase)</t>
        </is>
      </c>
      <c r="B114" s="0" t="inlineStr">
        <is>
          <t>Sapphire 5423</t>
        </is>
      </c>
      <c r="C114" s="157" t="n">
        <v>6821.06</v>
      </c>
      <c r="D114" s="0" t="inlineStr">
        <is>
          <t>2025-07-24</t>
        </is>
      </c>
    </row>
    <row r="115" ht="14.25" customHeight="1" s="137">
      <c r="A115" s="0" t="inlineStr">
        <is>
          <t>Hindman LLC (inventory purchase)</t>
        </is>
      </c>
      <c r="B115" s="0" t="inlineStr">
        <is>
          <t>Sapphire 5423</t>
        </is>
      </c>
      <c r="C115" s="157" t="n">
        <v>282.24</v>
      </c>
      <c r="D115" s="0" t="inlineStr">
        <is>
          <t>2025-04-03</t>
        </is>
      </c>
    </row>
    <row r="116" ht="14.25" customHeight="1" s="137">
      <c r="A116" s="0" t="inlineStr">
        <is>
          <t>Hindman LLC (inventory purchase)</t>
        </is>
      </c>
      <c r="B116" s="0" t="inlineStr">
        <is>
          <t>Sapphire 5423</t>
        </is>
      </c>
      <c r="C116" s="157" t="n">
        <v>403.51</v>
      </c>
      <c r="D116" s="0" t="inlineStr">
        <is>
          <t>2025-07-29</t>
        </is>
      </c>
    </row>
    <row r="117" ht="14.25" customHeight="1" s="137">
      <c r="A117" s="0" t="inlineStr">
        <is>
          <t>The Great Frame Up (inventory framing)</t>
        </is>
      </c>
      <c r="B117" s="0" t="inlineStr">
        <is>
          <t>Sapphire 5423</t>
        </is>
      </c>
      <c r="C117" s="157" t="n">
        <v>536.41</v>
      </c>
      <c r="D117" s="0" t="inlineStr">
        <is>
          <t>2025-02-16</t>
        </is>
      </c>
    </row>
    <row r="118" ht="14.25" customHeight="1" s="137"/>
    <row r="119" ht="14.25" customHeight="1" s="137">
      <c r="A119" s="201" t="inlineStr">
        <is>
          <t>2025 Mercury 8291 — David Aaron Limited is LOCKED consultant fee (not Art Sales)</t>
        </is>
      </c>
    </row>
    <row r="120" ht="14.25" customHeight="1" s="137">
      <c r="A120" s="181" t="inlineStr">
        <is>
          <t>NOT a 2025 art sale — David Aaron Limited consultant fee (EPGC Consultant June)</t>
        </is>
      </c>
      <c r="B120" s="181" t="inlineStr">
        <is>
          <t>David Aaron Limited</t>
        </is>
      </c>
      <c r="C120" s="181" t="n"/>
      <c r="D120" s="181" t="n"/>
      <c r="E120" s="181" t="n"/>
      <c r="F120" s="183" t="n"/>
      <c r="G120" s="206" t="n"/>
      <c r="H120" s="206" t="n"/>
      <c r="I120" s="181" t="inlineStr">
        <is>
          <t>LOCKED 2026-09-20: consultant fee, not a sale. $13,595 is on EPGC Consultant June. Not tax advice.</t>
        </is>
      </c>
    </row>
    <row r="121" ht="14.25" customHeight="1" s="137"/>
    <row r="122" ht="14.25" customHeight="1" s="137">
      <c r="A122" s="201" t="inlineStr">
        <is>
          <t>2025 Mercury COGS — Newstar Jewelers (LOCKED jewelry fabrication)</t>
        </is>
      </c>
    </row>
    <row r="123" ht="14.25" customHeight="1" s="137">
      <c r="A123" s="202" t="inlineStr">
        <is>
          <t>Newstar Jewelers — jewelry from intaglios / engraved gems / scarabs</t>
        </is>
      </c>
      <c r="B123" s="202" t="inlineStr">
        <is>
          <t>Mercury 8291</t>
        </is>
      </c>
      <c r="C123" s="203" t="n">
        <v>8000</v>
      </c>
      <c r="D123" s="202" t="inlineStr">
        <is>
          <t>2025-10-14</t>
        </is>
      </c>
      <c r="I123" s="0" t="inlineStr">
        <is>
          <t>LOCKED COGS fabrication. Not in sold-lot Cost total (Feb Berk lots already sold). Identify which gems/intaglios/scarabs.</t>
        </is>
      </c>
    </row>
    <row r="124" ht="14.25" customHeight="1" s="137">
      <c r="A124" s="202" t="inlineStr">
        <is>
          <t>Newstar Jewelers — jewelry from intaglios / engraved gems / scarabs</t>
        </is>
      </c>
      <c r="B124" s="202" t="inlineStr">
        <is>
          <t>Mercury 8291</t>
        </is>
      </c>
      <c r="C124" s="203" t="n">
        <v>8000</v>
      </c>
      <c r="D124" s="202" t="inlineStr">
        <is>
          <t>2025-11-12</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 (3 of 3)</t>
        </is>
      </c>
      <c r="B125" s="202" t="inlineStr">
        <is>
          <t>Mercury 8291</t>
        </is>
      </c>
      <c r="C125" s="203" t="n">
        <v>7581</v>
      </c>
      <c r="D125" s="202" t="inlineStr">
        <is>
          <t>2025-12-24</t>
        </is>
      </c>
      <c r="I125" s="0" t="inlineStr">
        <is>
          <t>LOCKED COGS fabrication. Not in sold-lot Cost total (Feb Berk lots already sold). Identify which gems/intaglios/scarabs.</t>
        </is>
      </c>
    </row>
    <row r="126" ht="14.25" customHeight="1" s="137">
      <c r="A126" s="0" t="inlineStr">
        <is>
          <t>Newstar 2025 total</t>
        </is>
      </c>
      <c r="C126" s="203">
        <f>SUM(C123:C125)</f>
        <v/>
      </c>
    </row>
    <row r="127" ht="14.25" customHeight="1" s="137"/>
    <row r="128" ht="14.25" customHeight="1" s="137">
      <c r="A128" s="204" t="inlineStr">
        <is>
          <t>2025 Mercury ASK — Fortuna inventory remaining (not in Cost total until object is named)</t>
        </is>
      </c>
    </row>
    <row r="129" ht="14.25" customHeight="1" s="137">
      <c r="A129" s="200" t="inlineStr">
        <is>
          <t>Fortuna / Erdal Dere — object TBD</t>
        </is>
      </c>
      <c r="B129" s="200" t="inlineStr">
        <is>
          <t>Mercury 8291</t>
        </is>
      </c>
      <c r="C129" s="157" t="n">
        <v>20000</v>
      </c>
      <c r="D129" s="200" t="inlineStr">
        <is>
          <t>2025-05-09</t>
        </is>
      </c>
      <c r="I129" s="0" t="inlineStr">
        <is>
          <t>ASK: inventory purchase vs other. Do not add to sold Cost until named (avoid double count).</t>
        </is>
      </c>
    </row>
    <row r="130" ht="14.25" customHeight="1" s="137">
      <c r="A130" s="200" t="inlineStr">
        <is>
          <t>Fortuna / Erdal Dere — object TBD</t>
        </is>
      </c>
      <c r="B130" s="200" t="inlineStr">
        <is>
          <t>Mercury 8291</t>
        </is>
      </c>
      <c r="C130" s="157" t="n">
        <v>45000</v>
      </c>
      <c r="D130" s="200" t="inlineStr">
        <is>
          <t>2025-07-21</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20000</v>
      </c>
      <c r="D131" s="200" t="inlineStr">
        <is>
          <t>2025-08-15</t>
        </is>
      </c>
      <c r="I131" s="0" t="inlineStr">
        <is>
          <t>ASK: inventory purchase vs other. Do not add to sold Cost until named (avoid double count).</t>
        </is>
      </c>
    </row>
    <row r="132" ht="14.25" customHeight="1" s="137">
      <c r="A132" s="0" t="inlineStr">
        <is>
          <t>Fortuna remaining 2025 (excl. seals $13,000 already on row 73)</t>
        </is>
      </c>
      <c r="C132" s="157" t="n">
        <v>85000</v>
      </c>
    </row>
    <row r="133" ht="14.25" customHeight="1" s="137"/>
    <row r="134" ht="14.25" customHeight="1" s="137">
      <c r="A134" s="201" t="inlineStr">
        <is>
          <t>2025 Mercury 8291 — Books sold to Aquinas Hobor (LOCKED)</t>
        </is>
      </c>
    </row>
    <row r="135" ht="14.25" customHeight="1" s="137">
      <c r="A135" s="181" t="inlineStr">
        <is>
          <t>Books sold to Aquinas Hobor (titles TBD)</t>
        </is>
      </c>
      <c r="B135" s="181" t="inlineStr">
        <is>
          <t>Aquinas Hobor</t>
        </is>
      </c>
      <c r="C135" s="181" t="n"/>
      <c r="D135" s="181" t="n"/>
      <c r="E135" s="181" t="inlineStr">
        <is>
          <t>Aquinas Hobor</t>
        </is>
      </c>
      <c r="F135" s="183" t="n">
        <v>1000</v>
      </c>
      <c r="G135" s="209" t="n">
        <v>45692</v>
      </c>
      <c r="H135" s="181">
        <f>IF(C135="","",F135-C135)</f>
        <v/>
      </c>
      <c r="I135" s="181" t="inlineStr">
        <is>
          <t>LOCKED 2026-09-20: books sold to Aquinas. $1,000 cash on EPGC Art Sales February. Cost / titles TBD — not in Income I8 until Cost. Distinct from 2022 Saharan bracelets. Not tax advice.</t>
        </is>
      </c>
    </row>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78:I78"/>
    <mergeCell ref="A119:I11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t>
        </is>
      </c>
      <c r="H6" s="178" t="inlineStr">
        <is>
          <t>no</t>
        </is>
      </c>
      <c r="I6" s="178" t="inlineStr">
        <is>
          <t>no</t>
        </is>
      </c>
      <c r="J6" s="178" t="inlineStr">
        <is>
          <t>Business Income</t>
        </is>
      </c>
      <c r="K6" s="178" t="inlineStr">
        <is>
          <t>Incoming Wire; MAKE A PAYMENT; Merchant name: EOEB LLC</t>
        </is>
      </c>
      <c r="L6" s="182" t="inlineStr">
        <is>
          <t>Art Sales has Canosan Terracotta Horse to Erdal $1,000. This cash is EOEB, not Erdal. Sale or advisory invoice?</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sold to Aquinas Hobor — Sale Price</t>
        </is>
      </c>
      <c r="H8" s="178" t="inlineStr">
        <is>
          <t>YES</t>
        </is>
      </c>
      <c r="I8" s="178" t="inlineStr">
        <is>
          <t>no</t>
        </is>
      </c>
      <c r="J8" s="178" t="inlineStr">
        <is>
          <t>Transfer</t>
        </is>
      </c>
      <c r="K8" s="178" t="inlineStr">
        <is>
          <t>AQUINAS HOBOR; SENDER; 770699534; Merchant name: AQUINAS HOBOR</t>
        </is>
      </c>
      <c r="L8" s="182" t="inlineStr">
        <is>
          <t>User 2026-09-20: books sold to Aquinas. Hits EPGC Art Sales February $1,000. Cost / titles TBD (not in I8 net until Cost). Distinct from 2022 Saharan bracelets sale.</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sale vs art advisory</t>
        </is>
      </c>
      <c r="H18" s="178" t="inlineStr">
        <is>
          <t>no</t>
        </is>
      </c>
      <c r="I18" s="178" t="inlineStr">
        <is>
          <t>no — ASK first</t>
        </is>
      </c>
      <c r="J18" s="178" t="inlineStr">
        <is>
          <t>Business Income</t>
        </is>
      </c>
      <c r="K18" s="178" t="inlineStr">
        <is>
          <t>Incoming Wire; MAKE A PAYMENT; Merchant name: EOEB LLC</t>
        </is>
      </c>
      <c r="L18" s="182" t="inlineStr">
        <is>
          <t>Invoice / MAKE A PAYMENT. Not matched to an Art Sales object. Proposed advisory (Consultant) until you say otherwise.</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sale vs art advisory</t>
        </is>
      </c>
      <c r="H19" s="178" t="inlineStr">
        <is>
          <t>no</t>
        </is>
      </c>
      <c r="I19" s="178" t="inlineStr">
        <is>
          <t>no — ASK first</t>
        </is>
      </c>
      <c r="J19" s="178" t="inlineStr">
        <is>
          <t>Business Income</t>
        </is>
      </c>
      <c r="K19" s="178" t="inlineStr">
        <is>
          <t>Incoming Wire; MAKE A PAYMENT; Merchant name: EOEB LLC</t>
        </is>
      </c>
      <c r="L19" s="182" t="inlineStr">
        <is>
          <t>Invoice / MAKE A PAYMENT. Proposed advisory until confirmed.</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sale vs art advisory</t>
        </is>
      </c>
      <c r="H21" s="178" t="inlineStr">
        <is>
          <t>no</t>
        </is>
      </c>
      <c r="I21" s="178" t="inlineStr">
        <is>
          <t>no — ASK first</t>
        </is>
      </c>
      <c r="J21" s="178" t="inlineStr">
        <is>
          <t>Business Income</t>
        </is>
      </c>
      <c r="K21" s="178" t="inlineStr">
        <is>
          <t>Incoming Wire; MAKE A PAYMENT; Merchant name: EOEB LLC</t>
        </is>
      </c>
      <c r="L21" s="182" t="inlineStr">
        <is>
          <t>Invoice / MAKE A PAYMENT. Proposed advisory until confirmed.</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sale vs art advisory</t>
        </is>
      </c>
      <c r="H22" s="178" t="inlineStr">
        <is>
          <t>no</t>
        </is>
      </c>
      <c r="I22" s="178" t="inlineStr">
        <is>
          <t>no — ASK first</t>
        </is>
      </c>
      <c r="J22" s="178" t="inlineStr">
        <is>
          <t>Business Income</t>
        </is>
      </c>
      <c r="K22" s="178" t="inlineStr">
        <is>
          <t>Incoming Wire; MAKE A PAYMENT; Merchant name: EOEB LLC</t>
        </is>
      </c>
      <c r="L22" s="182" t="inlineStr">
        <is>
          <t>Invoice / MAKE A PAYMENT. Proposed advisory until confirmed.</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sale vs art advisory</t>
        </is>
      </c>
      <c r="H23" s="178" t="inlineStr">
        <is>
          <t>no</t>
        </is>
      </c>
      <c r="I23" s="178" t="inlineStr">
        <is>
          <t>no — ASK first</t>
        </is>
      </c>
      <c r="J23" s="178" t="inlineStr">
        <is>
          <t>Business Income</t>
        </is>
      </c>
      <c r="K23" s="178" t="inlineStr">
        <is>
          <t>Incoming Wire; MAKE A PAYMENT; Merchant name: EOEB LLC</t>
        </is>
      </c>
      <c r="L23" s="182" t="inlineStr">
        <is>
          <t>Invoice / MAKE A PAYMENT. Proposed advisory until confirmed.</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sale vs art advisory</t>
        </is>
      </c>
      <c r="H26" s="178" t="inlineStr">
        <is>
          <t>no</t>
        </is>
      </c>
      <c r="I26" s="178" t="inlineStr">
        <is>
          <t>no — ASK first</t>
        </is>
      </c>
      <c r="J26" s="178" t="inlineStr">
        <is>
          <t>Transfer</t>
        </is>
      </c>
      <c r="K26" s="178" t="inlineStr">
        <is>
          <t>Auto-Routing transfer; Merchant name: EOEB LLC</t>
        </is>
      </c>
      <c r="L26" s="182" t="inlineStr">
        <is>
          <t>Auto-Routing Request or Invoice Payment. Proposed advisory until confirmed.</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sale vs art advisory</t>
        </is>
      </c>
      <c r="H28" s="178" t="inlineStr">
        <is>
          <t>no</t>
        </is>
      </c>
      <c r="I28" s="178" t="inlineStr">
        <is>
          <t>no — ASK first</t>
        </is>
      </c>
      <c r="J28" s="178" t="inlineStr">
        <is>
          <t>Business Income</t>
        </is>
      </c>
      <c r="K28" s="178" t="inlineStr">
        <is>
          <t>Auto-Routing transfer; Merchant name: L5</t>
        </is>
      </c>
      <c r="L28" s="182" t="inlineStr">
        <is>
          <t>Auto-Routing Request or Invoice Payment. Same invoice pattern as EOEB. Proposed advisory until confirmed.</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sale vs art advisory</t>
        </is>
      </c>
      <c r="H29" s="178" t="inlineStr">
        <is>
          <t>no</t>
        </is>
      </c>
      <c r="I29" s="178" t="inlineStr">
        <is>
          <t>no — ASK first</t>
        </is>
      </c>
      <c r="J29" s="178" t="inlineStr">
        <is>
          <t>Business Income</t>
        </is>
      </c>
      <c r="K29" s="178" t="inlineStr">
        <is>
          <t>Auto-Routing transfer; Merchant name: L5</t>
        </is>
      </c>
      <c r="L29" s="182" t="inlineStr">
        <is>
          <t>Auto-Routing Request or Invoice Payment. Proposed advisory until confirmed.</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sale vs art advisory vs pass-through</t>
        </is>
      </c>
      <c r="H30" s="178" t="inlineStr">
        <is>
          <t>no</t>
        </is>
      </c>
      <c r="I30" s="178" t="inlineStr">
        <is>
          <t>no — ASK first</t>
        </is>
      </c>
      <c r="J30" s="178" t="inlineStr">
        <is>
          <t>Transfer</t>
        </is>
      </c>
      <c r="K30" s="178" t="inlineStr">
        <is>
          <t>Auto-Routing transfer; Merchant name: L5</t>
        </is>
      </c>
      <c r="L30" s="182" t="inlineStr">
        <is>
          <t>Largest L5 invoice. Sale of an object, advisory, or pass-through?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sale vs art advisory</t>
        </is>
      </c>
      <c r="H36" s="178" t="inlineStr">
        <is>
          <t>no</t>
        </is>
      </c>
      <c r="I36" s="178" t="inlineStr">
        <is>
          <t>no — ASK first</t>
        </is>
      </c>
      <c r="J36" s="178" t="inlineStr">
        <is>
          <t>Business Income</t>
        </is>
      </c>
      <c r="K36" s="178" t="inlineStr">
        <is>
          <t>Auto-Routing transfer; Merchant name: EOEB LLC</t>
        </is>
      </c>
      <c r="L36" s="182" t="inlineStr">
        <is>
          <t>Auto-Routing. Proposed advisory until confirmed.</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sale vs art advisory</t>
        </is>
      </c>
      <c r="H37" s="178" t="inlineStr">
        <is>
          <t>no</t>
        </is>
      </c>
      <c r="I37" s="178" t="inlineStr">
        <is>
          <t>no — ASK first</t>
        </is>
      </c>
      <c r="J37" s="178" t="inlineStr">
        <is>
          <t>Business Income</t>
        </is>
      </c>
      <c r="K37" s="178" t="inlineStr">
        <is>
          <t>Auto-Routing transfer; Merchant name: L5</t>
        </is>
      </c>
      <c r="L37" s="182" t="inlineStr">
        <is>
          <t>Auto-Routing. Proposed advisory until confirmed.</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sale vs art advisory</t>
        </is>
      </c>
      <c r="H39" s="178" t="inlineStr">
        <is>
          <t>no</t>
        </is>
      </c>
      <c r="I39" s="178" t="inlineStr">
        <is>
          <t>no — ASK first</t>
        </is>
      </c>
      <c r="J39" s="178" t="inlineStr">
        <is>
          <t>Business Income</t>
        </is>
      </c>
      <c r="K39" s="178" t="inlineStr">
        <is>
          <t>Auto-Routing transfer; Merchant name: EOEB LLC</t>
        </is>
      </c>
      <c r="L39" s="182" t="inlineStr">
        <is>
          <t>Auto-Routing. Proposed advisory until confirmed.</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sale vs art advisory</t>
        </is>
      </c>
      <c r="H40" s="178" t="inlineStr">
        <is>
          <t>no</t>
        </is>
      </c>
      <c r="I40" s="178" t="inlineStr">
        <is>
          <t>no — ASK first</t>
        </is>
      </c>
      <c r="J40" s="178" t="inlineStr">
        <is>
          <t>Business Income</t>
        </is>
      </c>
      <c r="K40" s="178" t="inlineStr">
        <is>
          <t>Auto-Routing transfer; Merchant name: L5</t>
        </is>
      </c>
      <c r="L40" s="182" t="inlineStr">
        <is>
          <t>Auto-Routing. Proposed advisory until confirmed.</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sale vs art advisory</t>
        </is>
      </c>
      <c r="H42" s="178" t="inlineStr">
        <is>
          <t>no</t>
        </is>
      </c>
      <c r="I42" s="178" t="inlineStr">
        <is>
          <t>no — ASK first</t>
        </is>
      </c>
      <c r="J42" s="178" t="inlineStr">
        <is>
          <t>Business Income</t>
        </is>
      </c>
      <c r="K42" s="178" t="inlineStr">
        <is>
          <t>Auto-Routing transfer; Merchant name: EOEB LLC</t>
        </is>
      </c>
      <c r="L42" s="182" t="inlineStr">
        <is>
          <t>Auto-Routing. Proposed advisory until confirmed.</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sale vs art advisory</t>
        </is>
      </c>
      <c r="H45" s="178" t="inlineStr">
        <is>
          <t>no</t>
        </is>
      </c>
      <c r="I45" s="178" t="inlineStr">
        <is>
          <t>no — ASK first</t>
        </is>
      </c>
      <c r="J45" s="178" t="inlineStr">
        <is>
          <t>Transfer</t>
        </is>
      </c>
      <c r="K45" s="178" t="inlineStr">
        <is>
          <t>Auto-Routing transfer; Merchant name: EOEB LLC</t>
        </is>
      </c>
      <c r="L45" s="182" t="inlineStr">
        <is>
          <t>Auto-Routing. Proposed advisory until confirmed.</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sale vs art advisory</t>
        </is>
      </c>
      <c r="H49" s="178" t="inlineStr">
        <is>
          <t>no</t>
        </is>
      </c>
      <c r="I49" s="178" t="inlineStr">
        <is>
          <t>no — ASK first</t>
        </is>
      </c>
      <c r="J49" s="178" t="inlineStr">
        <is>
          <t>Business Income</t>
        </is>
      </c>
      <c r="K49" s="178" t="inlineStr">
        <is>
          <t>Auto-Routing transfer; Merchant name: EOEB LLC</t>
        </is>
      </c>
      <c r="L49" s="182" t="inlineStr">
        <is>
          <t>Auto-Routing. Proposed advisory until confirmed.</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sale vs art advisory</t>
        </is>
      </c>
      <c r="H52" s="178" t="inlineStr">
        <is>
          <t>no</t>
        </is>
      </c>
      <c r="I52" s="178" t="inlineStr">
        <is>
          <t>no — ASK first</t>
        </is>
      </c>
      <c r="J52" s="178" t="inlineStr">
        <is>
          <t>Business Income</t>
        </is>
      </c>
      <c r="K52" s="178" t="inlineStr">
        <is>
          <t>Auto-Routing transfer; Merchant name: L5</t>
        </is>
      </c>
      <c r="L52" s="182" t="inlineStr">
        <is>
          <t>Auto-Routing. Proposed advisory until confirmed.</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sale vs art advisory</t>
        </is>
      </c>
      <c r="H53" s="178" t="inlineStr">
        <is>
          <t>no</t>
        </is>
      </c>
      <c r="I53" s="178" t="inlineStr">
        <is>
          <t>no — ASK first</t>
        </is>
      </c>
      <c r="J53" s="178" t="inlineStr">
        <is>
          <t>Transfer</t>
        </is>
      </c>
      <c r="K53" s="178" t="inlineStr">
        <is>
          <t>Auto-Routing transfer; Merchant name: EOEB LLC</t>
        </is>
      </c>
      <c r="L53" s="182" t="inlineStr">
        <is>
          <t>Auto-Routing. Proposed advisory until confirmed.</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sale vs art advisory</t>
        </is>
      </c>
      <c r="H55" s="178" t="inlineStr">
        <is>
          <t>no</t>
        </is>
      </c>
      <c r="I55" s="178" t="inlineStr">
        <is>
          <t>no — ASK first</t>
        </is>
      </c>
      <c r="J55" s="178" t="inlineStr">
        <is>
          <t>Business Income</t>
        </is>
      </c>
      <c r="K55" s="178" t="inlineStr">
        <is>
          <t>Auto-Routing transfer; Merchant name: EOEB LLC</t>
        </is>
      </c>
      <c r="L55" s="182" t="inlineStr">
        <is>
          <t>Auto-Routing. Proposed advisory until confirmed.</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sale vs art advisory</t>
        </is>
      </c>
      <c r="H64" s="178" t="inlineStr">
        <is>
          <t>no</t>
        </is>
      </c>
      <c r="I64" s="178" t="inlineStr">
        <is>
          <t>no — ASK first</t>
        </is>
      </c>
      <c r="J64" s="178" t="inlineStr">
        <is>
          <t>Transfer</t>
        </is>
      </c>
      <c r="K64" s="178" t="inlineStr">
        <is>
          <t>Auto-Routing transfer; Merchant name: L5</t>
        </is>
      </c>
      <c r="L64" s="182" t="inlineStr">
        <is>
          <t>Auto-Routing. Proposed advisory until confirmed.</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6"/>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write-ups, Q8 pass-through, Q9 Aquinas books LOCKED 2026-09-20. Not tax advice.</t>
        </is>
      </c>
    </row>
    <row r="3">
      <c r="A3" s="188" t="inlineStr">
        <is>
          <t>Question</t>
        </is>
      </c>
      <c r="B3" s="188" t="inlineStr">
        <is>
          <t>What I need</t>
        </is>
      </c>
    </row>
    <row r="4" ht="48" customHeight="1" s="137">
      <c r="A4" s="189" t="inlineStr">
        <is>
          <t>1. EOEB LLC remainder after mosaics</t>
        </is>
      </c>
      <c r="B4" s="190" t="inlineStr">
        <is>
          <t>$130,270.00 of EOEB IN is not the $105,000 mosaics sale and not the $565.75 Wise reimbursement. Invoice / MAKE A PAYMENT pattern. Book as art advisory (EPGC Consultant) or as more art sales? Jan 16 $1,000 might be the Canosan horse (sold to Erdal $1,000 on Art Sales) — yes/no?</t>
        </is>
      </c>
    </row>
    <row r="5" ht="48" customHeight="1" s="137">
      <c r="A5" s="189" t="inlineStr">
        <is>
          <t>2. L5 (all seven invoices)</t>
        </is>
      </c>
      <c r="B5" s="190" t="inlineStr">
        <is>
          <t>$87,396.32. Same Auto-Routing Request or Invoice Payment pattern as EOEB. Advisory fees, art sales, or mixed? The 7/15 $50,000 lands the same week as Aysel $50k and Fortuna $45k.</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books sold</t>
        </is>
      </c>
      <c r="B12" s="208" t="inlineStr">
        <is>
          <t>CONFIRMED 2026-09-20: books sold to Aquinas. Booked EPGC Art Sales February $1,000 (peach). Cost / titles TBD — not in Income I8 until Cost. Distinct from 2022 Saharan bracelets.</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books sold → EPGC Art Sales February. Cost / titles TBD (not in I8 until Cost).</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2026-09-20T13:30:50Z</dcterms:modified>
</cp:coreProperties>
</file>