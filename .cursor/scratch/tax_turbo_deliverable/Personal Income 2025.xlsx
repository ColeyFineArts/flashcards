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come" sheetId="1" state="visible" r:id="rId1"/>
    <sheet name="524 Ferdinand Ave, Unit 2" sheetId="2" state="visible" r:id="rId2"/>
    <sheet name="216 N. Oak Park Ave" sheetId="3" state="visible" r:id="rId3"/>
    <sheet name="EPGC LLC" sheetId="4" state="visible" r:id="rId4"/>
    <sheet name="Refrence Library" sheetId="5" state="visible" r:id="rId5"/>
    <sheet name="Art Sales and Purchases" sheetId="6" state="visible" r:id="rId6"/>
    <sheet name="GCM" sheetId="7" state="visible" r:id="rId7"/>
    <sheet name="Hindman W2" sheetId="8" state="visible" r:id="rId8"/>
    <sheet name="Megan T4" sheetId="9" state="visible" r:id="rId9"/>
    <sheet name="Investments" sheetId="10" state="visible" r:id="rId10"/>
    <sheet name="524 Ferdinand Ave, Unit 1" sheetId="11" state="hidden" r:id="rId11"/>
    <sheet name="2025 Data sources" sheetId="12" state="visible" r:id="rId12"/>
  </sheets>
  <externalReferences>
    <externalReference r:id="rId13"/>
  </externalReferences>
  <definedNames>
    <definedName name="a">'Art Sales and Purchases'!$A$3627</definedName>
    <definedName name="a" localSheetId="1">#REF!</definedName>
    <definedName name="a" localSheetId="2">#REF!</definedName>
    <definedName name="a" localSheetId="10">#REF!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_(&quot;$&quot;* #,##0.00_);_(&quot;$&quot;* \(#,##0.00\);_(&quot;$&quot;* &quot;-&quot;??_);_(@_)"/>
    <numFmt numFmtId="165" formatCode="&quot;$&quot;#,##0.00"/>
    <numFmt numFmtId="166" formatCode="_([$$-409]* #,##0.00_);_([$$-409]* \(#,##0.00\);_([$$-409]* &quot;-&quot;??_);_(@_)"/>
    <numFmt numFmtId="167" formatCode="&quot;$&quot;#,##0.00_);[Red]\(&quot;$&quot;#,##0.00\)"/>
    <numFmt numFmtId="168" formatCode="&quot;$&quot;#,##0_);[Red]\(&quot;$&quot;#,##0\)"/>
    <numFmt numFmtId="169" formatCode="_([$CAD]\ * #,##0.00_);_([$CAD]\ * \(#,##0.00\);_([$CAD]\ * &quot;-&quot;??_);_(@_)"/>
    <numFmt numFmtId="170" formatCode="YYYY-MM-DD"/>
  </numFmts>
  <fonts count="36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z val="11"/>
    </font>
    <font>
      <name val="Arial"/>
      <color theme="1"/>
      <sz val="12"/>
    </font>
    <font>
      <name val="Century Gothic"/>
      <b val="1"/>
      <color rgb="FF2F5496"/>
      <sz val="18"/>
    </font>
    <font>
      <name val="Century Gothic"/>
      <b val="1"/>
      <color rgb="FF595959"/>
      <sz val="14"/>
    </font>
    <font/>
    <font>
      <name val="Century Gothic"/>
      <color theme="1"/>
      <sz val="12"/>
    </font>
    <font>
      <name val="Century Gothic"/>
      <color theme="0"/>
      <sz val="12"/>
    </font>
    <font>
      <name val="Century Gothic"/>
      <b val="1"/>
      <color theme="1"/>
      <sz val="11"/>
    </font>
    <font>
      <name val="Calibri"/>
      <color theme="1"/>
      <sz val="10"/>
    </font>
    <font>
      <name val="Century Gothic"/>
      <color theme="1"/>
      <sz val="10"/>
    </font>
    <font>
      <name val="Century Gothic"/>
      <b val="1"/>
      <color theme="1"/>
      <sz val="10"/>
    </font>
    <font>
      <name val="Century Gothic"/>
      <b val="1"/>
      <color theme="0"/>
      <sz val="10"/>
    </font>
    <font>
      <name val="Century Gothic"/>
      <color theme="0"/>
      <sz val="10"/>
    </font>
    <font>
      <name val="Century Gothic"/>
      <color rgb="FFFF0000"/>
      <sz val="10"/>
    </font>
    <font>
      <name val="&quot;Helvetica Neue&quot;"/>
      <color rgb="FF333333"/>
      <sz val="8"/>
    </font>
    <font>
      <name val="Calibri"/>
      <b val="1"/>
      <color theme="1"/>
      <sz val="16"/>
    </font>
    <font>
      <name val="Calibri"/>
      <b val="1"/>
      <color theme="1"/>
      <sz val="10"/>
    </font>
    <font>
      <name val="Calibri"/>
      <b val="1"/>
      <color theme="1"/>
      <sz val="12"/>
    </font>
    <font>
      <name val="Calibri"/>
      <color theme="1"/>
      <sz val="14"/>
    </font>
    <font>
      <name val="Calibri"/>
      <b val="1"/>
      <color theme="1"/>
      <sz val="14"/>
    </font>
    <font>
      <name val="Calibri"/>
      <i val="1"/>
      <color theme="1"/>
      <sz val="11"/>
    </font>
    <font>
      <name val="Century Gothic"/>
      <sz val="10"/>
    </font>
    <font>
      <name val="Century Gothic"/>
      <b val="1"/>
      <color rgb="00FFFFFF"/>
      <sz val="14"/>
    </font>
    <font>
      <name val="Century Gothic"/>
      <b val="1"/>
      <sz val="12"/>
    </font>
    <font>
      <name val="Century Gothic"/>
      <b val="1"/>
      <sz val="11"/>
    </font>
    <font>
      <b val="1"/>
      <color rgb="001F4E79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name val="Calibri"/>
      <b val="1"/>
      <color rgb="00FFFFFF"/>
      <sz val="11"/>
    </font>
    <font>
      <name val="Century Gothic"/>
      <b val="1"/>
      <color rgb="00FFFFFF"/>
      <sz val="11"/>
    </font>
    <font>
      <name val="Century Gothic"/>
      <i val="1"/>
      <sz val="9"/>
    </font>
  </fonts>
  <fills count="32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833C0B"/>
        <bgColor rgb="FF833C0B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1E4E79"/>
        <bgColor rgb="FF1E4E79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2E75B5"/>
        <bgColor rgb="FF2E75B5"/>
      </patternFill>
    </fill>
    <fill>
      <patternFill patternType="solid">
        <fgColor rgb="FF2F5496"/>
        <bgColor rgb="FF2F549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00F7CAAC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32">
    <border/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double">
        <color rgb="FFBFBFBF"/>
      </right>
      <top style="thin">
        <color rgb="FFF2F2F2"/>
      </top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rgb="FFF2F2F2"/>
      </bottom>
    </border>
    <border>
      <left/>
      <right style="thin">
        <color rgb="FFF2F2F2"/>
      </right>
      <top style="thin">
        <color rgb="FFF2F2F2"/>
      </top>
      <bottom style="medium">
        <color rgb="FFF2F2F2"/>
      </bottom>
    </border>
    <border>
      <left style="thin">
        <color rgb="FFF2F2F2"/>
      </left>
      <right style="double">
        <color rgb="FFBFBFBF"/>
      </right>
      <top style="thin">
        <color rgb="FFF2F2F2"/>
      </top>
      <bottom style="medium">
        <color rgb="FFF2F2F2"/>
      </bottom>
    </border>
    <border>
      <left style="thin">
        <color rgb="FFF2F2F2"/>
      </left>
      <right style="thin">
        <color rgb="FFF2F2F2"/>
      </right>
      <top style="medium">
        <color rgb="FFBFBFBF"/>
      </top>
      <bottom style="thin">
        <color rgb="FFBFBFBF"/>
      </bottom>
    </border>
    <border>
      <left/>
      <right style="thin">
        <color rgb="FFF2F2F2"/>
      </right>
      <top style="medium">
        <color rgb="FFBFBFBF"/>
      </top>
      <bottom style="thin">
        <color rgb="FFBFBFBF"/>
      </bottom>
    </border>
    <border>
      <left style="thin">
        <color rgb="FFF2F2F2"/>
      </left>
      <right style="double">
        <color rgb="FFBFBFBF"/>
      </right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D0D0D0"/>
      </top>
    </border>
    <border>
      <right style="thin">
        <color rgb="00D0D0D0"/>
      </right>
      <top style="thin">
        <color rgb="00D0D0D0"/>
      </top>
    </border>
    <border>
      <top style="thin">
        <color rgb="00D0D0D0"/>
      </top>
      <bottom style="thin">
        <color rgb="00D0D0D0"/>
      </bottom>
    </border>
    <border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0" borderId="1" pivotButton="0" quotePrefix="0" xfId="0"/>
    <xf numFmtId="165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  <xf numFmtId="165" fontId="1" fillId="0" borderId="0" pivotButton="0" quotePrefix="0" xfId="0"/>
    <xf numFmtId="165" fontId="1" fillId="0" borderId="1" pivotButton="0" quotePrefix="0" xfId="0"/>
    <xf numFmtId="0" fontId="3" fillId="0" borderId="2" pivotButton="0" quotePrefix="0" xfId="0"/>
    <xf numFmtId="164" fontId="1" fillId="0" borderId="2" pivotButton="0" quotePrefix="0" xfId="0"/>
    <xf numFmtId="165" fontId="1" fillId="0" borderId="3" pivotButton="0" quotePrefix="0" xfId="0"/>
    <xf numFmtId="165" fontId="1" fillId="0" borderId="2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7" fillId="0" borderId="4" pivotButton="0" quotePrefix="0" xfId="0"/>
    <xf numFmtId="0" fontId="8" fillId="0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left" vertical="center"/>
    </xf>
    <xf numFmtId="0" fontId="9" fillId="3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0" fillId="7" borderId="5" applyAlignment="1" pivotButton="0" quotePrefix="0" xfId="0">
      <alignment horizontal="left" vertical="center"/>
    </xf>
    <xf numFmtId="0" fontId="11" fillId="8" borderId="5" applyAlignment="1" pivotButton="0" quotePrefix="0" xfId="0">
      <alignment vertical="center"/>
    </xf>
    <xf numFmtId="0" fontId="11" fillId="8" borderId="6" applyAlignment="1" pivotButton="0" quotePrefix="0" xfId="0">
      <alignment vertical="center"/>
    </xf>
    <xf numFmtId="0" fontId="11" fillId="8" borderId="7" applyAlignment="1" pivotButton="0" quotePrefix="0" xfId="0">
      <alignment vertical="center"/>
    </xf>
    <xf numFmtId="0" fontId="11" fillId="8" borderId="8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164" fontId="12" fillId="9" borderId="5" applyAlignment="1" pivotButton="0" quotePrefix="0" xfId="0">
      <alignment vertical="center"/>
    </xf>
    <xf numFmtId="164" fontId="12" fillId="10" borderId="6" applyAlignment="1" pivotButton="0" quotePrefix="0" xfId="0">
      <alignment vertical="center"/>
    </xf>
    <xf numFmtId="164" fontId="12" fillId="10" borderId="5" applyAlignment="1" pivotButton="0" quotePrefix="0" xfId="0">
      <alignment vertical="center"/>
    </xf>
    <xf numFmtId="164" fontId="12" fillId="11" borderId="6" applyAlignment="1" pivotButton="0" quotePrefix="0" xfId="0">
      <alignment vertical="center"/>
    </xf>
    <xf numFmtId="164" fontId="12" fillId="11" borderId="5" applyAlignment="1" pivotButton="0" quotePrefix="0" xfId="0">
      <alignment vertical="center"/>
    </xf>
    <xf numFmtId="164" fontId="12" fillId="12" borderId="6" applyAlignment="1" pivotButton="0" quotePrefix="0" xfId="0">
      <alignment vertical="center"/>
    </xf>
    <xf numFmtId="164" fontId="12" fillId="12" borderId="5" applyAlignment="1" pivotButton="0" quotePrefix="0" xfId="0">
      <alignment vertical="center"/>
    </xf>
    <xf numFmtId="164" fontId="12" fillId="12" borderId="7" applyAlignment="1" pivotButton="0" quotePrefix="0" xfId="0">
      <alignment vertical="center"/>
    </xf>
    <xf numFmtId="164" fontId="13" fillId="13" borderId="8" applyAlignment="1" pivotButton="0" quotePrefix="0" xfId="0">
      <alignment vertical="center"/>
    </xf>
    <xf numFmtId="164" fontId="12" fillId="14" borderId="5" applyAlignment="1" pivotButton="0" quotePrefix="0" xfId="0">
      <alignment vertical="center"/>
    </xf>
    <xf numFmtId="0" fontId="14" fillId="2" borderId="9" applyAlignment="1" pivotButton="0" quotePrefix="0" xfId="0">
      <alignment horizontal="right" vertical="center"/>
    </xf>
    <xf numFmtId="164" fontId="15" fillId="3" borderId="9" applyAlignment="1" pivotButton="0" quotePrefix="0" xfId="0">
      <alignment vertical="center"/>
    </xf>
    <xf numFmtId="164" fontId="15" fillId="4" borderId="10" applyAlignment="1" pivotButton="0" quotePrefix="0" xfId="0">
      <alignment vertical="center"/>
    </xf>
    <xf numFmtId="164" fontId="15" fillId="4" borderId="9" applyAlignment="1" pivotButton="0" quotePrefix="0" xfId="0">
      <alignment vertical="center"/>
    </xf>
    <xf numFmtId="164" fontId="15" fillId="5" borderId="10" applyAlignment="1" pivotButton="0" quotePrefix="0" xfId="0">
      <alignment vertical="center"/>
    </xf>
    <xf numFmtId="164" fontId="15" fillId="5" borderId="9" applyAlignment="1" pivotButton="0" quotePrefix="0" xfId="0">
      <alignment vertical="center"/>
    </xf>
    <xf numFmtId="164" fontId="15" fillId="6" borderId="10" applyAlignment="1" pivotButton="0" quotePrefix="0" xfId="0">
      <alignment vertical="center"/>
    </xf>
    <xf numFmtId="164" fontId="15" fillId="6" borderId="9" applyAlignment="1" pivotButton="0" quotePrefix="0" xfId="0">
      <alignment vertical="center"/>
    </xf>
    <xf numFmtId="164" fontId="15" fillId="6" borderId="11" applyAlignment="1" pivotButton="0" quotePrefix="0" xfId="0">
      <alignment vertical="center"/>
    </xf>
    <xf numFmtId="164" fontId="14" fillId="2" borderId="8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0" fontId="16" fillId="0" borderId="5" applyAlignment="1" pivotButton="0" quotePrefix="0" xfId="0">
      <alignment horizontal="left" vertical="center"/>
    </xf>
    <xf numFmtId="164" fontId="12" fillId="12" borderId="5" applyAlignment="1" pivotButton="0" quotePrefix="0" xfId="0">
      <alignment vertical="center"/>
    </xf>
    <xf numFmtId="0" fontId="16" fillId="0" borderId="5" applyAlignment="1" pivotButton="0" quotePrefix="1" xfId="0">
      <alignment horizontal="left" vertical="center"/>
    </xf>
    <xf numFmtId="164" fontId="13" fillId="13" borderId="8" applyAlignment="1" pivotButton="0" quotePrefix="0" xfId="0">
      <alignment vertical="center"/>
    </xf>
    <xf numFmtId="164" fontId="17" fillId="15" borderId="0" applyAlignment="1" pivotButton="0" quotePrefix="0" xfId="0">
      <alignment horizontal="center"/>
    </xf>
    <xf numFmtId="164" fontId="12" fillId="12" borderId="7" applyAlignment="1" pivotButton="0" quotePrefix="0" xfId="0">
      <alignment vertical="center"/>
    </xf>
    <xf numFmtId="164" fontId="12" fillId="9" borderId="5" applyAlignment="1" pivotButton="0" quotePrefix="0" xfId="0">
      <alignment vertical="center"/>
    </xf>
    <xf numFmtId="164" fontId="12" fillId="10" borderId="6" applyAlignment="1" pivotButton="0" quotePrefix="0" xfId="0">
      <alignment vertical="center"/>
    </xf>
    <xf numFmtId="164" fontId="12" fillId="10" borderId="5" applyAlignment="1" pivotButton="0" quotePrefix="0" xfId="0">
      <alignment vertical="center"/>
    </xf>
    <xf numFmtId="164" fontId="12" fillId="11" borderId="6" applyAlignment="1" pivotButton="0" quotePrefix="0" xfId="0">
      <alignment vertical="center"/>
    </xf>
    <xf numFmtId="164" fontId="12" fillId="11" borderId="5" applyAlignment="1" pivotButton="0" quotePrefix="0" xfId="0">
      <alignment vertical="center"/>
    </xf>
    <xf numFmtId="164" fontId="12" fillId="12" borderId="6" applyAlignment="1" pivotButton="0" quotePrefix="0" xfId="0">
      <alignment vertical="center"/>
    </xf>
    <xf numFmtId="0" fontId="14" fillId="2" borderId="12" applyAlignment="1" pivotButton="0" quotePrefix="0" xfId="0">
      <alignment horizontal="right" vertical="center"/>
    </xf>
    <xf numFmtId="164" fontId="15" fillId="16" borderId="12" applyAlignment="1" pivotButton="0" quotePrefix="0" xfId="0">
      <alignment vertical="center"/>
    </xf>
    <xf numFmtId="164" fontId="15" fillId="17" borderId="13" applyAlignment="1" pivotButton="0" quotePrefix="0" xfId="0">
      <alignment vertical="center"/>
    </xf>
    <xf numFmtId="164" fontId="15" fillId="17" borderId="12" applyAlignment="1" pivotButton="0" quotePrefix="0" xfId="0">
      <alignment vertical="center"/>
    </xf>
    <xf numFmtId="164" fontId="15" fillId="18" borderId="13" applyAlignment="1" pivotButton="0" quotePrefix="0" xfId="0">
      <alignment vertical="center"/>
    </xf>
    <xf numFmtId="164" fontId="15" fillId="18" borderId="12" applyAlignment="1" pivotButton="0" quotePrefix="0" xfId="0">
      <alignment vertical="center"/>
    </xf>
    <xf numFmtId="164" fontId="15" fillId="19" borderId="13" applyAlignment="1" pivotButton="0" quotePrefix="0" xfId="0">
      <alignment vertical="center"/>
    </xf>
    <xf numFmtId="164" fontId="15" fillId="19" borderId="12" applyAlignment="1" pivotButton="0" quotePrefix="0" xfId="0">
      <alignment vertical="center"/>
    </xf>
    <xf numFmtId="164" fontId="15" fillId="19" borderId="14" applyAlignment="1" pivotButton="0" quotePrefix="0" xfId="0">
      <alignment vertical="center"/>
    </xf>
    <xf numFmtId="164" fontId="14" fillId="20" borderId="15" applyAlignment="1" pivotButton="0" quotePrefix="0" xfId="0">
      <alignment vertical="center"/>
    </xf>
    <xf numFmtId="164" fontId="1" fillId="0" borderId="0" applyAlignment="1" pivotButton="0" quotePrefix="0" xfId="0">
      <alignment wrapText="1"/>
    </xf>
    <xf numFmtId="10" fontId="1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" fillId="0" borderId="2" pivotButton="0" quotePrefix="0" xfId="0"/>
    <xf numFmtId="0" fontId="20" fillId="0" borderId="2" applyAlignment="1" pivotButton="0" quotePrefix="0" xfId="0">
      <alignment horizontal="left" vertical="center"/>
    </xf>
    <xf numFmtId="164" fontId="3" fillId="0" borderId="0" pivotButton="0" quotePrefix="0" xfId="0"/>
    <xf numFmtId="164" fontId="3" fillId="0" borderId="2" pivotButton="0" quotePrefix="0" xfId="0"/>
    <xf numFmtId="164" fontId="1" fillId="0" borderId="0" pivotButton="0" quotePrefix="0" xfId="0"/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4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0" fontId="3" fillId="0" borderId="16" pivotButton="0" quotePrefix="0" xfId="0"/>
    <xf numFmtId="164" fontId="3" fillId="0" borderId="16" pivotButton="0" quotePrefix="0" xfId="0"/>
    <xf numFmtId="14" fontId="1" fillId="0" borderId="16" pivotButton="0" quotePrefix="0" xfId="0"/>
    <xf numFmtId="0" fontId="1" fillId="0" borderId="16" pivotButton="0" quotePrefix="0" xfId="0"/>
    <xf numFmtId="0" fontId="1" fillId="0" borderId="17" pivotButton="0" quotePrefix="0" xfId="0"/>
    <xf numFmtId="164" fontId="1" fillId="0" borderId="17" pivotButton="0" quotePrefix="0" xfId="0"/>
    <xf numFmtId="14" fontId="1" fillId="0" borderId="17" pivotButton="0" quotePrefix="0" xfId="0"/>
    <xf numFmtId="0" fontId="1" fillId="0" borderId="0" applyAlignment="1" pivotButton="0" quotePrefix="0" xfId="0">
      <alignment wrapText="1"/>
    </xf>
    <xf numFmtId="168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9" fontId="1" fillId="0" borderId="0" pivotButton="0" quotePrefix="0" xfId="0"/>
    <xf numFmtId="0" fontId="21" fillId="0" borderId="0" pivotButton="0" quotePrefix="0" xfId="0"/>
    <xf numFmtId="0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 vertical="center"/>
    </xf>
    <xf numFmtId="164" fontId="3" fillId="21" borderId="18" pivotButton="0" quotePrefix="0" xfId="0"/>
    <xf numFmtId="1" fontId="1" fillId="0" borderId="0" pivotButton="0" quotePrefix="0" xfId="0"/>
    <xf numFmtId="168" fontId="3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3" fillId="0" borderId="17" pivotButton="0" quotePrefix="0" xfId="0"/>
    <xf numFmtId="0" fontId="1" fillId="0" borderId="17" applyAlignment="1" pivotButton="0" quotePrefix="0" xfId="0">
      <alignment horizontal="left" vertical="center"/>
    </xf>
    <xf numFmtId="9" fontId="1" fillId="0" borderId="17" pivotButton="0" quotePrefix="0" xfId="0"/>
    <xf numFmtId="0" fontId="2" fillId="0" borderId="0" pivotButton="0" quotePrefix="0" xfId="0"/>
    <xf numFmtId="0" fontId="21" fillId="0" borderId="19" applyAlignment="1" pivotButton="0" quotePrefix="0" xfId="0">
      <alignment horizontal="center"/>
    </xf>
    <xf numFmtId="0" fontId="7" fillId="0" borderId="19" pivotButton="0" quotePrefix="0" xfId="0"/>
    <xf numFmtId="164" fontId="23" fillId="0" borderId="0" pivotButton="0" quotePrefix="0" xfId="0"/>
    <xf numFmtId="169" fontId="1" fillId="0" borderId="0" pivotButton="0" quotePrefix="0" xfId="0"/>
    <xf numFmtId="169" fontId="3" fillId="0" borderId="0" pivotButton="0" quotePrefix="0" xfId="0"/>
    <xf numFmtId="0" fontId="10" fillId="7" borderId="5" applyAlignment="1" pivotButton="0" quotePrefix="0" xfId="0">
      <alignment horizontal="left" vertical="center"/>
    </xf>
    <xf numFmtId="0" fontId="3" fillId="0" borderId="20" pivotButton="0" quotePrefix="0" xfId="0"/>
    <xf numFmtId="0" fontId="1" fillId="0" borderId="21" pivotButton="0" quotePrefix="0" xfId="0"/>
    <xf numFmtId="168" fontId="1" fillId="22" borderId="22" pivotButton="0" quotePrefix="0" xfId="0"/>
    <xf numFmtId="168" fontId="1" fillId="0" borderId="23" pivotButton="0" quotePrefix="0" xfId="0"/>
    <xf numFmtId="0" fontId="1" fillId="0" borderId="23" pivotButton="0" quotePrefix="0" xfId="0"/>
    <xf numFmtId="0" fontId="3" fillId="0" borderId="1" pivotButton="0" quotePrefix="0" xfId="0"/>
    <xf numFmtId="0" fontId="1" fillId="0" borderId="24" pivotButton="0" quotePrefix="0" xfId="0"/>
    <xf numFmtId="0" fontId="1" fillId="0" borderId="25" pivotButton="0" quotePrefix="0" xfId="0"/>
    <xf numFmtId="0" fontId="0" fillId="0" borderId="0" pivotButton="0" quotePrefix="0" xfId="0"/>
    <xf numFmtId="164" fontId="24" fillId="0" borderId="0" pivotButton="0" quotePrefix="0" xfId="0"/>
    <xf numFmtId="164" fontId="24" fillId="24" borderId="0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  <xf numFmtId="164" fontId="12" fillId="23" borderId="5" applyAlignment="1" pivotButton="0" quotePrefix="0" xfId="0">
      <alignment vertical="center"/>
    </xf>
    <xf numFmtId="164" fontId="12" fillId="23" borderId="6" applyAlignment="1" pivotButton="0" quotePrefix="0" xfId="0">
      <alignment vertical="center"/>
    </xf>
    <xf numFmtId="164" fontId="17" fillId="23" borderId="0" applyAlignment="1" pivotButton="0" quotePrefix="0" xfId="0">
      <alignment horizontal="center"/>
    </xf>
    <xf numFmtId="164" fontId="12" fillId="23" borderId="7" applyAlignment="1" pivotButton="0" quotePrefix="0" xfId="0">
      <alignment vertical="center"/>
    </xf>
    <xf numFmtId="0" fontId="24" fillId="0" borderId="5" applyAlignment="1" pivotButton="0" quotePrefix="0" xfId="0">
      <alignment horizontal="left" vertical="center"/>
    </xf>
    <xf numFmtId="164" fontId="12" fillId="24" borderId="5" applyAlignment="1" pivotButton="0" quotePrefix="0" xfId="0">
      <alignment vertical="center"/>
    </xf>
    <xf numFmtId="164" fontId="12" fillId="24" borderId="6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5" fillId="0" borderId="0" applyAlignment="1" pivotButton="0" quotePrefix="0" xfId="0">
      <alignment horizontal="center" vertical="center"/>
    </xf>
    <xf numFmtId="164" fontId="1" fillId="23" borderId="0" pivotButton="0" quotePrefix="0" xfId="0"/>
    <xf numFmtId="164" fontId="0" fillId="0" borderId="0" pivotButton="0" quotePrefix="0" xfId="0"/>
    <xf numFmtId="164" fontId="1" fillId="24" borderId="0" applyAlignment="1" pivotButton="0" quotePrefix="0" xfId="0">
      <alignment horizontal="left"/>
    </xf>
    <xf numFmtId="164" fontId="1" fillId="23" borderId="0" applyAlignment="1" pivotButton="0" quotePrefix="0" xfId="0">
      <alignment horizontal="left"/>
    </xf>
    <xf numFmtId="0" fontId="27" fillId="0" borderId="0" pivotButton="0" quotePrefix="0" xfId="0"/>
    <xf numFmtId="164" fontId="0" fillId="24" borderId="0" pivotButton="0" quotePrefix="0" xfId="0"/>
    <xf numFmtId="0" fontId="0" fillId="0" borderId="19" pivotButton="0" quotePrefix="0" xfId="0"/>
    <xf numFmtId="0" fontId="26" fillId="0" borderId="0" pivotButton="0" quotePrefix="0" xfId="0"/>
    <xf numFmtId="164" fontId="0" fillId="23" borderId="0" pivotButton="0" quotePrefix="0" xfId="0"/>
    <xf numFmtId="0" fontId="28" fillId="0" borderId="26" pivotButton="0" quotePrefix="0" xfId="0"/>
    <xf numFmtId="0" fontId="29" fillId="25" borderId="26" pivotButton="0" quotePrefix="0" xfId="0"/>
    <xf numFmtId="0" fontId="29" fillId="24" borderId="26" pivotButton="0" quotePrefix="0" xfId="0"/>
    <xf numFmtId="0" fontId="30" fillId="26" borderId="26" pivotButton="0" quotePrefix="0" xfId="0"/>
    <xf numFmtId="0" fontId="31" fillId="27" borderId="26" pivotButton="0" quotePrefix="0" xfId="0"/>
    <xf numFmtId="2" fontId="29" fillId="0" borderId="26" pivotButton="0" quotePrefix="0" xfId="0"/>
    <xf numFmtId="2" fontId="29" fillId="26" borderId="26" pivotButton="0" quotePrefix="0" xfId="0"/>
    <xf numFmtId="0" fontId="30" fillId="0" borderId="26" pivotButton="0" quotePrefix="0" xfId="0"/>
    <xf numFmtId="165" fontId="30" fillId="26" borderId="26" pivotButton="0" quotePrefix="0" xfId="0"/>
    <xf numFmtId="0" fontId="29" fillId="0" borderId="26" applyAlignment="1" pivotButton="0" quotePrefix="0" xfId="0">
      <alignment wrapText="1"/>
    </xf>
    <xf numFmtId="0" fontId="32" fillId="0" borderId="26" pivotButton="0" quotePrefix="0" xfId="0"/>
    <xf numFmtId="0" fontId="29" fillId="28" borderId="26" applyAlignment="1" pivotButton="0" quotePrefix="0" xfId="0">
      <alignment vertical="center" wrapText="1"/>
    </xf>
    <xf numFmtId="165" fontId="29" fillId="28" borderId="26" applyAlignment="1" pivotButton="0" quotePrefix="0" xfId="0">
      <alignment vertical="center" wrapText="1"/>
    </xf>
    <xf numFmtId="0" fontId="29" fillId="28" borderId="26" pivotButton="0" quotePrefix="0" xfId="0"/>
    <xf numFmtId="165" fontId="29" fillId="28" borderId="26" pivotButton="0" quotePrefix="0" xfId="0"/>
    <xf numFmtId="0" fontId="27" fillId="0" borderId="0" applyAlignment="1" pivotButton="0" quotePrefix="0" xfId="0">
      <alignment vertical="top" wrapText="1"/>
    </xf>
    <xf numFmtId="0" fontId="33" fillId="27" borderId="0" applyAlignment="1" pivotButton="0" quotePrefix="0" xfId="0">
      <alignment vertical="center" wrapText="1"/>
    </xf>
    <xf numFmtId="0" fontId="24" fillId="0" borderId="0" pivotButton="0" quotePrefix="0" xfId="0"/>
    <xf numFmtId="164" fontId="24" fillId="30" borderId="0" pivotButton="0" quotePrefix="0" xfId="0"/>
    <xf numFmtId="0" fontId="24" fillId="29" borderId="0" pivotButton="0" quotePrefix="0" xfId="0"/>
    <xf numFmtId="0" fontId="24" fillId="28" borderId="0" pivotButton="0" quotePrefix="0" xfId="0"/>
    <xf numFmtId="0" fontId="24" fillId="0" borderId="0" applyAlignment="1" pivotButton="0" quotePrefix="0" xfId="0">
      <alignment vertical="top" wrapText="1"/>
    </xf>
    <xf numFmtId="164" fontId="24" fillId="28" borderId="0" pivotButton="0" quotePrefix="0" xfId="0"/>
    <xf numFmtId="0" fontId="24" fillId="23" borderId="0" pivotButton="0" quotePrefix="0" xfId="0"/>
    <xf numFmtId="0" fontId="24" fillId="24" borderId="0" pivotButton="0" quotePrefix="0" xfId="0"/>
    <xf numFmtId="0" fontId="24" fillId="30" borderId="0" pivotButton="0" quotePrefix="0" xfId="0"/>
    <xf numFmtId="0" fontId="24" fillId="26" borderId="0" pivotButton="0" quotePrefix="0" xfId="0"/>
    <xf numFmtId="0" fontId="33" fillId="27" borderId="0" pivotButton="0" quotePrefix="0" xfId="0"/>
    <xf numFmtId="0" fontId="27" fillId="24" borderId="0" applyAlignment="1" pivotButton="0" quotePrefix="0" xfId="0">
      <alignment vertical="top" wrapText="1"/>
    </xf>
    <xf numFmtId="0" fontId="24" fillId="2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24" fillId="23" borderId="0" pivotButton="0" quotePrefix="0" xfId="0"/>
    <xf numFmtId="164" fontId="2" fillId="0" borderId="0" pivotButton="0" quotePrefix="0" xfId="0"/>
    <xf numFmtId="164" fontId="1" fillId="30" borderId="0" pivotButton="0" quotePrefix="0" xfId="0"/>
    <xf numFmtId="164" fontId="1" fillId="28" borderId="0" pivotButton="0" quotePrefix="0" xfId="0"/>
    <xf numFmtId="170" fontId="1" fillId="28" borderId="0" applyAlignment="1" pivotButton="0" quotePrefix="0" xfId="0">
      <alignment horizontal="left"/>
    </xf>
    <xf numFmtId="164" fontId="1" fillId="28" borderId="0" applyAlignment="1" pivotButton="0" quotePrefix="0" xfId="0">
      <alignment horizontal="left"/>
    </xf>
    <xf numFmtId="170" fontId="1" fillId="0" borderId="0" applyAlignment="1" pivotButton="0" quotePrefix="0" xfId="0">
      <alignment horizontal="left"/>
    </xf>
    <xf numFmtId="0" fontId="0" fillId="28" borderId="0" applyAlignment="1" pivotButton="0" quotePrefix="0" xfId="0">
      <alignment vertical="top" wrapText="1"/>
    </xf>
    <xf numFmtId="0" fontId="0" fillId="24" borderId="0" pivotButton="0" quotePrefix="0" xfId="0"/>
    <xf numFmtId="0" fontId="27" fillId="28" borderId="0" pivotButton="0" quotePrefix="0" xfId="0"/>
    <xf numFmtId="0" fontId="0" fillId="28" borderId="0" pivotButton="0" quotePrefix="0" xfId="0"/>
    <xf numFmtId="164" fontId="0" fillId="28" borderId="0" pivotButton="0" quotePrefix="0" xfId="0"/>
    <xf numFmtId="0" fontId="27" fillId="24" borderId="0" pivotButton="0" quotePrefix="0" xfId="0"/>
    <xf numFmtId="164" fontId="24" fillId="26" borderId="0" pivotButton="0" quotePrefix="0" xfId="0"/>
    <xf numFmtId="0" fontId="24" fillId="28" borderId="0" applyAlignment="1" pivotButton="0" quotePrefix="0" xfId="0">
      <alignment vertical="bottom"/>
    </xf>
    <xf numFmtId="0" fontId="27" fillId="28" borderId="0" applyAlignment="1" pivotButton="0" quotePrefix="0" xfId="0">
      <alignment vertical="top" wrapText="1"/>
    </xf>
    <xf numFmtId="0" fontId="24" fillId="28" borderId="0" applyAlignment="1" pivotButton="0" quotePrefix="0" xfId="0">
      <alignment vertical="top" wrapText="1"/>
    </xf>
    <xf numFmtId="170" fontId="24" fillId="28" borderId="0" pivotButton="0" quotePrefix="0" xfId="0"/>
    <xf numFmtId="0" fontId="3" fillId="28" borderId="0" applyAlignment="1" pivotButton="0" quotePrefix="0" xfId="0">
      <alignment vertical="top" wrapText="1"/>
    </xf>
    <xf numFmtId="0" fontId="27" fillId="26" borderId="0" applyAlignment="1" pivotButton="0" quotePrefix="0" xfId="0">
      <alignment vertical="top" wrapText="1"/>
    </xf>
    <xf numFmtId="0" fontId="24" fillId="26" borderId="0" applyAlignment="1" pivotButton="0" quotePrefix="0" xfId="0">
      <alignment vertical="top" wrapText="1"/>
    </xf>
    <xf numFmtId="0" fontId="0" fillId="24" borderId="0" applyAlignment="1" pivotButton="0" quotePrefix="0" xfId="0">
      <alignment wrapText="1"/>
    </xf>
    <xf numFmtId="164" fontId="12" fillId="28" borderId="5" applyAlignment="1" pivotButton="0" quotePrefix="0" xfId="0">
      <alignment vertical="center"/>
    </xf>
    <xf numFmtId="0" fontId="24" fillId="28" borderId="0" applyAlignment="1" pivotButton="0" quotePrefix="0" xfId="0">
      <alignment wrapText="1"/>
    </xf>
    <xf numFmtId="164" fontId="12" fillId="28" borderId="7" applyAlignment="1" pivotButton="0" quotePrefix="0" xfId="0">
      <alignment vertical="center"/>
    </xf>
    <xf numFmtId="164" fontId="12" fillId="24" borderId="7" applyAlignment="1" pivotButton="0" quotePrefix="0" xfId="0">
      <alignment vertical="center"/>
    </xf>
    <xf numFmtId="164" fontId="12" fillId="28" borderId="6" applyAlignment="1" pivotButton="0" quotePrefix="0" xfId="0">
      <alignment vertical="center"/>
    </xf>
    <xf numFmtId="0" fontId="24" fillId="24" borderId="0" applyAlignment="1" pivotButton="0" quotePrefix="0" xfId="0">
      <alignment wrapText="1"/>
    </xf>
    <xf numFmtId="0" fontId="34" fillId="31" borderId="27" applyAlignment="1" pivotButton="0" quotePrefix="0" xfId="0">
      <alignment vertical="center" wrapText="1"/>
    </xf>
    <xf numFmtId="0" fontId="0" fillId="0" borderId="30" pivotButton="0" quotePrefix="0" xfId="0"/>
    <xf numFmtId="0" fontId="0" fillId="0" borderId="31" pivotButton="0" quotePrefix="0" xfId="0"/>
    <xf numFmtId="0" fontId="24" fillId="23" borderId="27" applyAlignment="1" pivotButton="0" quotePrefix="0" xfId="0">
      <alignment vertical="center" wrapText="1"/>
    </xf>
    <xf numFmtId="0" fontId="24" fillId="0" borderId="27" applyAlignment="1" pivotButton="0" quotePrefix="0" xfId="0">
      <alignment vertical="center" wrapText="1"/>
    </xf>
    <xf numFmtId="0" fontId="24" fillId="24" borderId="27" applyAlignment="1" pivotButton="0" quotePrefix="0" xfId="0">
      <alignment vertical="center" wrapText="1"/>
    </xf>
    <xf numFmtId="0" fontId="24" fillId="28" borderId="27" applyAlignment="1" pivotButton="0" quotePrefix="0" xfId="0">
      <alignment vertical="center" wrapText="1"/>
    </xf>
    <xf numFmtId="0" fontId="35" fillId="0" borderId="0" applyAlignment="1" pivotButton="0" quotePrefix="0" xfId="0">
      <alignment wrapText="1"/>
    </xf>
    <xf numFmtId="164" fontId="23" fillId="23" borderId="0" pivotButton="0" quotePrefix="0" xfId="0"/>
    <xf numFmtId="0" fontId="24" fillId="0" borderId="27" pivotButton="0" quotePrefix="0" xfId="0"/>
    <xf numFmtId="164" fontId="24" fillId="0" borderId="27" pivotButton="0" quotePrefix="0" xfId="0"/>
    <xf numFmtId="0" fontId="0" fillId="0" borderId="2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jacobcoley\Downloads\IC-Property-Management-Spreadsheet-907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perty Management Overview"/>
      <sheetName val="Property 1"/>
      <sheetName val="Property 2"/>
      <sheetName val="Property 3"/>
      <sheetName val="Property 4"/>
      <sheetName val="Property 5"/>
      <sheetName val="Property 6"/>
      <sheetName val="Property 7"/>
      <sheetName val="Property 8"/>
      <sheetName val="Property 9"/>
      <sheetName val="Property 10"/>
      <sheetName val="Property 11"/>
      <sheetName val="Property 12"/>
      <sheetName val="- Disclaimer 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9.57" customWidth="1" style="137" min="1" max="1"/>
    <col width="16.71" customWidth="1" style="137" min="2" max="2"/>
    <col width="16.86" customWidth="1" style="137" min="3" max="3"/>
    <col width="12.71" customWidth="1" style="137" min="4" max="4"/>
    <col width="12.14" customWidth="1" style="137" min="5" max="5"/>
    <col width="8.710000000000001" customWidth="1" style="137" min="6" max="6"/>
    <col width="11.14" customWidth="1" style="137" min="7" max="7"/>
    <col width="14" customWidth="1" style="137" min="8" max="26"/>
    <col width="14" customWidth="1" style="137" min="9" max="9"/>
  </cols>
  <sheetData>
    <row r="1" ht="14.25" customHeight="1" s="137">
      <c r="B1" s="1" t="n">
        <v>2022</v>
      </c>
      <c r="C1" s="122" t="n">
        <v>2022</v>
      </c>
      <c r="D1" s="3" t="n">
        <v>2023</v>
      </c>
      <c r="E1" s="122" t="n">
        <v>2023</v>
      </c>
      <c r="F1" s="3" t="n">
        <v>2024</v>
      </c>
      <c r="G1" s="122" t="n">
        <v>2024</v>
      </c>
      <c r="H1" s="3" t="n">
        <v>2025</v>
      </c>
      <c r="I1" s="3" t="n">
        <v>2025</v>
      </c>
    </row>
    <row r="2" ht="14.25" customHeight="1" s="137">
      <c r="B2" s="88" t="inlineStr">
        <is>
          <t xml:space="preserve">Projected </t>
        </is>
      </c>
      <c r="C2" s="122" t="inlineStr">
        <is>
          <t>Actual</t>
        </is>
      </c>
      <c r="D2" s="3" t="inlineStr">
        <is>
          <t xml:space="preserve">Projected </t>
        </is>
      </c>
      <c r="E2" s="122" t="inlineStr">
        <is>
          <t>Actual</t>
        </is>
      </c>
      <c r="F2" s="3" t="inlineStr">
        <is>
          <t>Projected</t>
        </is>
      </c>
      <c r="G2" s="122" t="inlineStr">
        <is>
          <t>Actual</t>
        </is>
      </c>
      <c r="H2" s="3" t="inlineStr">
        <is>
          <t>Projected</t>
        </is>
      </c>
      <c r="I2" s="122" t="inlineStr">
        <is>
          <t>Actual</t>
        </is>
      </c>
    </row>
    <row r="3" ht="14.25" customHeight="1" s="137">
      <c r="A3" s="5" t="inlineStr">
        <is>
          <t>Income</t>
        </is>
      </c>
      <c r="B3" s="88" t="n"/>
      <c r="D3" s="3" t="n"/>
      <c r="F3" s="3" t="n"/>
    </row>
    <row r="4" ht="14.25" customHeight="1" s="137">
      <c r="A4" s="122" t="inlineStr">
        <is>
          <t xml:space="preserve">Hindman </t>
        </is>
      </c>
      <c r="B4" s="88" t="n">
        <v>92000</v>
      </c>
      <c r="C4" s="88" t="n">
        <v>97876.85000000001</v>
      </c>
      <c r="D4" s="6" t="n">
        <v>110000</v>
      </c>
      <c r="E4" s="88" t="n">
        <v>115000</v>
      </c>
      <c r="F4" s="11" t="n">
        <v>110000</v>
      </c>
      <c r="G4" s="9" t="n"/>
      <c r="H4" s="138" t="n">
        <v>110000</v>
      </c>
      <c r="I4" s="139" t="n">
        <v>70618</v>
      </c>
    </row>
    <row r="5" ht="14.25" customHeight="1" s="137">
      <c r="A5" s="122" t="inlineStr">
        <is>
          <t>216 N. Oak Park Ave</t>
        </is>
      </c>
      <c r="B5" s="88" t="n">
        <v>0</v>
      </c>
      <c r="C5" s="88" t="n">
        <v>125</v>
      </c>
      <c r="D5" s="6" t="n">
        <v>1500</v>
      </c>
      <c r="E5" s="88" t="n"/>
      <c r="F5" s="11" t="n">
        <v>1500</v>
      </c>
      <c r="G5" s="9" t="n"/>
      <c r="H5" s="138" t="n">
        <v>19500</v>
      </c>
      <c r="I5" s="183" t="n">
        <v>19500</v>
      </c>
    </row>
    <row r="6" ht="14.25" customHeight="1" s="137">
      <c r="A6" s="122" t="inlineStr">
        <is>
          <t>524 Ferdinand Ave #2</t>
        </is>
      </c>
      <c r="B6" s="88" t="n"/>
      <c r="C6" s="88" t="n"/>
      <c r="D6" s="6" t="n"/>
      <c r="E6" s="88" t="n"/>
      <c r="F6" s="11" t="n">
        <v>20000</v>
      </c>
      <c r="G6" s="9" t="n"/>
      <c r="H6" s="138" t="n">
        <v>17000</v>
      </c>
      <c r="I6" s="183" t="n">
        <v>17086.94</v>
      </c>
    </row>
    <row r="7" ht="14.25" customHeight="1" s="137">
      <c r="A7" s="122" t="inlineStr">
        <is>
          <t>GCM Boards</t>
        </is>
      </c>
      <c r="B7" s="88" t="n">
        <v>14000</v>
      </c>
      <c r="C7" s="88" t="n">
        <v>25875</v>
      </c>
      <c r="D7" s="6" t="n">
        <v>14700</v>
      </c>
      <c r="E7" s="88" t="n">
        <v>14700</v>
      </c>
      <c r="F7" s="11" t="n">
        <v>16000</v>
      </c>
      <c r="G7" s="10" t="n"/>
      <c r="H7" s="138" t="n">
        <v>21500</v>
      </c>
      <c r="I7" s="183" t="n">
        <v>21500</v>
      </c>
    </row>
    <row r="8" ht="14.25" customHeight="1" s="137">
      <c r="A8" s="122" t="inlineStr">
        <is>
          <t>Art Sales</t>
        </is>
      </c>
      <c r="B8" s="88" t="n">
        <v>10000</v>
      </c>
      <c r="C8" s="88" t="n">
        <v>15000</v>
      </c>
      <c r="D8" s="6" t="n">
        <v>15000</v>
      </c>
      <c r="E8" s="88" t="n">
        <v>54777.25</v>
      </c>
      <c r="F8" s="11" t="n">
        <v>20000</v>
      </c>
      <c r="G8" s="9" t="n"/>
      <c r="H8" s="138" t="n">
        <v>20000</v>
      </c>
      <c r="I8" s="139" t="n">
        <v>23055.06</v>
      </c>
    </row>
    <row r="9" ht="14.25" customHeight="1" s="137">
      <c r="A9" s="122" t="inlineStr">
        <is>
          <t>Megan's Income</t>
        </is>
      </c>
      <c r="B9" s="88" t="n">
        <v>67000</v>
      </c>
      <c r="C9" s="88" t="n">
        <v>67000</v>
      </c>
      <c r="D9" s="6" t="n">
        <v>74000</v>
      </c>
      <c r="E9" s="88" t="n"/>
      <c r="F9" s="11" t="n">
        <v>0</v>
      </c>
      <c r="G9" s="9" t="n"/>
      <c r="H9" s="138" t="n">
        <v>0</v>
      </c>
      <c r="I9" s="138" t="n">
        <v>0</v>
      </c>
    </row>
    <row r="10" ht="14.25" customHeight="1" s="137">
      <c r="A10" s="12" t="inlineStr">
        <is>
          <t>EBITDA</t>
        </is>
      </c>
      <c r="B10" s="13">
        <f>SUM(B4:B9)</f>
        <v/>
      </c>
      <c r="C10" s="13">
        <f>SUM(C4:C9)</f>
        <v/>
      </c>
      <c r="D10" s="13">
        <f>SUM(D4:D9)</f>
        <v/>
      </c>
      <c r="E10" s="13">
        <f>SUM(E4:E9)</f>
        <v/>
      </c>
      <c r="F10" s="14">
        <f>SUM(F4:F9)</f>
        <v/>
      </c>
      <c r="G10" s="15">
        <f>SUM(G4:G9)</f>
        <v/>
      </c>
      <c r="H10" s="14">
        <f>SUM(H4:H9)</f>
        <v/>
      </c>
      <c r="I10" s="14">
        <f>SUM(I4:I9)</f>
        <v/>
      </c>
    </row>
    <row r="11" ht="14.25" customHeight="1" s="137">
      <c r="A11" s="5" t="n"/>
      <c r="B11" s="88" t="n"/>
    </row>
    <row r="12" ht="48" customHeight="1" s="137">
      <c r="A12" s="191" t="inlineStr">
        <is>
          <t>2025 Actual: I4 Monarch paycheck cash ≠ W-2 Box 1. I5 216 LTR cash $19,500. I6 524 #2 STR platform net LOCKED. I7 GCM 1099-NEC $21,500. I8 Art net $23,055.06 = MATCHED Mercury deals only (Berk lots $30,000 − $22,944.94 Cost) + seals $1,000 + mosaics $15,000. Excludes Sale 6428 $11,000 until Cost. Excludes Aquinas books $1,000 until Cost. David Aaron $13,595 is EPGC Consultant June (not I8). Erdal/Aysel/EOEB/L5 ASK. Not tax advice.</t>
        </is>
      </c>
      <c r="B12" s="88" t="n"/>
    </row>
    <row r="13" ht="32" customHeight="1" s="137">
      <c r="A13" s="227" t="inlineStr">
        <is>
          <t>Open the 2025 Data sources tab to see where each 2025 number came from and whether the self-checks MATCH. This file is last year's workbook with 2025 filled. Not tax advice.</t>
        </is>
      </c>
    </row>
    <row r="14" ht="14.25" customHeight="1" s="137"/>
    <row r="15" ht="14.25" customHeight="1" s="137"/>
    <row r="16" ht="14.25" customHeight="1" s="137"/>
    <row r="17" ht="14.25" customHeight="1" s="137"/>
    <row r="18" ht="14.25" customHeight="1" s="137"/>
    <row r="19" ht="14.25" customHeight="1" s="137"/>
    <row r="20" ht="14.25" customHeight="1" s="137"/>
    <row r="21" ht="14.25" customHeight="1" s="137"/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37" min="1" max="1"/>
    <col width="50" customWidth="1" style="137" min="2" max="2"/>
    <col hidden="1" width="12.57" customWidth="1" style="137" min="3" max="3"/>
    <col hidden="1" width="10" customWidth="1" style="137" min="4" max="11"/>
    <col hidden="1" width="11.14" customWidth="1" style="137" min="12" max="12"/>
    <col hidden="1" width="10" customWidth="1" style="137" min="13" max="14"/>
    <col hidden="1" width="16.57" customWidth="1" style="137" min="15" max="15"/>
    <col width="8.710000000000001" customWidth="1" style="137" min="16" max="26"/>
    <col width="13" customWidth="1" style="137" min="17" max="17"/>
    <col width="13" customWidth="1" style="137" min="18" max="18"/>
    <col width="13" customWidth="1" style="137" min="19" max="19"/>
    <col width="13" customWidth="1" style="137" min="20" max="20"/>
    <col width="13" customWidth="1" style="137" min="21" max="21"/>
    <col width="13" customWidth="1" style="137" min="22" max="22"/>
    <col width="13" customWidth="1" style="137" min="23" max="23"/>
    <col width="13" customWidth="1" style="137" min="24" max="24"/>
    <col width="13" customWidth="1" style="137" min="25" max="25"/>
    <col width="13" customWidth="1" style="137" min="26" max="26"/>
    <col width="11.14" customWidth="1" style="137" min="27" max="27"/>
    <col width="16.57" customWidth="1" style="137" min="28" max="28"/>
    <col width="8.710000000000001" customWidth="1" style="137" min="29" max="29"/>
    <col width="13" customWidth="1" style="137" min="30" max="30"/>
    <col width="13" customWidth="1" style="137" min="31" max="31"/>
    <col width="13" customWidth="1" style="137" min="32" max="32"/>
    <col width="13" customWidth="1" style="137" min="33" max="33"/>
    <col width="13" customWidth="1" style="137" min="34" max="34"/>
    <col width="13" customWidth="1" style="137" min="35" max="35"/>
    <col width="13" customWidth="1" style="137" min="36" max="36"/>
    <col width="13" customWidth="1" style="137" min="37" max="37"/>
    <col width="13" customWidth="1" style="137" min="38" max="38"/>
    <col width="13" customWidth="1" style="137" min="39" max="39"/>
    <col width="11.14" customWidth="1" style="137" min="40" max="40"/>
    <col width="16.57" customWidth="1" style="137" min="41" max="41"/>
  </cols>
  <sheetData>
    <row r="1" ht="14.25" customHeight="1" s="137">
      <c r="A1" s="16" t="n"/>
      <c r="B1" s="17" t="inlineStr">
        <is>
          <t>PROPERTY ADDRESS</t>
        </is>
      </c>
      <c r="C1" s="18" t="inlineStr">
        <is>
          <t>524 Ferdinand Avenue, Unit 2</t>
        </is>
      </c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8" t="inlineStr">
        <is>
          <t>524 Ferdinand Avenue, Unit 2</t>
        </is>
      </c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  <c r="AC1" s="18" t="inlineStr">
        <is>
          <t>524 Ferdinand Avenue, Unit 2</t>
        </is>
      </c>
      <c r="AD1" s="141" t="n"/>
      <c r="AE1" s="141" t="n"/>
      <c r="AF1" s="141" t="n"/>
      <c r="AG1" s="141" t="n"/>
      <c r="AH1" s="141" t="n"/>
      <c r="AI1" s="141" t="n"/>
      <c r="AJ1" s="141" t="n"/>
      <c r="AK1" s="141" t="n"/>
      <c r="AL1" s="141" t="n"/>
      <c r="AM1" s="141" t="n"/>
      <c r="AN1" s="141" t="n"/>
      <c r="AO1" s="141" t="n"/>
    </row>
    <row r="2" ht="14.25" customHeight="1" s="137">
      <c r="A2" s="20" t="n"/>
      <c r="B2" s="21" t="inlineStr">
        <is>
          <t>INCOME</t>
        </is>
      </c>
      <c r="C2" s="22" t="inlineStr">
        <is>
          <t>JAN</t>
        </is>
      </c>
      <c r="D2" s="22" t="inlineStr">
        <is>
          <t>FEB</t>
        </is>
      </c>
      <c r="E2" s="22" t="inlineStr">
        <is>
          <t>MAR</t>
        </is>
      </c>
      <c r="F2" s="23" t="inlineStr">
        <is>
          <t>APR</t>
        </is>
      </c>
      <c r="G2" s="24" t="inlineStr">
        <is>
          <t>MAY</t>
        </is>
      </c>
      <c r="H2" s="24" t="inlineStr">
        <is>
          <t>JUN</t>
        </is>
      </c>
      <c r="I2" s="25" t="inlineStr">
        <is>
          <t>JUL</t>
        </is>
      </c>
      <c r="J2" s="26" t="inlineStr">
        <is>
          <t>AUG</t>
        </is>
      </c>
      <c r="K2" s="26" t="inlineStr">
        <is>
          <t>SEPT</t>
        </is>
      </c>
      <c r="L2" s="27" t="inlineStr">
        <is>
          <t>OCT</t>
        </is>
      </c>
      <c r="M2" s="28" t="inlineStr">
        <is>
          <t>NOV</t>
        </is>
      </c>
      <c r="N2" s="29" t="inlineStr">
        <is>
          <t>DEC</t>
        </is>
      </c>
      <c r="O2" s="30" t="inlineStr">
        <is>
          <t>2023 YR TOTAL</t>
        </is>
      </c>
      <c r="P2" s="22" t="inlineStr">
        <is>
          <t>JAN</t>
        </is>
      </c>
      <c r="Q2" s="22" t="inlineStr">
        <is>
          <t>FEB</t>
        </is>
      </c>
      <c r="R2" s="22" t="inlineStr">
        <is>
          <t>MAR</t>
        </is>
      </c>
      <c r="S2" s="23" t="inlineStr">
        <is>
          <t>APR</t>
        </is>
      </c>
      <c r="T2" s="24" t="inlineStr">
        <is>
          <t>MAY</t>
        </is>
      </c>
      <c r="U2" s="24" t="inlineStr">
        <is>
          <t>JUN</t>
        </is>
      </c>
      <c r="V2" s="25" t="inlineStr">
        <is>
          <t>JUL</t>
        </is>
      </c>
      <c r="W2" s="26" t="inlineStr">
        <is>
          <t>AUG</t>
        </is>
      </c>
      <c r="X2" s="26" t="inlineStr">
        <is>
          <t>SEPT</t>
        </is>
      </c>
      <c r="Y2" s="27" t="inlineStr">
        <is>
          <t>OCT</t>
        </is>
      </c>
      <c r="Z2" s="28" t="inlineStr">
        <is>
          <t>NOV</t>
        </is>
      </c>
      <c r="AA2" s="29" t="inlineStr">
        <is>
          <t>DEC</t>
        </is>
      </c>
      <c r="AB2" s="30" t="inlineStr">
        <is>
          <t>2024 YR TOTAL</t>
        </is>
      </c>
      <c r="AC2" s="22" t="inlineStr">
        <is>
          <t>JAN</t>
        </is>
      </c>
      <c r="AD2" s="22" t="inlineStr">
        <is>
          <t>FEB</t>
        </is>
      </c>
      <c r="AE2" s="22" t="inlineStr">
        <is>
          <t>MAR</t>
        </is>
      </c>
      <c r="AF2" s="23" t="inlineStr">
        <is>
          <t>APR</t>
        </is>
      </c>
      <c r="AG2" s="24" t="inlineStr">
        <is>
          <t>MAY</t>
        </is>
      </c>
      <c r="AH2" s="24" t="inlineStr">
        <is>
          <t>JUN</t>
        </is>
      </c>
      <c r="AI2" s="25" t="inlineStr">
        <is>
          <t>JUL</t>
        </is>
      </c>
      <c r="AJ2" s="26" t="inlineStr">
        <is>
          <t>AUG</t>
        </is>
      </c>
      <c r="AK2" s="26" t="inlineStr">
        <is>
          <t>SEPT</t>
        </is>
      </c>
      <c r="AL2" s="27" t="inlineStr">
        <is>
          <t>OCT</t>
        </is>
      </c>
      <c r="AM2" s="28" t="inlineStr">
        <is>
          <t>NOV</t>
        </is>
      </c>
      <c r="AN2" s="29" t="inlineStr">
        <is>
          <t>DEC</t>
        </is>
      </c>
      <c r="AO2" s="30" t="inlineStr">
        <is>
          <t>2025 YR TOTAL</t>
        </is>
      </c>
    </row>
    <row r="3" ht="14.25" customHeight="1" s="137">
      <c r="B3" s="128" t="inlineStr">
        <is>
          <t>MULTI-PROPERTY INCOME OVERVIEW</t>
        </is>
      </c>
      <c r="C3" s="32" t="n"/>
      <c r="D3" s="32" t="n"/>
      <c r="E3" s="32" t="n"/>
      <c r="F3" s="33" t="n"/>
      <c r="G3" s="32" t="n"/>
      <c r="H3" s="32" t="n"/>
      <c r="I3" s="33" t="n"/>
      <c r="J3" s="32" t="n"/>
      <c r="K3" s="32" t="n"/>
      <c r="L3" s="33" t="n"/>
      <c r="M3" s="32" t="n"/>
      <c r="N3" s="34" t="n"/>
      <c r="O3" s="35" t="n"/>
      <c r="P3" s="32" t="n"/>
      <c r="Q3" s="32" t="n"/>
      <c r="R3" s="32" t="n"/>
      <c r="S3" s="33" t="n"/>
      <c r="T3" s="32" t="n"/>
      <c r="U3" s="32" t="n"/>
      <c r="V3" s="33" t="n"/>
      <c r="W3" s="32" t="n"/>
      <c r="X3" s="32" t="n"/>
      <c r="Y3" s="33" t="n"/>
      <c r="Z3" s="32" t="n"/>
      <c r="AA3" s="34" t="n"/>
      <c r="AB3" s="35" t="n"/>
      <c r="AC3" s="32" t="n"/>
      <c r="AD3" s="32" t="n"/>
      <c r="AE3" s="32" t="n"/>
      <c r="AF3" s="33" t="n"/>
      <c r="AG3" s="32" t="n"/>
      <c r="AH3" s="32" t="n"/>
      <c r="AI3" s="33" t="n"/>
      <c r="AJ3" s="32" t="n"/>
      <c r="AK3" s="32" t="n"/>
      <c r="AL3" s="33" t="n"/>
      <c r="AM3" s="32" t="n"/>
      <c r="AN3" s="34" t="n"/>
      <c r="AO3" s="35" t="n"/>
    </row>
    <row r="4" ht="14.25" customHeight="1" s="137">
      <c r="B4" s="57" t="inlineStr">
        <is>
          <t>MULTI-PROPERTY INCOME OVERVIEW</t>
        </is>
      </c>
      <c r="C4" s="64" t="n">
        <v>0</v>
      </c>
      <c r="D4" s="64" t="n">
        <v>0</v>
      </c>
      <c r="E4" s="64" t="n">
        <v>0</v>
      </c>
      <c r="F4" s="65" t="n">
        <v>0</v>
      </c>
      <c r="G4" s="66" t="n">
        <v>0</v>
      </c>
      <c r="H4" s="66" t="n">
        <v>0</v>
      </c>
      <c r="I4" s="67" t="n">
        <v>0</v>
      </c>
      <c r="J4" s="68" t="n">
        <v>0</v>
      </c>
      <c r="K4" s="68" t="n">
        <v>0</v>
      </c>
      <c r="L4" s="69" t="n">
        <v>0</v>
      </c>
      <c r="M4" s="59" t="n">
        <v>0</v>
      </c>
      <c r="N4" s="63" t="n">
        <v>0</v>
      </c>
      <c r="O4" s="61">
        <f>SUM(C4:N4)</f>
        <v/>
      </c>
      <c r="P4" s="64" t="n">
        <v>0</v>
      </c>
      <c r="Q4" s="64" t="n">
        <v>0</v>
      </c>
      <c r="R4" s="64" t="n">
        <v>0</v>
      </c>
      <c r="S4" s="65" t="n">
        <v>0</v>
      </c>
      <c r="T4" s="66" t="n">
        <v>0</v>
      </c>
      <c r="U4" s="66" t="n">
        <v>0</v>
      </c>
      <c r="V4" s="67" t="n">
        <v>0</v>
      </c>
      <c r="W4" s="68" t="n">
        <v>0</v>
      </c>
      <c r="X4" s="68" t="n">
        <v>0</v>
      </c>
      <c r="Y4" s="69" t="n">
        <v>0</v>
      </c>
      <c r="Z4" s="59" t="n">
        <v>0</v>
      </c>
      <c r="AA4" s="63" t="n">
        <v>0</v>
      </c>
      <c r="AB4" s="61">
        <f>SUM(P4:AA4)</f>
        <v/>
      </c>
      <c r="AC4" s="64" t="n">
        <v>0</v>
      </c>
      <c r="AD4" s="64" t="n">
        <v>0</v>
      </c>
      <c r="AE4" s="64" t="n">
        <v>0</v>
      </c>
      <c r="AF4" s="65" t="n">
        <v>0</v>
      </c>
      <c r="AG4" s="66" t="n">
        <v>0</v>
      </c>
      <c r="AH4" s="66" t="n">
        <v>0</v>
      </c>
      <c r="AI4" s="67" t="n">
        <v>0</v>
      </c>
      <c r="AJ4" s="68" t="n">
        <v>0</v>
      </c>
      <c r="AK4" s="68" t="n">
        <v>0</v>
      </c>
      <c r="AL4" s="69" t="n">
        <v>0</v>
      </c>
      <c r="AM4" s="59" t="n">
        <v>0</v>
      </c>
      <c r="AN4" s="63" t="n">
        <v>0</v>
      </c>
      <c r="AO4" s="61">
        <f>SUM(AC4:AN4)</f>
        <v/>
      </c>
    </row>
    <row r="5" ht="14.25" customHeight="1" s="137">
      <c r="B5" s="57" t="inlineStr">
        <is>
          <t>RENTAL INCOME</t>
        </is>
      </c>
      <c r="C5" s="64" t="n"/>
      <c r="D5" s="64" t="n"/>
      <c r="E5" s="64" t="n"/>
      <c r="F5" s="46" t="n"/>
      <c r="G5" s="46" t="n"/>
      <c r="H5" s="46" t="n"/>
      <c r="I5" s="68" t="n"/>
      <c r="J5" s="68" t="n"/>
      <c r="K5" s="68" t="n"/>
      <c r="L5" s="59" t="n"/>
      <c r="M5" s="59" t="n">
        <v>600</v>
      </c>
      <c r="N5" s="59" t="n">
        <v>450</v>
      </c>
      <c r="O5" s="61">
        <f>SUM(C5:N5)</f>
        <v/>
      </c>
      <c r="P5" s="64" t="n"/>
      <c r="Q5" s="64" t="n"/>
      <c r="R5" s="64" t="n"/>
      <c r="S5" s="46" t="n"/>
      <c r="T5" s="46" t="n"/>
      <c r="U5" s="46" t="n"/>
      <c r="V5" s="68" t="n"/>
      <c r="W5" s="68" t="n"/>
      <c r="X5" s="68" t="n"/>
      <c r="Y5" s="59" t="n"/>
      <c r="Z5" s="59" t="n"/>
      <c r="AA5" s="59" t="n">
        <v>22705</v>
      </c>
      <c r="AB5" s="61">
        <f>SUM(P5:AA5)</f>
        <v/>
      </c>
      <c r="AC5" s="64" t="n">
        <v>0</v>
      </c>
      <c r="AD5" s="64" t="n">
        <v>0</v>
      </c>
      <c r="AE5" s="64" t="n">
        <v>0</v>
      </c>
      <c r="AF5" s="46" t="n">
        <v>0</v>
      </c>
      <c r="AG5" s="46" t="n">
        <v>0</v>
      </c>
      <c r="AH5" s="142" t="n">
        <v>3479.6</v>
      </c>
      <c r="AI5" s="142" t="n">
        <v>3180.81</v>
      </c>
      <c r="AJ5" s="142" t="n">
        <v>1757.5</v>
      </c>
      <c r="AK5" s="142" t="n">
        <v>2690.16</v>
      </c>
      <c r="AL5" s="142" t="n">
        <v>1261.64</v>
      </c>
      <c r="AM5" s="142" t="n">
        <v>1509.84</v>
      </c>
      <c r="AN5" s="59" t="n">
        <v>0</v>
      </c>
      <c r="AO5" s="61">
        <f>SUM(AC5:AN5)</f>
        <v/>
      </c>
    </row>
    <row r="6" ht="14.25" customHeight="1" s="137">
      <c r="B6" s="47" t="inlineStr">
        <is>
          <t>GROSS RENTAL INCOME</t>
        </is>
      </c>
      <c r="C6" s="48">
        <f>SUM(C4:C5)</f>
        <v/>
      </c>
      <c r="D6" s="48">
        <f>SUM(D4:D5)</f>
        <v/>
      </c>
      <c r="E6" s="48">
        <f>SUM(E4:E5)</f>
        <v/>
      </c>
      <c r="F6" s="49">
        <f>SUM(F4:F5)</f>
        <v/>
      </c>
      <c r="G6" s="50">
        <f>SUM(G4:G5)</f>
        <v/>
      </c>
      <c r="H6" s="50">
        <f>SUM(H4:H5)</f>
        <v/>
      </c>
      <c r="I6" s="51">
        <f>SUM(I4:I5)</f>
        <v/>
      </c>
      <c r="J6" s="52">
        <f>SUM(J4:J5)</f>
        <v/>
      </c>
      <c r="K6" s="52">
        <f>SUM(K4:K5)</f>
        <v/>
      </c>
      <c r="L6" s="53">
        <f>SUM(L4:L5)</f>
        <v/>
      </c>
      <c r="M6" s="54">
        <f>SUM(M4:M5)</f>
        <v/>
      </c>
      <c r="N6" s="55">
        <f>SUM(N4:N5)</f>
        <v/>
      </c>
      <c r="O6" s="56">
        <f>SUM(C6:N6)</f>
        <v/>
      </c>
      <c r="P6" s="48">
        <f>SUM(P4:P5)</f>
        <v/>
      </c>
      <c r="Q6" s="48">
        <f>SUM(Q4:Q5)</f>
        <v/>
      </c>
      <c r="R6" s="48">
        <f>SUM(R4:R5)</f>
        <v/>
      </c>
      <c r="S6" s="49">
        <f>SUM(S4:S5)</f>
        <v/>
      </c>
      <c r="T6" s="50">
        <f>SUM(T4:T5)</f>
        <v/>
      </c>
      <c r="U6" s="50">
        <f>SUM(U4:U5)</f>
        <v/>
      </c>
      <c r="V6" s="51">
        <f>SUM(V4:V5)</f>
        <v/>
      </c>
      <c r="W6" s="52">
        <f>SUM(W4:W5)</f>
        <v/>
      </c>
      <c r="X6" s="52">
        <f>SUM(X4:X5)</f>
        <v/>
      </c>
      <c r="Y6" s="53">
        <f>SUM(Y4:Y5)</f>
        <v/>
      </c>
      <c r="Z6" s="54">
        <f>SUM(Z4:Z5)</f>
        <v/>
      </c>
      <c r="AA6" s="55">
        <f>SUM(AA4:AA5)</f>
        <v/>
      </c>
      <c r="AB6" s="56">
        <f>SUM(P6:AA6)</f>
        <v/>
      </c>
      <c r="AC6" s="48">
        <f>SUM(AC4:AC5)</f>
        <v/>
      </c>
      <c r="AD6" s="48">
        <f>SUM(AD4:AD5)</f>
        <v/>
      </c>
      <c r="AE6" s="48">
        <f>SUM(AE4:AE5)</f>
        <v/>
      </c>
      <c r="AF6" s="49">
        <f>SUM(AF4:AF5)</f>
        <v/>
      </c>
      <c r="AG6" s="50">
        <f>SUM(AG4:AG5)</f>
        <v/>
      </c>
      <c r="AH6" s="50">
        <f>SUM(AH4:AH5)</f>
        <v/>
      </c>
      <c r="AI6" s="51">
        <f>SUM(AI4:AI5)</f>
        <v/>
      </c>
      <c r="AJ6" s="52">
        <f>SUM(AJ4:AJ5)</f>
        <v/>
      </c>
      <c r="AK6" s="52">
        <f>SUM(AK4:AK5)</f>
        <v/>
      </c>
      <c r="AL6" s="53">
        <f>SUM(AL4:AL5)</f>
        <v/>
      </c>
      <c r="AM6" s="54">
        <f>SUM(AM4:AM5)</f>
        <v/>
      </c>
      <c r="AN6" s="55">
        <f>SUM(AN4:AN5)</f>
        <v/>
      </c>
      <c r="AO6" s="56">
        <f>SUM(AC6:AN6)</f>
        <v/>
      </c>
    </row>
    <row r="7" ht="14.25" customHeight="1" s="137"/>
    <row r="8" ht="14.25" customHeight="1" s="137">
      <c r="A8" s="20" t="n"/>
      <c r="B8" s="21" t="inlineStr">
        <is>
          <t>EXPENSES</t>
        </is>
      </c>
      <c r="C8" s="22" t="inlineStr">
        <is>
          <t>JAN</t>
        </is>
      </c>
      <c r="D8" s="22" t="inlineStr">
        <is>
          <t>FEB</t>
        </is>
      </c>
      <c r="E8" s="22" t="inlineStr">
        <is>
          <t>MAR</t>
        </is>
      </c>
      <c r="F8" s="23" t="inlineStr">
        <is>
          <t>APR</t>
        </is>
      </c>
      <c r="G8" s="24" t="inlineStr">
        <is>
          <t>MAY</t>
        </is>
      </c>
      <c r="H8" s="24" t="inlineStr">
        <is>
          <t>JUN</t>
        </is>
      </c>
      <c r="I8" s="25" t="inlineStr">
        <is>
          <t>JUL</t>
        </is>
      </c>
      <c r="J8" s="26" t="inlineStr">
        <is>
          <t>AUG</t>
        </is>
      </c>
      <c r="K8" s="26" t="inlineStr">
        <is>
          <t>SEPT</t>
        </is>
      </c>
      <c r="L8" s="27" t="inlineStr">
        <is>
          <t>OCT</t>
        </is>
      </c>
      <c r="M8" s="28" t="inlineStr">
        <is>
          <t>NOV</t>
        </is>
      </c>
      <c r="N8" s="29" t="inlineStr">
        <is>
          <t>DEC</t>
        </is>
      </c>
      <c r="O8" s="30" t="inlineStr">
        <is>
          <t>YR TOTAL</t>
        </is>
      </c>
      <c r="P8" s="22" t="inlineStr">
        <is>
          <t>JAN</t>
        </is>
      </c>
      <c r="Q8" s="22" t="inlineStr">
        <is>
          <t>FEB</t>
        </is>
      </c>
      <c r="R8" s="22" t="inlineStr">
        <is>
          <t>MAR</t>
        </is>
      </c>
      <c r="S8" s="23" t="inlineStr">
        <is>
          <t>APR</t>
        </is>
      </c>
      <c r="T8" s="24" t="inlineStr">
        <is>
          <t>MAY</t>
        </is>
      </c>
      <c r="U8" s="24" t="inlineStr">
        <is>
          <t>JUN</t>
        </is>
      </c>
      <c r="V8" s="25" t="inlineStr">
        <is>
          <t>JUL</t>
        </is>
      </c>
      <c r="W8" s="26" t="inlineStr">
        <is>
          <t>AUG</t>
        </is>
      </c>
      <c r="X8" s="26" t="inlineStr">
        <is>
          <t>SEPT</t>
        </is>
      </c>
      <c r="Y8" s="27" t="inlineStr">
        <is>
          <t>OCT</t>
        </is>
      </c>
      <c r="Z8" s="28" t="inlineStr">
        <is>
          <t>NOV</t>
        </is>
      </c>
      <c r="AA8" s="29" t="inlineStr">
        <is>
          <t>DEC</t>
        </is>
      </c>
      <c r="AB8" s="30" t="inlineStr">
        <is>
          <t>YR TOTAL</t>
        </is>
      </c>
      <c r="AC8" s="22" t="inlineStr">
        <is>
          <t>JAN</t>
        </is>
      </c>
      <c r="AD8" s="22" t="inlineStr">
        <is>
          <t>FEB</t>
        </is>
      </c>
      <c r="AE8" s="22" t="inlineStr">
        <is>
          <t>MAR</t>
        </is>
      </c>
      <c r="AF8" s="23" t="inlineStr">
        <is>
          <t>APR</t>
        </is>
      </c>
      <c r="AG8" s="24" t="inlineStr">
        <is>
          <t>MAY</t>
        </is>
      </c>
      <c r="AH8" s="24" t="inlineStr">
        <is>
          <t>JUN</t>
        </is>
      </c>
      <c r="AI8" s="25" t="inlineStr">
        <is>
          <t>JUL</t>
        </is>
      </c>
      <c r="AJ8" s="26" t="inlineStr">
        <is>
          <t>AUG</t>
        </is>
      </c>
      <c r="AK8" s="26" t="inlineStr">
        <is>
          <t>SEPT</t>
        </is>
      </c>
      <c r="AL8" s="27" t="inlineStr">
        <is>
          <t>OCT</t>
        </is>
      </c>
      <c r="AM8" s="28" t="inlineStr">
        <is>
          <t>NOV</t>
        </is>
      </c>
      <c r="AN8" s="29" t="inlineStr">
        <is>
          <t>DEC</t>
        </is>
      </c>
      <c r="AO8" s="30" t="inlineStr">
        <is>
          <t>YR TOTAL</t>
        </is>
      </c>
    </row>
    <row r="9" ht="14.25" customHeight="1" s="137">
      <c r="B9" s="128" t="n"/>
      <c r="C9" s="32" t="n"/>
      <c r="D9" s="32" t="n"/>
      <c r="E9" s="32" t="n"/>
      <c r="F9" s="33" t="n"/>
      <c r="G9" s="32" t="n"/>
      <c r="H9" s="32" t="n"/>
      <c r="I9" s="33" t="n"/>
      <c r="J9" s="32" t="n"/>
      <c r="K9" s="32" t="n"/>
      <c r="L9" s="33" t="n"/>
      <c r="M9" s="32" t="n"/>
      <c r="N9" s="34" t="n"/>
      <c r="O9" s="35" t="n"/>
      <c r="P9" s="32" t="n"/>
      <c r="Q9" s="32" t="n"/>
      <c r="R9" s="32" t="n"/>
      <c r="S9" s="33" t="n"/>
      <c r="T9" s="32" t="n"/>
      <c r="U9" s="32" t="n"/>
      <c r="V9" s="33" t="n"/>
      <c r="W9" s="32" t="n"/>
      <c r="X9" s="32" t="n"/>
      <c r="Y9" s="33" t="n"/>
      <c r="Z9" s="32" t="n"/>
      <c r="AA9" s="34" t="n"/>
      <c r="AB9" s="35" t="n"/>
      <c r="AC9" s="32" t="n"/>
      <c r="AD9" s="32" t="n"/>
      <c r="AE9" s="32" t="n"/>
      <c r="AF9" s="33" t="n"/>
      <c r="AG9" s="32" t="n"/>
      <c r="AH9" s="32" t="n"/>
      <c r="AI9" s="33" t="n"/>
      <c r="AJ9" s="32" t="n"/>
      <c r="AK9" s="32" t="n"/>
      <c r="AL9" s="33" t="n"/>
      <c r="AM9" s="32" t="n"/>
      <c r="AN9" s="34" t="n"/>
      <c r="AO9" s="35" t="n"/>
    </row>
    <row r="10" ht="14.25" customHeight="1" s="137">
      <c r="B10" s="57" t="inlineStr">
        <is>
          <t>MULTI-PROPERTY EXPENSES OVERVIEW</t>
        </is>
      </c>
      <c r="C10" s="64" t="n">
        <v>0</v>
      </c>
      <c r="D10" s="64" t="n">
        <v>0</v>
      </c>
      <c r="E10" s="64" t="n">
        <v>0</v>
      </c>
      <c r="F10" s="65" t="n">
        <v>0</v>
      </c>
      <c r="G10" s="66" t="n">
        <v>0</v>
      </c>
      <c r="H10" s="66" t="n">
        <v>0</v>
      </c>
      <c r="I10" s="67" t="n">
        <v>0</v>
      </c>
      <c r="J10" s="68" t="n">
        <v>0</v>
      </c>
      <c r="K10" s="68" t="n">
        <v>0</v>
      </c>
      <c r="L10" s="69" t="n">
        <v>0</v>
      </c>
      <c r="M10" s="59" t="n">
        <v>0</v>
      </c>
      <c r="N10" s="63" t="n">
        <v>0</v>
      </c>
      <c r="O10" s="61">
        <f>SUM(C10:N10)</f>
        <v/>
      </c>
      <c r="P10" s="64" t="n">
        <v>0</v>
      </c>
      <c r="Q10" s="64" t="n">
        <v>0</v>
      </c>
      <c r="R10" s="64" t="n">
        <v>0</v>
      </c>
      <c r="S10" s="65" t="n">
        <v>0</v>
      </c>
      <c r="T10" s="66" t="n">
        <v>0</v>
      </c>
      <c r="U10" s="66" t="n">
        <v>0</v>
      </c>
      <c r="V10" s="67" t="n">
        <v>0</v>
      </c>
      <c r="W10" s="68" t="n">
        <v>0</v>
      </c>
      <c r="X10" s="68" t="n">
        <v>0</v>
      </c>
      <c r="Y10" s="69" t="n">
        <v>0</v>
      </c>
      <c r="Z10" s="59" t="n">
        <v>0</v>
      </c>
      <c r="AA10" s="63" t="n">
        <v>0</v>
      </c>
      <c r="AB10" s="61">
        <f>SUM(P10:AA10)</f>
        <v/>
      </c>
      <c r="AC10" s="64" t="n">
        <v>0</v>
      </c>
      <c r="AD10" s="64" t="n">
        <v>0</v>
      </c>
      <c r="AE10" s="64" t="n">
        <v>0</v>
      </c>
      <c r="AF10" s="65" t="n">
        <v>0</v>
      </c>
      <c r="AG10" s="66" t="n">
        <v>0</v>
      </c>
      <c r="AH10" s="66" t="n">
        <v>0</v>
      </c>
      <c r="AI10" s="67" t="n">
        <v>0</v>
      </c>
      <c r="AJ10" s="68" t="n">
        <v>0</v>
      </c>
      <c r="AK10" s="68" t="n">
        <v>0</v>
      </c>
      <c r="AL10" s="69" t="n">
        <v>0</v>
      </c>
      <c r="AM10" s="59" t="n">
        <v>0</v>
      </c>
      <c r="AN10" s="63" t="n">
        <v>0</v>
      </c>
      <c r="AO10" s="61">
        <f>SUM(AC10:AN10)</f>
        <v/>
      </c>
    </row>
    <row r="11" ht="14.25" customHeight="1" s="137">
      <c r="B11" s="57" t="inlineStr">
        <is>
          <t>MARKETING / ADVERTISING</t>
        </is>
      </c>
      <c r="C11" s="64" t="n">
        <v>0</v>
      </c>
      <c r="D11" s="64" t="n">
        <v>0</v>
      </c>
      <c r="E11" s="64" t="n">
        <v>0</v>
      </c>
      <c r="F11" s="65" t="n">
        <v>0</v>
      </c>
      <c r="G11" s="66" t="n">
        <v>0</v>
      </c>
      <c r="H11" s="66" t="n">
        <v>0</v>
      </c>
      <c r="I11" s="67" t="n">
        <v>0</v>
      </c>
      <c r="J11" s="68" t="n">
        <v>0</v>
      </c>
      <c r="K11" s="68" t="n">
        <v>0</v>
      </c>
      <c r="L11" s="69" t="n">
        <v>0</v>
      </c>
      <c r="M11" s="59" t="n">
        <v>0</v>
      </c>
      <c r="N11" s="63" t="n">
        <v>0</v>
      </c>
      <c r="O11" s="61">
        <f>SUM(C11:N11)</f>
        <v/>
      </c>
      <c r="P11" s="64" t="n">
        <v>0</v>
      </c>
      <c r="Q11" s="64" t="n">
        <v>0</v>
      </c>
      <c r="R11" s="64" t="n">
        <v>0</v>
      </c>
      <c r="S11" s="65" t="n">
        <v>0</v>
      </c>
      <c r="T11" s="66" t="n">
        <v>0</v>
      </c>
      <c r="U11" s="66" t="n">
        <v>0</v>
      </c>
      <c r="V11" s="67" t="n">
        <v>0</v>
      </c>
      <c r="W11" s="68" t="n">
        <v>0</v>
      </c>
      <c r="X11" s="68" t="n">
        <v>0</v>
      </c>
      <c r="Y11" s="69" t="n">
        <v>0</v>
      </c>
      <c r="Z11" s="59" t="n">
        <v>0</v>
      </c>
      <c r="AA11" s="63" t="n">
        <v>0</v>
      </c>
      <c r="AB11" s="61">
        <f>SUM(P11:AA11)</f>
        <v/>
      </c>
      <c r="AC11" s="64" t="n">
        <v>0</v>
      </c>
      <c r="AD11" s="64" t="n">
        <v>0</v>
      </c>
      <c r="AE11" s="64" t="n">
        <v>0</v>
      </c>
      <c r="AF11" s="65" t="n">
        <v>0</v>
      </c>
      <c r="AG11" s="66" t="n">
        <v>0</v>
      </c>
      <c r="AH11" s="66" t="n">
        <v>0</v>
      </c>
      <c r="AI11" s="67" t="n">
        <v>0</v>
      </c>
      <c r="AJ11" s="68" t="n">
        <v>0</v>
      </c>
      <c r="AK11" s="68" t="n">
        <v>0</v>
      </c>
      <c r="AL11" s="69" t="n">
        <v>0</v>
      </c>
      <c r="AM11" s="59" t="n">
        <v>0</v>
      </c>
      <c r="AN11" s="63" t="n">
        <v>0</v>
      </c>
      <c r="AO11" s="61">
        <f>SUM(AC11:AN11)</f>
        <v/>
      </c>
    </row>
    <row r="12" ht="14.25" customHeight="1" s="137">
      <c r="B12" s="57" t="inlineStr">
        <is>
          <t>SERVICE FEES</t>
        </is>
      </c>
      <c r="C12" s="64" t="n">
        <v>0</v>
      </c>
      <c r="D12" s="64" t="n">
        <v>0</v>
      </c>
      <c r="E12" s="64" t="n">
        <v>0</v>
      </c>
      <c r="F12" s="65" t="n">
        <v>0</v>
      </c>
      <c r="G12" s="66" t="n">
        <v>0</v>
      </c>
      <c r="H12" s="66" t="n">
        <v>0</v>
      </c>
      <c r="I12" s="67" t="n">
        <v>0</v>
      </c>
      <c r="J12" s="68" t="n">
        <v>0</v>
      </c>
      <c r="K12" s="68" t="n">
        <v>0</v>
      </c>
      <c r="L12" s="69" t="n">
        <v>0</v>
      </c>
      <c r="M12" s="59" t="n">
        <v>0</v>
      </c>
      <c r="N12" s="63" t="n">
        <v>0</v>
      </c>
      <c r="O12" s="61">
        <f>SUM(C12:N12)</f>
        <v/>
      </c>
      <c r="P12" s="64" t="n">
        <v>0</v>
      </c>
      <c r="Q12" s="64" t="n">
        <v>0</v>
      </c>
      <c r="R12" s="64" t="n">
        <v>0</v>
      </c>
      <c r="S12" s="65" t="n">
        <v>0</v>
      </c>
      <c r="T12" s="66" t="n">
        <v>0</v>
      </c>
      <c r="U12" s="66" t="n">
        <v>0</v>
      </c>
      <c r="V12" s="67" t="n">
        <v>0</v>
      </c>
      <c r="W12" s="68" t="n">
        <v>0</v>
      </c>
      <c r="X12" s="68" t="n">
        <v>0</v>
      </c>
      <c r="Y12" s="69" t="n">
        <v>0</v>
      </c>
      <c r="Z12" s="59" t="n">
        <v>0</v>
      </c>
      <c r="AA12" s="63" t="n">
        <v>950.6</v>
      </c>
      <c r="AB12" s="61">
        <f>SUM(P12:AA12)</f>
        <v/>
      </c>
      <c r="AC12" s="64" t="n">
        <v>0</v>
      </c>
      <c r="AD12" s="64" t="n">
        <v>0</v>
      </c>
      <c r="AE12" s="64" t="n">
        <v>0</v>
      </c>
      <c r="AF12" s="65" t="n">
        <v>0</v>
      </c>
      <c r="AG12" s="66" t="n">
        <v>0</v>
      </c>
      <c r="AH12" s="66" t="n">
        <v>0</v>
      </c>
      <c r="AI12" s="67" t="n">
        <v>0</v>
      </c>
      <c r="AJ12" s="68" t="n">
        <v>0</v>
      </c>
      <c r="AK12" s="68" t="n">
        <v>0</v>
      </c>
      <c r="AL12" s="69" t="n">
        <v>0</v>
      </c>
      <c r="AM12" s="59" t="n">
        <v>0</v>
      </c>
      <c r="AN12" s="63" t="n">
        <v>0</v>
      </c>
      <c r="AO12" s="61">
        <f>SUM(AC12:AN12)</f>
        <v/>
      </c>
    </row>
    <row r="13" ht="14.25" customHeight="1" s="137">
      <c r="B13" s="57" t="inlineStr">
        <is>
          <t>REMITTED TAX</t>
        </is>
      </c>
      <c r="C13" s="64" t="n">
        <v>0</v>
      </c>
      <c r="D13" s="64" t="n">
        <v>0</v>
      </c>
      <c r="E13" s="64" t="n">
        <v>0</v>
      </c>
      <c r="F13" s="65" t="n">
        <v>0</v>
      </c>
      <c r="G13" s="66" t="n">
        <v>0</v>
      </c>
      <c r="H13" s="66" t="n">
        <v>0</v>
      </c>
      <c r="I13" s="67" t="n">
        <v>0</v>
      </c>
      <c r="J13" s="68" t="n">
        <v>0</v>
      </c>
      <c r="K13" s="68" t="n">
        <v>0</v>
      </c>
      <c r="L13" s="69" t="n">
        <v>0</v>
      </c>
      <c r="M13" s="59" t="n">
        <v>0</v>
      </c>
      <c r="N13" s="63" t="n">
        <v>0</v>
      </c>
      <c r="O13" s="61">
        <f>SUM(C13:N13)</f>
        <v/>
      </c>
      <c r="P13" s="64" t="n">
        <v>0</v>
      </c>
      <c r="Q13" s="64" t="n">
        <v>0</v>
      </c>
      <c r="R13" s="64" t="n">
        <v>0</v>
      </c>
      <c r="S13" s="65" t="n">
        <v>0</v>
      </c>
      <c r="T13" s="66" t="n">
        <v>0</v>
      </c>
      <c r="U13" s="66" t="n">
        <v>0</v>
      </c>
      <c r="V13" s="67" t="n">
        <v>0</v>
      </c>
      <c r="W13" s="68" t="n">
        <v>0</v>
      </c>
      <c r="X13" s="68" t="n">
        <v>0</v>
      </c>
      <c r="Y13" s="69" t="n">
        <v>0</v>
      </c>
      <c r="Z13" s="59" t="n">
        <v>0</v>
      </c>
      <c r="AA13" s="63" t="n">
        <v>0</v>
      </c>
      <c r="AB13" s="61">
        <f>SUM(P13:AA13)</f>
        <v/>
      </c>
      <c r="AC13" s="64" t="n">
        <v>0</v>
      </c>
      <c r="AD13" s="64" t="n">
        <v>0</v>
      </c>
      <c r="AE13" s="64" t="n">
        <v>0</v>
      </c>
      <c r="AF13" s="65" t="n">
        <v>0</v>
      </c>
      <c r="AG13" s="66" t="n">
        <v>0</v>
      </c>
      <c r="AH13" s="66" t="n">
        <v>0</v>
      </c>
      <c r="AI13" s="67" t="n">
        <v>0</v>
      </c>
      <c r="AJ13" s="68" t="n">
        <v>0</v>
      </c>
      <c r="AK13" s="68" t="n">
        <v>0</v>
      </c>
      <c r="AL13" s="69" t="n">
        <v>0</v>
      </c>
      <c r="AM13" s="59" t="n">
        <v>0</v>
      </c>
      <c r="AN13" s="63" t="n">
        <v>0</v>
      </c>
      <c r="AO13" s="61">
        <f>SUM(AC13:AN13)</f>
        <v/>
      </c>
    </row>
    <row r="14" ht="14.25" customHeight="1" s="137">
      <c r="B14" s="58" t="inlineStr">
        <is>
          <t>INSURANCE</t>
        </is>
      </c>
      <c r="C14" s="64" t="n"/>
      <c r="D14" s="64" t="n"/>
      <c r="E14" s="64" t="n"/>
      <c r="F14" s="66" t="n"/>
      <c r="G14" s="66" t="n"/>
      <c r="H14" s="66" t="n"/>
      <c r="I14" s="68" t="n"/>
      <c r="J14" s="68" t="n"/>
      <c r="K14" s="68" t="n"/>
      <c r="L14" s="59" t="n"/>
      <c r="M14" s="59" t="n"/>
      <c r="N14" s="59" t="n"/>
      <c r="O14" s="61">
        <f>SUM(C14:N14)</f>
        <v/>
      </c>
      <c r="P14" s="64" t="n"/>
      <c r="Q14" s="64" t="n"/>
      <c r="R14" s="64" t="n"/>
      <c r="S14" s="66" t="n"/>
      <c r="T14" s="66" t="n"/>
      <c r="U14" s="66" t="n"/>
      <c r="V14" s="68" t="n"/>
      <c r="W14" s="68" t="n"/>
      <c r="X14" s="68" t="n"/>
      <c r="Y14" s="59" t="n"/>
      <c r="Z14" s="59" t="n"/>
      <c r="AA14" s="59" t="n">
        <v>1455.09</v>
      </c>
      <c r="AB14" s="61">
        <f>SUM(P14:AA14)</f>
        <v/>
      </c>
      <c r="AC14" s="64" t="n">
        <v>0</v>
      </c>
      <c r="AD14" s="142" t="n">
        <v>78.77</v>
      </c>
      <c r="AE14" s="142" t="n">
        <v>78.76000000000001</v>
      </c>
      <c r="AF14" s="142" t="n">
        <v>78.76000000000001</v>
      </c>
      <c r="AG14" s="142" t="n">
        <v>78.76000000000001</v>
      </c>
      <c r="AH14" s="142" t="n">
        <v>78.76000000000001</v>
      </c>
      <c r="AI14" s="142" t="n">
        <v>78.76000000000001</v>
      </c>
      <c r="AJ14" s="142" t="n">
        <v>80.19</v>
      </c>
      <c r="AK14" s="68" t="n">
        <v>0</v>
      </c>
      <c r="AL14" s="59" t="n">
        <v>0</v>
      </c>
      <c r="AM14" s="59" t="n">
        <v>0</v>
      </c>
      <c r="AN14" s="59" t="n">
        <v>0</v>
      </c>
      <c r="AO14" s="61">
        <f>SUM(AC14:AN14)</f>
        <v/>
      </c>
    </row>
    <row r="15" ht="14.25" customHeight="1" s="137">
      <c r="B15" s="57" t="inlineStr">
        <is>
          <t>INTERIOR MAINTENANCE</t>
        </is>
      </c>
      <c r="C15" s="64" t="n">
        <v>0</v>
      </c>
      <c r="D15" s="64" t="n">
        <v>0</v>
      </c>
      <c r="E15" s="64" t="n">
        <v>0</v>
      </c>
      <c r="F15" s="65" t="n">
        <v>0</v>
      </c>
      <c r="G15" s="66" t="n">
        <v>0</v>
      </c>
      <c r="H15" s="66" t="n">
        <v>0</v>
      </c>
      <c r="I15" s="67" t="n">
        <v>0</v>
      </c>
      <c r="J15" s="68" t="n">
        <v>0</v>
      </c>
      <c r="K15" s="68" t="n">
        <v>0</v>
      </c>
      <c r="L15" s="69" t="n">
        <v>0</v>
      </c>
      <c r="M15" s="59" t="n">
        <v>0</v>
      </c>
      <c r="N15" s="63" t="n">
        <v>0</v>
      </c>
      <c r="O15" s="61">
        <f>SUM(C15:N15)</f>
        <v/>
      </c>
      <c r="P15" s="64" t="n">
        <v>0</v>
      </c>
      <c r="Q15" s="64" t="n">
        <v>0</v>
      </c>
      <c r="R15" s="64" t="n">
        <v>0</v>
      </c>
      <c r="S15" s="65" t="n">
        <v>0</v>
      </c>
      <c r="T15" s="66" t="n">
        <v>0</v>
      </c>
      <c r="U15" s="66" t="n">
        <v>0</v>
      </c>
      <c r="V15" s="67" t="n">
        <v>0</v>
      </c>
      <c r="W15" s="68" t="n">
        <v>0</v>
      </c>
      <c r="X15" s="68" t="n">
        <v>0</v>
      </c>
      <c r="Y15" s="69" t="n">
        <v>0</v>
      </c>
      <c r="Z15" s="59" t="n">
        <v>0</v>
      </c>
      <c r="AA15" s="63" t="n">
        <v>0</v>
      </c>
      <c r="AB15" s="61">
        <f>SUM(P15:AA15)</f>
        <v/>
      </c>
      <c r="AC15" s="142" t="n">
        <v>7.46</v>
      </c>
      <c r="AD15" s="64" t="n">
        <v>0</v>
      </c>
      <c r="AE15" s="142" t="n">
        <v>52.78</v>
      </c>
      <c r="AF15" s="143" t="n">
        <v>131.4</v>
      </c>
      <c r="AG15" s="66" t="n">
        <v>0</v>
      </c>
      <c r="AH15" s="66" t="n">
        <v>0</v>
      </c>
      <c r="AI15" s="67" t="n">
        <v>0</v>
      </c>
      <c r="AJ15" s="68" t="n">
        <v>0</v>
      </c>
      <c r="AK15" s="68" t="n">
        <v>0</v>
      </c>
      <c r="AL15" s="143" t="n">
        <v>45.6</v>
      </c>
      <c r="AM15" s="142" t="n">
        <v>12.63</v>
      </c>
      <c r="AN15" s="63" t="n">
        <v>0</v>
      </c>
      <c r="AO15" s="61">
        <f>SUM(AC15:AN15)</f>
        <v/>
      </c>
    </row>
    <row r="16" ht="14.25" customHeight="1" s="137">
      <c r="B16" s="57" t="inlineStr">
        <is>
          <t>EXTERIOR REPAIRS</t>
        </is>
      </c>
      <c r="C16" s="64" t="n">
        <v>0</v>
      </c>
      <c r="D16" s="64" t="n">
        <v>0</v>
      </c>
      <c r="E16" s="64" t="n">
        <v>0</v>
      </c>
      <c r="F16" s="65" t="n">
        <v>0</v>
      </c>
      <c r="G16" s="66" t="n">
        <v>0</v>
      </c>
      <c r="H16" s="66" t="n">
        <v>0</v>
      </c>
      <c r="I16" s="67" t="n">
        <v>0</v>
      </c>
      <c r="J16" s="68" t="n">
        <v>0</v>
      </c>
      <c r="K16" s="68" t="n">
        <v>0</v>
      </c>
      <c r="L16" s="69" t="n">
        <v>0</v>
      </c>
      <c r="M16" s="59" t="n">
        <v>0</v>
      </c>
      <c r="N16" s="63" t="n">
        <v>0</v>
      </c>
      <c r="O16" s="61">
        <f>SUM(C16:N16)</f>
        <v/>
      </c>
      <c r="P16" s="64" t="n">
        <v>0</v>
      </c>
      <c r="Q16" s="64" t="n">
        <v>0</v>
      </c>
      <c r="R16" s="64" t="n">
        <v>0</v>
      </c>
      <c r="S16" s="65" t="n">
        <v>0</v>
      </c>
      <c r="T16" s="66" t="n">
        <v>0</v>
      </c>
      <c r="U16" s="66" t="n">
        <v>0</v>
      </c>
      <c r="V16" s="67" t="n">
        <v>0</v>
      </c>
      <c r="W16" s="68" t="n">
        <v>0</v>
      </c>
      <c r="X16" s="68" t="n">
        <v>0</v>
      </c>
      <c r="Y16" s="69" t="n">
        <v>0</v>
      </c>
      <c r="Z16" s="59" t="n">
        <v>0</v>
      </c>
      <c r="AA16" s="63" t="n">
        <v>0</v>
      </c>
      <c r="AB16" s="61">
        <f>SUM(P16:AA16)</f>
        <v/>
      </c>
      <c r="AC16" s="64" t="n">
        <v>0</v>
      </c>
      <c r="AD16" s="142" t="n">
        <v>66.56999999999999</v>
      </c>
      <c r="AE16" s="142" t="n">
        <v>700.77</v>
      </c>
      <c r="AF16" s="143" t="n">
        <v>39.58</v>
      </c>
      <c r="AG16" s="66" t="n">
        <v>0</v>
      </c>
      <c r="AH16" s="66" t="n">
        <v>0</v>
      </c>
      <c r="AI16" s="143" t="n">
        <v>150.06</v>
      </c>
      <c r="AJ16" s="142" t="n">
        <v>16.54</v>
      </c>
      <c r="AK16" s="142" t="n">
        <v>34.87</v>
      </c>
      <c r="AL16" s="143" t="n">
        <v>76.23999999999999</v>
      </c>
      <c r="AM16" s="142" t="n">
        <v>32.33</v>
      </c>
      <c r="AN16" s="63" t="n">
        <v>0</v>
      </c>
      <c r="AO16" s="61">
        <f>SUM(AC16:AN16)</f>
        <v/>
      </c>
    </row>
    <row r="17" ht="14.25" customHeight="1" s="137">
      <c r="B17" s="60" t="inlineStr">
        <is>
          <t>VILLAGE WATER AND REFUSE</t>
        </is>
      </c>
      <c r="C17" s="64" t="n">
        <v>0</v>
      </c>
      <c r="D17" s="64" t="n">
        <v>0</v>
      </c>
      <c r="E17" s="64" t="n">
        <v>0</v>
      </c>
      <c r="F17" s="65" t="n">
        <v>0</v>
      </c>
      <c r="G17" s="66" t="n">
        <v>0</v>
      </c>
      <c r="H17" s="66" t="n">
        <v>0</v>
      </c>
      <c r="I17" s="67" t="n">
        <v>0</v>
      </c>
      <c r="J17" s="68" t="n">
        <v>0</v>
      </c>
      <c r="K17" s="68" t="n">
        <v>0</v>
      </c>
      <c r="L17" s="69" t="n">
        <v>0</v>
      </c>
      <c r="M17" s="59" t="n">
        <v>0</v>
      </c>
      <c r="N17" s="63" t="n">
        <v>0</v>
      </c>
      <c r="O17" s="61">
        <f>SUM(C17:N17)</f>
        <v/>
      </c>
      <c r="P17" s="64" t="n">
        <v>0</v>
      </c>
      <c r="Q17" s="64" t="n">
        <v>0</v>
      </c>
      <c r="R17" s="64" t="n">
        <v>0</v>
      </c>
      <c r="S17" s="65" t="n">
        <v>0</v>
      </c>
      <c r="T17" s="66" t="n">
        <v>0</v>
      </c>
      <c r="U17" s="66" t="n">
        <v>0</v>
      </c>
      <c r="V17" s="67" t="n">
        <v>0</v>
      </c>
      <c r="W17" s="68" t="n">
        <v>0</v>
      </c>
      <c r="X17" s="68" t="n">
        <v>0</v>
      </c>
      <c r="Y17" s="69" t="n">
        <v>0</v>
      </c>
      <c r="Z17" s="59" t="n">
        <v>0</v>
      </c>
      <c r="AA17" s="63" t="n">
        <v>0</v>
      </c>
      <c r="AB17" s="61" t="n">
        <v>1769.42</v>
      </c>
      <c r="AC17" s="64" t="n">
        <v>0</v>
      </c>
      <c r="AD17" s="142" t="n">
        <v>100.56</v>
      </c>
      <c r="AE17" s="64" t="n">
        <v>0</v>
      </c>
      <c r="AF17" s="143" t="n">
        <v>90.68000000000001</v>
      </c>
      <c r="AG17" s="66" t="n">
        <v>0</v>
      </c>
      <c r="AH17" s="142" t="n">
        <v>112.84</v>
      </c>
      <c r="AI17" s="67" t="n">
        <v>0</v>
      </c>
      <c r="AJ17" s="142" t="n">
        <v>137.64</v>
      </c>
      <c r="AK17" s="68" t="n">
        <v>0</v>
      </c>
      <c r="AL17" s="143" t="n">
        <v>132.77</v>
      </c>
      <c r="AM17" s="59" t="n">
        <v>0</v>
      </c>
      <c r="AN17" s="63" t="n">
        <v>0</v>
      </c>
      <c r="AO17" s="61" t="n">
        <v>0</v>
      </c>
    </row>
    <row r="18" ht="14.25" customHeight="1" s="137">
      <c r="B18" s="57" t="inlineStr">
        <is>
          <t>GAS</t>
        </is>
      </c>
      <c r="C18" s="64" t="n">
        <v>0</v>
      </c>
      <c r="D18" s="64" t="n">
        <v>0</v>
      </c>
      <c r="E18" s="64" t="n">
        <v>0</v>
      </c>
      <c r="F18" s="65" t="n">
        <v>0</v>
      </c>
      <c r="G18" s="66" t="n">
        <v>0</v>
      </c>
      <c r="H18" s="66" t="n">
        <v>0</v>
      </c>
      <c r="I18" s="67" t="n">
        <v>0</v>
      </c>
      <c r="J18" s="68" t="n">
        <v>26.02</v>
      </c>
      <c r="K18" s="68" t="n">
        <v>110.08</v>
      </c>
      <c r="L18" s="69" t="n">
        <v>137.34</v>
      </c>
      <c r="M18" s="59" t="n">
        <v>31.56</v>
      </c>
      <c r="N18" s="63" t="n">
        <v>62.3</v>
      </c>
      <c r="O18" s="61">
        <f>SUM(C18:N18)</f>
        <v/>
      </c>
      <c r="P18" s="62" t="n">
        <v>62.3</v>
      </c>
      <c r="Q18" s="62" t="n">
        <v>37.13</v>
      </c>
      <c r="R18" s="62" t="n">
        <v>25.46</v>
      </c>
      <c r="S18" s="62" t="n">
        <v>28.11</v>
      </c>
      <c r="T18" s="62" t="n">
        <v>21.2</v>
      </c>
      <c r="U18" s="62" t="n">
        <v>20.5</v>
      </c>
      <c r="V18" s="62" t="n">
        <v>22.27</v>
      </c>
      <c r="W18" s="62" t="n">
        <v>21.6</v>
      </c>
      <c r="X18" s="62" t="n">
        <v>21.6</v>
      </c>
      <c r="Y18" s="62" t="n">
        <v>21.65</v>
      </c>
      <c r="Z18" s="62" t="n">
        <v>24.34</v>
      </c>
      <c r="AA18" s="62" t="n">
        <v>30.76</v>
      </c>
      <c r="AB18" s="61">
        <f>SUM(P18:AA18)</f>
        <v/>
      </c>
      <c r="AC18" s="144" t="n">
        <v>39.7</v>
      </c>
      <c r="AD18" s="144" t="n">
        <v>31.37</v>
      </c>
      <c r="AE18" s="144" t="n">
        <v>32.09</v>
      </c>
      <c r="AF18" s="144" t="n">
        <v>26.31</v>
      </c>
      <c r="AG18" s="144" t="n">
        <v>25.41</v>
      </c>
      <c r="AH18" s="144" t="n">
        <v>24.17</v>
      </c>
      <c r="AI18" s="144" t="n">
        <v>23.53</v>
      </c>
      <c r="AJ18" s="144" t="n">
        <v>22.7</v>
      </c>
      <c r="AK18" s="144" t="n">
        <v>22.71</v>
      </c>
      <c r="AL18" s="144" t="n">
        <v>22.72</v>
      </c>
      <c r="AM18" s="62" t="n">
        <v>0</v>
      </c>
      <c r="AN18" s="144" t="n">
        <v>53.71</v>
      </c>
      <c r="AO18" s="61">
        <f>SUM(AC18:AN18)</f>
        <v/>
      </c>
    </row>
    <row r="19" ht="14.25" customHeight="1" s="137">
      <c r="B19" s="57" t="inlineStr">
        <is>
          <t>ELECTRIC</t>
        </is>
      </c>
      <c r="C19" s="64" t="n">
        <v>0</v>
      </c>
      <c r="D19" s="64" t="n">
        <v>0</v>
      </c>
      <c r="E19" s="64" t="n">
        <v>0</v>
      </c>
      <c r="F19" s="65" t="n">
        <v>0</v>
      </c>
      <c r="G19" s="66" t="n">
        <v>0</v>
      </c>
      <c r="H19" s="66" t="n">
        <v>0</v>
      </c>
      <c r="I19" s="67" t="n">
        <v>0</v>
      </c>
      <c r="J19" s="68" t="n">
        <v>36.38</v>
      </c>
      <c r="K19" s="68" t="n">
        <v>36.47</v>
      </c>
      <c r="L19" s="69" t="n">
        <v>34.52</v>
      </c>
      <c r="M19" s="59" t="n">
        <v>32.21</v>
      </c>
      <c r="N19" s="63" t="n">
        <v>45.6</v>
      </c>
      <c r="O19" s="61">
        <f>SUM(C19:N19)</f>
        <v/>
      </c>
      <c r="P19" s="64" t="n">
        <v>0</v>
      </c>
      <c r="Q19" s="64" t="n">
        <v>0</v>
      </c>
      <c r="R19" s="64" t="n">
        <v>0</v>
      </c>
      <c r="S19" s="65" t="n">
        <v>0</v>
      </c>
      <c r="T19" s="66" t="n">
        <v>0</v>
      </c>
      <c r="U19" s="66" t="n">
        <v>0</v>
      </c>
      <c r="V19" s="67" t="n">
        <v>0</v>
      </c>
      <c r="W19" s="68" t="n"/>
      <c r="X19" s="68" t="n"/>
      <c r="Y19" s="69" t="n"/>
      <c r="Z19" s="59" t="n"/>
      <c r="AA19" s="63" t="n">
        <v>806.46</v>
      </c>
      <c r="AB19" s="61">
        <f>SUM(P19:AA19)</f>
        <v/>
      </c>
      <c r="AC19" s="142" t="n">
        <v>59.04</v>
      </c>
      <c r="AD19" s="142" t="n">
        <v>57.47</v>
      </c>
      <c r="AE19" s="142" t="n">
        <v>49.15</v>
      </c>
      <c r="AF19" s="143" t="n">
        <v>54.52</v>
      </c>
      <c r="AG19" s="142" t="n">
        <v>49.73</v>
      </c>
      <c r="AH19" s="142" t="n">
        <v>57.54</v>
      </c>
      <c r="AI19" s="143" t="n">
        <v>109</v>
      </c>
      <c r="AJ19" s="142" t="n">
        <v>123.54</v>
      </c>
      <c r="AK19" s="142" t="n">
        <v>106.93</v>
      </c>
      <c r="AL19" s="143" t="n">
        <v>62.88</v>
      </c>
      <c r="AM19" s="142" t="n">
        <v>46.47</v>
      </c>
      <c r="AN19" s="145" t="n">
        <v>52.88</v>
      </c>
      <c r="AO19" s="61">
        <f>SUM(AC19:AN19)</f>
        <v/>
      </c>
    </row>
    <row r="20" ht="14.25" customHeight="1" s="137">
      <c r="B20" s="58" t="inlineStr">
        <is>
          <t>INTERNET</t>
        </is>
      </c>
      <c r="C20" s="64" t="n">
        <v>0</v>
      </c>
      <c r="D20" s="64" t="n">
        <v>0</v>
      </c>
      <c r="E20" s="64" t="n">
        <v>0</v>
      </c>
      <c r="F20" s="65" t="n">
        <v>0</v>
      </c>
      <c r="G20" s="66" t="n">
        <v>0</v>
      </c>
      <c r="H20" s="66" t="n">
        <v>0</v>
      </c>
      <c r="I20" s="67" t="n">
        <v>0</v>
      </c>
      <c r="J20" s="68" t="n">
        <v>0</v>
      </c>
      <c r="K20" s="68" t="n">
        <v>0</v>
      </c>
      <c r="L20" s="69" t="n">
        <v>0</v>
      </c>
      <c r="M20" s="59" t="n">
        <v>0</v>
      </c>
      <c r="N20" s="63" t="n">
        <v>0</v>
      </c>
      <c r="O20" s="61">
        <f>SUM(C20:N20)</f>
        <v/>
      </c>
      <c r="P20" s="64" t="n">
        <v>50</v>
      </c>
      <c r="Q20" s="64" t="n">
        <v>50</v>
      </c>
      <c r="R20" s="64" t="n">
        <v>50</v>
      </c>
      <c r="S20" s="65" t="n">
        <v>50</v>
      </c>
      <c r="T20" s="66" t="n">
        <v>50</v>
      </c>
      <c r="U20" s="66" t="n">
        <v>50</v>
      </c>
      <c r="V20" s="67" t="n">
        <v>50</v>
      </c>
      <c r="W20" s="68" t="n">
        <v>50</v>
      </c>
      <c r="X20" s="68" t="n">
        <v>50</v>
      </c>
      <c r="Y20" s="69" t="n">
        <v>50</v>
      </c>
      <c r="Z20" s="59" t="n">
        <v>50</v>
      </c>
      <c r="AA20" s="63" t="n">
        <v>50</v>
      </c>
      <c r="AB20" s="61">
        <f>SUM(P20:AA20)</f>
        <v/>
      </c>
      <c r="AC20" s="142" t="n">
        <v>45</v>
      </c>
      <c r="AD20" s="142" t="n">
        <v>45</v>
      </c>
      <c r="AE20" s="142" t="n">
        <v>45</v>
      </c>
      <c r="AF20" s="143" t="n">
        <v>45</v>
      </c>
      <c r="AG20" s="142" t="n">
        <v>50</v>
      </c>
      <c r="AH20" s="142" t="n">
        <v>50</v>
      </c>
      <c r="AI20" s="143" t="n">
        <v>50</v>
      </c>
      <c r="AJ20" s="142" t="n">
        <v>50</v>
      </c>
      <c r="AK20" s="142" t="n">
        <v>50</v>
      </c>
      <c r="AL20" s="143" t="n">
        <v>50</v>
      </c>
      <c r="AM20" s="142" t="n">
        <v>50</v>
      </c>
      <c r="AN20" s="63" t="n">
        <v>0</v>
      </c>
      <c r="AO20" s="61">
        <f>SUM(AC20:AN20)</f>
        <v/>
      </c>
    </row>
    <row r="21" ht="14.25" customHeight="1" s="137">
      <c r="B21" s="57" t="inlineStr">
        <is>
          <t>CORRESPONDENCE</t>
        </is>
      </c>
      <c r="C21" s="64" t="n">
        <v>0</v>
      </c>
      <c r="D21" s="64" t="n">
        <v>0</v>
      </c>
      <c r="E21" s="64" t="n">
        <v>0</v>
      </c>
      <c r="F21" s="65" t="n">
        <v>0</v>
      </c>
      <c r="G21" s="66" t="n">
        <v>0</v>
      </c>
      <c r="H21" s="66" t="n">
        <v>0</v>
      </c>
      <c r="I21" s="67" t="n">
        <v>0</v>
      </c>
      <c r="J21" s="68" t="n">
        <v>0</v>
      </c>
      <c r="K21" s="68" t="n">
        <v>0</v>
      </c>
      <c r="L21" s="69" t="n">
        <v>0</v>
      </c>
      <c r="M21" s="59" t="n">
        <v>0</v>
      </c>
      <c r="N21" s="63" t="n">
        <v>0</v>
      </c>
      <c r="O21" s="61">
        <f>SUM(C21:N21)</f>
        <v/>
      </c>
      <c r="P21" s="64" t="n">
        <v>0</v>
      </c>
      <c r="Q21" s="64" t="n">
        <v>0</v>
      </c>
      <c r="R21" s="64" t="n">
        <v>0</v>
      </c>
      <c r="S21" s="65" t="n">
        <v>0</v>
      </c>
      <c r="T21" s="66" t="n">
        <v>0</v>
      </c>
      <c r="U21" s="66" t="n">
        <v>0</v>
      </c>
      <c r="V21" s="67" t="n">
        <v>0</v>
      </c>
      <c r="W21" s="68" t="n">
        <v>0</v>
      </c>
      <c r="X21" s="68" t="n">
        <v>0</v>
      </c>
      <c r="Y21" s="69" t="n">
        <v>0</v>
      </c>
      <c r="Z21" s="59" t="n">
        <v>0</v>
      </c>
      <c r="AA21" s="63" t="n">
        <v>0</v>
      </c>
      <c r="AB21" s="61">
        <f>SUM(P21:AA21)</f>
        <v/>
      </c>
      <c r="AC21" s="64" t="n">
        <v>0</v>
      </c>
      <c r="AD21" s="64" t="n">
        <v>0</v>
      </c>
      <c r="AE21" s="64" t="n">
        <v>0</v>
      </c>
      <c r="AF21" s="65" t="n">
        <v>0</v>
      </c>
      <c r="AG21" s="66" t="n">
        <v>0</v>
      </c>
      <c r="AH21" s="66" t="n">
        <v>0</v>
      </c>
      <c r="AI21" s="67" t="n">
        <v>0</v>
      </c>
      <c r="AJ21" s="68" t="n">
        <v>0</v>
      </c>
      <c r="AK21" s="68" t="n">
        <v>0</v>
      </c>
      <c r="AL21" s="69" t="n">
        <v>0</v>
      </c>
      <c r="AM21" s="59" t="n">
        <v>0</v>
      </c>
      <c r="AN21" s="63" t="n">
        <v>0</v>
      </c>
      <c r="AO21" s="61">
        <f>SUM(AC21:AN21)</f>
        <v/>
      </c>
    </row>
    <row r="22" ht="14.25" customHeight="1" s="137">
      <c r="B22" s="57" t="inlineStr">
        <is>
          <t>INTERIOR DESIGNER/ ORGANIZER FEES</t>
        </is>
      </c>
      <c r="C22" s="64" t="n">
        <v>0</v>
      </c>
      <c r="D22" s="64" t="n">
        <v>0</v>
      </c>
      <c r="E22" s="64" t="n">
        <v>0</v>
      </c>
      <c r="F22" s="65" t="n">
        <v>0</v>
      </c>
      <c r="G22" s="66" t="n">
        <v>0</v>
      </c>
      <c r="H22" s="66" t="n">
        <v>0</v>
      </c>
      <c r="I22" s="67" t="n">
        <v>0</v>
      </c>
      <c r="J22" s="68" t="n">
        <v>0</v>
      </c>
      <c r="K22" s="68" t="n">
        <v>720</v>
      </c>
      <c r="L22" s="69" t="n">
        <v>690</v>
      </c>
      <c r="M22" s="59" t="n">
        <v>240</v>
      </c>
      <c r="N22" s="63" t="n">
        <v>240</v>
      </c>
      <c r="O22" s="61">
        <f>SUM(C22:N22)</f>
        <v/>
      </c>
      <c r="P22" s="64" t="n">
        <v>0</v>
      </c>
      <c r="Q22" s="64" t="n">
        <v>0</v>
      </c>
      <c r="R22" s="64" t="n">
        <v>0</v>
      </c>
      <c r="S22" s="65" t="n">
        <v>0</v>
      </c>
      <c r="T22" s="66" t="n">
        <v>0</v>
      </c>
      <c r="U22" s="66" t="n">
        <v>0</v>
      </c>
      <c r="V22" s="67" t="n">
        <v>0</v>
      </c>
      <c r="W22" s="68" t="n">
        <v>0</v>
      </c>
      <c r="X22" s="68" t="n"/>
      <c r="Y22" s="69" t="n"/>
      <c r="Z22" s="59" t="n"/>
      <c r="AA22" s="63" t="n"/>
      <c r="AB22" s="61">
        <f>SUM(P22:AA22)</f>
        <v/>
      </c>
      <c r="AC22" s="64" t="n">
        <v>0</v>
      </c>
      <c r="AD22" s="64" t="n">
        <v>0</v>
      </c>
      <c r="AE22" s="64" t="n">
        <v>0</v>
      </c>
      <c r="AF22" s="65" t="n">
        <v>0</v>
      </c>
      <c r="AG22" s="66" t="n">
        <v>0</v>
      </c>
      <c r="AH22" s="66" t="n">
        <v>0</v>
      </c>
      <c r="AI22" s="67" t="n">
        <v>0</v>
      </c>
      <c r="AJ22" s="68" t="n">
        <v>0</v>
      </c>
      <c r="AK22" s="68" t="n"/>
      <c r="AL22" s="69" t="n"/>
      <c r="AM22" s="59" t="n"/>
      <c r="AN22" s="63" t="n"/>
      <c r="AO22" s="61">
        <f>SUM(AC22:AN22)</f>
        <v/>
      </c>
    </row>
    <row r="23" ht="14.25" customHeight="1" s="137">
      <c r="B23" s="57" t="inlineStr">
        <is>
          <t>TRAVEL EXPENSES</t>
        </is>
      </c>
      <c r="C23" s="64" t="n">
        <v>0</v>
      </c>
      <c r="D23" s="64" t="n">
        <v>0</v>
      </c>
      <c r="E23" s="64" t="n">
        <v>0</v>
      </c>
      <c r="F23" s="65" t="n">
        <v>0</v>
      </c>
      <c r="G23" s="66" t="n">
        <v>0</v>
      </c>
      <c r="H23" s="66" t="n">
        <v>0</v>
      </c>
      <c r="I23" s="67" t="n">
        <v>0</v>
      </c>
      <c r="J23" s="68" t="n">
        <v>0</v>
      </c>
      <c r="K23" s="68" t="n">
        <v>0</v>
      </c>
      <c r="L23" s="69" t="n">
        <v>0</v>
      </c>
      <c r="M23" s="59" t="n">
        <v>0</v>
      </c>
      <c r="N23" s="63" t="n">
        <v>0</v>
      </c>
      <c r="O23" s="61">
        <f>SUM(C23:N23)</f>
        <v/>
      </c>
      <c r="P23" s="64" t="n">
        <v>0</v>
      </c>
      <c r="Q23" s="64" t="n">
        <v>0</v>
      </c>
      <c r="R23" s="64" t="n">
        <v>0</v>
      </c>
      <c r="S23" s="65" t="n">
        <v>0</v>
      </c>
      <c r="T23" s="66" t="n">
        <v>0</v>
      </c>
      <c r="U23" s="66" t="n">
        <v>0</v>
      </c>
      <c r="V23" s="67" t="n">
        <v>0</v>
      </c>
      <c r="W23" s="68" t="n">
        <v>0</v>
      </c>
      <c r="X23" s="68" t="n">
        <v>0</v>
      </c>
      <c r="Y23" s="69" t="n">
        <v>0</v>
      </c>
      <c r="Z23" s="59" t="n">
        <v>0</v>
      </c>
      <c r="AA23" s="63" t="n">
        <v>0</v>
      </c>
      <c r="AB23" s="61">
        <f>SUM(P23:AA23)</f>
        <v/>
      </c>
      <c r="AC23" s="64" t="n">
        <v>0</v>
      </c>
      <c r="AD23" s="64" t="n">
        <v>0</v>
      </c>
      <c r="AE23" s="64" t="n">
        <v>0</v>
      </c>
      <c r="AF23" s="65" t="n">
        <v>0</v>
      </c>
      <c r="AG23" s="66" t="n">
        <v>0</v>
      </c>
      <c r="AH23" s="66" t="n">
        <v>0</v>
      </c>
      <c r="AI23" s="67" t="n">
        <v>0</v>
      </c>
      <c r="AJ23" s="68" t="n">
        <v>0</v>
      </c>
      <c r="AK23" s="68" t="n">
        <v>0</v>
      </c>
      <c r="AL23" s="69" t="n">
        <v>0</v>
      </c>
      <c r="AM23" s="59" t="n">
        <v>0</v>
      </c>
      <c r="AN23" s="63" t="n">
        <v>0</v>
      </c>
      <c r="AO23" s="61">
        <f>SUM(AC23:AN23)</f>
        <v/>
      </c>
    </row>
    <row r="24" ht="14.25" customHeight="1" s="137">
      <c r="B24" s="57" t="inlineStr">
        <is>
          <t>EQUIPMENT/APPLIANCE PURCHASES</t>
        </is>
      </c>
      <c r="C24" s="64" t="n">
        <v>0</v>
      </c>
      <c r="D24" s="64" t="n">
        <v>20</v>
      </c>
      <c r="E24" s="64" t="n">
        <v>0</v>
      </c>
      <c r="F24" s="65" t="n">
        <v>0</v>
      </c>
      <c r="G24" s="66" t="n">
        <v>0</v>
      </c>
      <c r="H24" s="66" t="n">
        <v>0</v>
      </c>
      <c r="I24" s="67" t="n">
        <v>0</v>
      </c>
      <c r="J24" s="68" t="n">
        <v>0</v>
      </c>
      <c r="K24" s="68" t="n">
        <v>0</v>
      </c>
      <c r="L24" s="69" t="n">
        <v>0</v>
      </c>
      <c r="M24" s="59" t="n">
        <v>0</v>
      </c>
      <c r="N24" s="63" t="n">
        <v>220</v>
      </c>
      <c r="O24" s="61">
        <f>SUM(C24:N24)</f>
        <v/>
      </c>
      <c r="P24" s="64" t="n">
        <v>63.42</v>
      </c>
      <c r="Q24" s="64" t="n">
        <v>281.27</v>
      </c>
      <c r="R24" s="64" t="n">
        <v>60.49</v>
      </c>
      <c r="S24" s="65" t="n">
        <v>49.49</v>
      </c>
      <c r="T24" s="66" t="n">
        <v>76.98</v>
      </c>
      <c r="U24" s="66" t="n">
        <v>98</v>
      </c>
      <c r="V24" s="67" t="n">
        <v>0</v>
      </c>
      <c r="W24" s="68" t="n">
        <v>0</v>
      </c>
      <c r="X24" s="68" t="n">
        <v>0</v>
      </c>
      <c r="Y24" s="69" t="n">
        <v>0</v>
      </c>
      <c r="Z24" s="59" t="n">
        <v>0</v>
      </c>
      <c r="AA24" s="63" t="n"/>
      <c r="AB24" s="61">
        <f>SUM(P24:AA24)</f>
        <v/>
      </c>
      <c r="AC24" s="64" t="n">
        <v>0</v>
      </c>
      <c r="AD24" s="64" t="n">
        <v>0</v>
      </c>
      <c r="AE24" s="142" t="n">
        <v>73.23999999999999</v>
      </c>
      <c r="AF24" s="65" t="n">
        <v>0</v>
      </c>
      <c r="AG24" s="66" t="n">
        <v>0</v>
      </c>
      <c r="AH24" s="66" t="n">
        <v>0</v>
      </c>
      <c r="AI24" s="67" t="n">
        <v>0</v>
      </c>
      <c r="AJ24" s="68" t="n">
        <v>0</v>
      </c>
      <c r="AK24" s="142" t="n">
        <v>82.27</v>
      </c>
      <c r="AL24" s="69" t="n">
        <v>0</v>
      </c>
      <c r="AM24" s="59" t="n">
        <v>0</v>
      </c>
      <c r="AN24" s="63" t="n">
        <v>0</v>
      </c>
      <c r="AO24" s="61">
        <f>SUM(AC24:AN24)</f>
        <v/>
      </c>
    </row>
    <row r="25" ht="14.25" customHeight="1" s="137">
      <c r="B25" s="57" t="inlineStr">
        <is>
          <t>EQUIPMENT/APPLIANCE RENTAL FEES</t>
        </is>
      </c>
      <c r="C25" s="64" t="n">
        <v>0</v>
      </c>
      <c r="D25" s="64" t="n">
        <v>0</v>
      </c>
      <c r="E25" s="64" t="n">
        <v>0</v>
      </c>
      <c r="F25" s="65" t="n">
        <v>0</v>
      </c>
      <c r="G25" s="66" t="n">
        <v>0</v>
      </c>
      <c r="H25" s="66" t="n">
        <v>0</v>
      </c>
      <c r="I25" s="67" t="n">
        <v>0</v>
      </c>
      <c r="J25" s="68" t="n">
        <v>0</v>
      </c>
      <c r="K25" s="68" t="n">
        <v>0</v>
      </c>
      <c r="L25" s="69" t="n">
        <v>0</v>
      </c>
      <c r="M25" s="59" t="n">
        <v>0</v>
      </c>
      <c r="N25" s="63" t="n">
        <v>0</v>
      </c>
      <c r="O25" s="61">
        <f>SUM(C25:N25)</f>
        <v/>
      </c>
      <c r="P25" s="64" t="n">
        <v>0</v>
      </c>
      <c r="Q25" s="64" t="n">
        <v>0</v>
      </c>
      <c r="R25" s="64" t="n">
        <v>0</v>
      </c>
      <c r="S25" s="65" t="n">
        <v>0</v>
      </c>
      <c r="T25" s="66" t="n">
        <v>0</v>
      </c>
      <c r="U25" s="66" t="n">
        <v>0</v>
      </c>
      <c r="V25" s="67" t="n">
        <v>0</v>
      </c>
      <c r="W25" s="68" t="n">
        <v>0</v>
      </c>
      <c r="X25" s="68" t="n">
        <v>0</v>
      </c>
      <c r="Y25" s="69" t="n">
        <v>0</v>
      </c>
      <c r="Z25" s="59" t="n">
        <v>0</v>
      </c>
      <c r="AA25" s="63" t="n">
        <v>0</v>
      </c>
      <c r="AB25" s="61">
        <f>SUM(P25:AA25)</f>
        <v/>
      </c>
      <c r="AC25" s="64" t="n">
        <v>0</v>
      </c>
      <c r="AD25" s="64" t="n">
        <v>0</v>
      </c>
      <c r="AE25" s="64" t="n">
        <v>0</v>
      </c>
      <c r="AF25" s="65" t="n">
        <v>0</v>
      </c>
      <c r="AG25" s="66" t="n">
        <v>0</v>
      </c>
      <c r="AH25" s="66" t="n">
        <v>0</v>
      </c>
      <c r="AI25" s="67" t="n">
        <v>0</v>
      </c>
      <c r="AJ25" s="68" t="n">
        <v>0</v>
      </c>
      <c r="AK25" s="68" t="n">
        <v>0</v>
      </c>
      <c r="AL25" s="69" t="n">
        <v>0</v>
      </c>
      <c r="AM25" s="59" t="n">
        <v>0</v>
      </c>
      <c r="AN25" s="63" t="n">
        <v>0</v>
      </c>
      <c r="AO25" s="61">
        <f>SUM(AC25:AN25)</f>
        <v/>
      </c>
    </row>
    <row r="26" ht="14.25" customHeight="1" s="137">
      <c r="B26" s="57" t="inlineStr">
        <is>
          <t>LAND TAX</t>
        </is>
      </c>
      <c r="C26" s="64" t="n">
        <v>0</v>
      </c>
      <c r="D26" s="64" t="n">
        <v>0</v>
      </c>
      <c r="E26" s="64" t="n">
        <v>0</v>
      </c>
      <c r="F26" s="65" t="n">
        <v>0</v>
      </c>
      <c r="G26" s="66" t="n">
        <v>0</v>
      </c>
      <c r="H26" s="66" t="n">
        <v>0</v>
      </c>
      <c r="I26" s="67" t="n">
        <v>0</v>
      </c>
      <c r="J26" s="68" t="n">
        <v>0</v>
      </c>
      <c r="K26" s="68" t="n">
        <v>0</v>
      </c>
      <c r="L26" s="69" t="n">
        <v>0</v>
      </c>
      <c r="M26" s="59" t="n">
        <v>0</v>
      </c>
      <c r="N26" s="63" t="n">
        <v>0</v>
      </c>
      <c r="O26" s="61">
        <f>SUM(C26:N26)</f>
        <v/>
      </c>
      <c r="P26" s="64" t="n">
        <v>0</v>
      </c>
      <c r="Q26" s="64" t="n">
        <v>0</v>
      </c>
      <c r="R26" s="64" t="n">
        <v>0</v>
      </c>
      <c r="S26" s="65" t="n">
        <v>0</v>
      </c>
      <c r="T26" s="66" t="n">
        <v>0</v>
      </c>
      <c r="U26" s="66" t="n">
        <v>0</v>
      </c>
      <c r="V26" s="67" t="n">
        <v>0</v>
      </c>
      <c r="W26" s="68" t="n">
        <v>0</v>
      </c>
      <c r="X26" s="68" t="n">
        <v>0</v>
      </c>
      <c r="Y26" s="69" t="n">
        <v>0</v>
      </c>
      <c r="Z26" s="59" t="n">
        <v>0</v>
      </c>
      <c r="AA26" s="63" t="n">
        <v>0</v>
      </c>
      <c r="AB26" s="61">
        <f>SUM(P26:AA26)</f>
        <v/>
      </c>
      <c r="AC26" s="64" t="n">
        <v>0</v>
      </c>
      <c r="AD26" s="64" t="n">
        <v>0</v>
      </c>
      <c r="AE26" s="64" t="n">
        <v>0</v>
      </c>
      <c r="AF26" s="65" t="n">
        <v>0</v>
      </c>
      <c r="AG26" s="66" t="n">
        <v>0</v>
      </c>
      <c r="AH26" s="66" t="n">
        <v>0</v>
      </c>
      <c r="AI26" s="67" t="n">
        <v>0</v>
      </c>
      <c r="AJ26" s="68" t="n">
        <v>0</v>
      </c>
      <c r="AK26" s="68" t="n">
        <v>0</v>
      </c>
      <c r="AL26" s="69" t="n">
        <v>0</v>
      </c>
      <c r="AM26" s="59" t="n">
        <v>0</v>
      </c>
      <c r="AN26" s="63" t="n">
        <v>0</v>
      </c>
      <c r="AO26" s="61">
        <f>SUM(AC26:AN26)</f>
        <v/>
      </c>
    </row>
    <row r="27" ht="14.25" customHeight="1" s="137">
      <c r="B27" s="57" t="inlineStr">
        <is>
          <t>BORROWING EXPENSES</t>
        </is>
      </c>
      <c r="C27" s="64" t="n">
        <v>0</v>
      </c>
      <c r="D27" s="64" t="n">
        <v>0</v>
      </c>
      <c r="E27" s="64" t="n">
        <v>0</v>
      </c>
      <c r="F27" s="65" t="n">
        <v>0</v>
      </c>
      <c r="G27" s="66" t="n">
        <v>0</v>
      </c>
      <c r="H27" s="66" t="n">
        <v>0</v>
      </c>
      <c r="I27" s="67" t="n">
        <v>0</v>
      </c>
      <c r="J27" s="68" t="n">
        <v>0</v>
      </c>
      <c r="K27" s="68" t="n">
        <v>0</v>
      </c>
      <c r="L27" s="69" t="n">
        <v>0</v>
      </c>
      <c r="M27" s="59" t="n">
        <v>0</v>
      </c>
      <c r="N27" s="63" t="n">
        <v>0</v>
      </c>
      <c r="O27" s="61">
        <f>SUM(C27:N27)</f>
        <v/>
      </c>
      <c r="P27" s="64" t="n">
        <v>0</v>
      </c>
      <c r="Q27" s="64" t="n">
        <v>0</v>
      </c>
      <c r="R27" s="64" t="n">
        <v>0</v>
      </c>
      <c r="S27" s="65" t="n">
        <v>0</v>
      </c>
      <c r="T27" s="66" t="n">
        <v>0</v>
      </c>
      <c r="U27" s="66" t="n">
        <v>0</v>
      </c>
      <c r="V27" s="67" t="n">
        <v>0</v>
      </c>
      <c r="W27" s="68" t="n">
        <v>0</v>
      </c>
      <c r="X27" s="68" t="n">
        <v>0</v>
      </c>
      <c r="Y27" s="69" t="n">
        <v>0</v>
      </c>
      <c r="Z27" s="59" t="n">
        <v>0</v>
      </c>
      <c r="AA27" s="63" t="n">
        <v>0</v>
      </c>
      <c r="AB27" s="61">
        <f>SUM(P27:AA27)</f>
        <v/>
      </c>
      <c r="AC27" s="64" t="n">
        <v>0</v>
      </c>
      <c r="AD27" s="64" t="n">
        <v>0</v>
      </c>
      <c r="AE27" s="64" t="n">
        <v>0</v>
      </c>
      <c r="AF27" s="65" t="n">
        <v>0</v>
      </c>
      <c r="AG27" s="66" t="n">
        <v>0</v>
      </c>
      <c r="AH27" s="66" t="n">
        <v>0</v>
      </c>
      <c r="AI27" s="67" t="n">
        <v>0</v>
      </c>
      <c r="AJ27" s="68" t="n">
        <v>0</v>
      </c>
      <c r="AK27" s="68" t="n">
        <v>0</v>
      </c>
      <c r="AL27" s="69" t="n">
        <v>0</v>
      </c>
      <c r="AM27" s="59" t="n">
        <v>0</v>
      </c>
      <c r="AN27" s="63" t="n">
        <v>0</v>
      </c>
      <c r="AO27" s="61">
        <f>SUM(AC27:AN27)</f>
        <v/>
      </c>
    </row>
    <row r="28" ht="14.25" customHeight="1" s="137">
      <c r="B28" s="57" t="inlineStr">
        <is>
          <t>LOANS INTEREST</t>
        </is>
      </c>
      <c r="C28" s="64" t="n">
        <v>0</v>
      </c>
      <c r="D28" s="64" t="n">
        <v>0</v>
      </c>
      <c r="E28" s="64" t="n">
        <v>0</v>
      </c>
      <c r="F28" s="65" t="n">
        <v>0</v>
      </c>
      <c r="G28" s="66" t="n">
        <v>0</v>
      </c>
      <c r="H28" s="66" t="n">
        <v>0</v>
      </c>
      <c r="I28" s="67" t="n">
        <v>0</v>
      </c>
      <c r="J28" s="68" t="n">
        <v>0</v>
      </c>
      <c r="K28" s="68" t="n">
        <v>0</v>
      </c>
      <c r="L28" s="69" t="n">
        <v>0</v>
      </c>
      <c r="M28" s="59" t="n">
        <v>0</v>
      </c>
      <c r="N28" s="63" t="n">
        <v>0</v>
      </c>
      <c r="O28" s="61">
        <f>SUM(C28:N28)</f>
        <v/>
      </c>
      <c r="P28" s="64" t="n">
        <v>0</v>
      </c>
      <c r="Q28" s="64" t="n">
        <v>0</v>
      </c>
      <c r="R28" s="64" t="n">
        <v>0</v>
      </c>
      <c r="S28" s="65" t="n">
        <v>0</v>
      </c>
      <c r="T28" s="66" t="n">
        <v>0</v>
      </c>
      <c r="U28" s="66" t="n">
        <v>0</v>
      </c>
      <c r="V28" s="67" t="n">
        <v>0</v>
      </c>
      <c r="W28" s="68" t="n">
        <v>0</v>
      </c>
      <c r="X28" s="68" t="n">
        <v>0</v>
      </c>
      <c r="Y28" s="69" t="n">
        <v>0</v>
      </c>
      <c r="Z28" s="59" t="n">
        <v>0</v>
      </c>
      <c r="AA28" s="63" t="n">
        <v>0</v>
      </c>
      <c r="AB28" s="61">
        <f>SUM(P28:AA28)</f>
        <v/>
      </c>
      <c r="AC28" s="64" t="n">
        <v>0</v>
      </c>
      <c r="AD28" s="64" t="n">
        <v>0</v>
      </c>
      <c r="AE28" s="64" t="n">
        <v>0</v>
      </c>
      <c r="AF28" s="65" t="n">
        <v>0</v>
      </c>
      <c r="AG28" s="66" t="n">
        <v>0</v>
      </c>
      <c r="AH28" s="66" t="n">
        <v>0</v>
      </c>
      <c r="AI28" s="67" t="n">
        <v>0</v>
      </c>
      <c r="AJ28" s="68" t="n">
        <v>0</v>
      </c>
      <c r="AK28" s="68" t="n">
        <v>0</v>
      </c>
      <c r="AL28" s="69" t="n">
        <v>0</v>
      </c>
      <c r="AM28" s="59" t="n">
        <v>0</v>
      </c>
      <c r="AN28" s="63" t="n">
        <v>0</v>
      </c>
      <c r="AO28" s="61">
        <f>SUM(AC28:AN28)</f>
        <v/>
      </c>
    </row>
    <row r="29" ht="14.25" customHeight="1" s="137">
      <c r="B29" s="57" t="inlineStr">
        <is>
          <t>TRAVEL EXPENSES</t>
        </is>
      </c>
      <c r="C29" s="64" t="n">
        <v>0</v>
      </c>
      <c r="D29" s="64" t="n">
        <v>0</v>
      </c>
      <c r="E29" s="64" t="n">
        <v>0</v>
      </c>
      <c r="F29" s="65" t="n">
        <v>0</v>
      </c>
      <c r="G29" s="66" t="n">
        <v>0</v>
      </c>
      <c r="H29" s="66" t="n">
        <v>0</v>
      </c>
      <c r="I29" s="67" t="n">
        <v>0</v>
      </c>
      <c r="J29" s="68" t="n">
        <v>0</v>
      </c>
      <c r="K29" s="68" t="n">
        <v>0</v>
      </c>
      <c r="L29" s="69" t="n">
        <v>0</v>
      </c>
      <c r="M29" s="59" t="n">
        <v>0</v>
      </c>
      <c r="N29" s="63" t="n">
        <v>0</v>
      </c>
      <c r="O29" s="61">
        <f>SUM(C29:N29)</f>
        <v/>
      </c>
      <c r="P29" s="64" t="n">
        <v>0</v>
      </c>
      <c r="Q29" s="64" t="n">
        <v>0</v>
      </c>
      <c r="R29" s="64" t="n">
        <v>0</v>
      </c>
      <c r="S29" s="65" t="n">
        <v>0</v>
      </c>
      <c r="T29" s="66" t="n">
        <v>0</v>
      </c>
      <c r="U29" s="66" t="n">
        <v>0</v>
      </c>
      <c r="V29" s="67" t="n">
        <v>0</v>
      </c>
      <c r="W29" s="68" t="n">
        <v>0</v>
      </c>
      <c r="X29" s="68" t="n">
        <v>0</v>
      </c>
      <c r="Y29" s="69" t="n">
        <v>0</v>
      </c>
      <c r="Z29" s="59" t="n">
        <v>0</v>
      </c>
      <c r="AA29" s="63" t="n">
        <v>0</v>
      </c>
      <c r="AB29" s="61">
        <f>SUM(P29:AA29)</f>
        <v/>
      </c>
      <c r="AC29" s="64" t="n">
        <v>0</v>
      </c>
      <c r="AD29" s="64" t="n">
        <v>0</v>
      </c>
      <c r="AE29" s="64" t="n">
        <v>0</v>
      </c>
      <c r="AF29" s="65" t="n">
        <v>0</v>
      </c>
      <c r="AG29" s="66" t="n">
        <v>0</v>
      </c>
      <c r="AH29" s="66" t="n">
        <v>0</v>
      </c>
      <c r="AI29" s="67" t="n">
        <v>0</v>
      </c>
      <c r="AJ29" s="68" t="n">
        <v>0</v>
      </c>
      <c r="AK29" s="68" t="n">
        <v>0</v>
      </c>
      <c r="AL29" s="69" t="n">
        <v>0</v>
      </c>
      <c r="AM29" s="59" t="n">
        <v>0</v>
      </c>
      <c r="AN29" s="63" t="n">
        <v>0</v>
      </c>
      <c r="AO29" s="61">
        <f>SUM(AC29:AN29)</f>
        <v/>
      </c>
    </row>
    <row r="30" ht="14.25" customHeight="1" s="137">
      <c r="B30" s="57" t="inlineStr">
        <is>
          <t>YARD STARTUP CONSTRUCTION</t>
        </is>
      </c>
      <c r="C30" s="64" t="n">
        <v>0</v>
      </c>
      <c r="D30" s="64" t="n">
        <v>0</v>
      </c>
      <c r="E30" s="64" t="n">
        <v>0</v>
      </c>
      <c r="F30" s="65" t="n">
        <v>210.36</v>
      </c>
      <c r="G30" s="66" t="n">
        <v>0</v>
      </c>
      <c r="H30" s="66" t="n">
        <v>0</v>
      </c>
      <c r="I30" s="67" t="n">
        <v>0</v>
      </c>
      <c r="J30" s="68" t="n">
        <v>0</v>
      </c>
      <c r="K30" s="68" t="n">
        <v>0</v>
      </c>
      <c r="L30" s="69" t="n">
        <v>11713.94</v>
      </c>
      <c r="M30" s="59" t="n">
        <v>35.64</v>
      </c>
      <c r="N30" s="63" t="n">
        <v>0</v>
      </c>
      <c r="O30" s="61">
        <f>SUM(C30:N30)</f>
        <v/>
      </c>
      <c r="P30" s="64" t="n">
        <v>0</v>
      </c>
      <c r="Q30" s="64" t="n">
        <v>0</v>
      </c>
      <c r="R30" s="64" t="n">
        <v>0</v>
      </c>
      <c r="S30" s="65" t="n"/>
      <c r="T30" s="66" t="n">
        <v>0</v>
      </c>
      <c r="U30" s="66" t="n">
        <v>0</v>
      </c>
      <c r="V30" s="67" t="n">
        <v>0</v>
      </c>
      <c r="W30" s="68" t="n">
        <v>0</v>
      </c>
      <c r="X30" s="68" t="n">
        <v>0</v>
      </c>
      <c r="Y30" s="69" t="n"/>
      <c r="Z30" s="59" t="n"/>
      <c r="AA30" s="63" t="n">
        <v>0</v>
      </c>
      <c r="AB30" s="61">
        <f>SUM(P30:AA30)</f>
        <v/>
      </c>
      <c r="AC30" s="64" t="n">
        <v>0</v>
      </c>
      <c r="AD30" s="64" t="n">
        <v>0</v>
      </c>
      <c r="AE30" s="64" t="n">
        <v>0</v>
      </c>
      <c r="AF30" s="65" t="n"/>
      <c r="AG30" s="66" t="n">
        <v>0</v>
      </c>
      <c r="AH30" s="66" t="n">
        <v>0</v>
      </c>
      <c r="AI30" s="67" t="n">
        <v>0</v>
      </c>
      <c r="AJ30" s="68" t="n">
        <v>0</v>
      </c>
      <c r="AK30" s="68" t="n">
        <v>0</v>
      </c>
      <c r="AL30" s="69" t="n"/>
      <c r="AM30" s="59" t="n"/>
      <c r="AN30" s="63" t="n">
        <v>0</v>
      </c>
      <c r="AO30" s="61">
        <f>SUM(AC30:AN30)</f>
        <v/>
      </c>
    </row>
    <row r="31" ht="14.25" customHeight="1" s="137">
      <c r="B31" s="57" t="inlineStr">
        <is>
          <t>YARD EQUIPMENT</t>
        </is>
      </c>
      <c r="C31" s="64" t="n">
        <v>0</v>
      </c>
      <c r="D31" s="64" t="n">
        <v>0</v>
      </c>
      <c r="E31" s="64" t="n">
        <v>0</v>
      </c>
      <c r="F31" s="65" t="n">
        <v>0</v>
      </c>
      <c r="G31" s="66" t="n">
        <v>0</v>
      </c>
      <c r="H31" s="66" t="n">
        <v>0</v>
      </c>
      <c r="I31" s="67" t="n">
        <v>0</v>
      </c>
      <c r="J31" s="68" t="n">
        <v>0</v>
      </c>
      <c r="K31" s="68" t="n">
        <v>1440.43</v>
      </c>
      <c r="L31" s="69" t="n">
        <v>142.99</v>
      </c>
      <c r="M31" s="59" t="n">
        <v>0</v>
      </c>
      <c r="N31" s="63" t="n">
        <v>0</v>
      </c>
      <c r="O31" s="61">
        <f>SUM(C31:N31)</f>
        <v/>
      </c>
      <c r="P31" s="64" t="n">
        <v>0</v>
      </c>
      <c r="Q31" s="64" t="n">
        <v>0</v>
      </c>
      <c r="R31" s="64" t="n">
        <v>0</v>
      </c>
      <c r="S31" s="65" t="n">
        <v>328.9</v>
      </c>
      <c r="T31" s="66" t="n">
        <v>49.96</v>
      </c>
      <c r="U31" s="66" t="n">
        <v>54.17</v>
      </c>
      <c r="V31" s="67" t="n">
        <v>75.39</v>
      </c>
      <c r="W31" s="68" t="n">
        <v>72.59</v>
      </c>
      <c r="X31" s="68" t="n">
        <v>19.79</v>
      </c>
      <c r="Y31" s="69" t="n">
        <v>89.15000000000001</v>
      </c>
      <c r="Z31" s="59" t="n">
        <v>106.99</v>
      </c>
      <c r="AA31" s="63" t="n">
        <v>152.9</v>
      </c>
      <c r="AB31" s="61">
        <f>SUM(P31:AA31)</f>
        <v/>
      </c>
      <c r="AC31" s="64" t="n">
        <v>0</v>
      </c>
      <c r="AD31" s="64" t="n">
        <v>0</v>
      </c>
      <c r="AE31" s="64" t="n">
        <v>0</v>
      </c>
      <c r="AF31" s="65" t="n">
        <v>0</v>
      </c>
      <c r="AG31" s="66" t="n">
        <v>0</v>
      </c>
      <c r="AH31" s="66" t="n">
        <v>0</v>
      </c>
      <c r="AI31" s="67" t="n">
        <v>0</v>
      </c>
      <c r="AJ31" s="68" t="n">
        <v>0</v>
      </c>
      <c r="AK31" s="68" t="n">
        <v>0</v>
      </c>
      <c r="AL31" s="69" t="n">
        <v>0</v>
      </c>
      <c r="AM31" s="59" t="n">
        <v>0</v>
      </c>
      <c r="AN31" s="63" t="n">
        <v>0</v>
      </c>
      <c r="AO31" s="61">
        <f>SUM(AC31:AN31)</f>
        <v/>
      </c>
    </row>
    <row r="32" ht="14.25" customHeight="1" s="137">
      <c r="B32" s="57" t="inlineStr">
        <is>
          <t>YARD FURNITURE</t>
        </is>
      </c>
      <c r="C32" s="64" t="n">
        <v>0</v>
      </c>
      <c r="D32" s="64" t="n">
        <v>0</v>
      </c>
      <c r="E32" s="64" t="n">
        <v>0</v>
      </c>
      <c r="F32" s="65" t="n">
        <v>0</v>
      </c>
      <c r="G32" s="66" t="n">
        <v>0</v>
      </c>
      <c r="H32" s="66" t="n">
        <v>0</v>
      </c>
      <c r="I32" s="67" t="n">
        <v>0</v>
      </c>
      <c r="J32" s="68" t="n">
        <v>0</v>
      </c>
      <c r="K32" s="68" t="n">
        <v>0</v>
      </c>
      <c r="L32" s="69" t="n">
        <v>2225</v>
      </c>
      <c r="M32" s="59" t="n">
        <v>13</v>
      </c>
      <c r="N32" s="63" t="n">
        <v>215</v>
      </c>
      <c r="O32" s="61">
        <f>SUM(C32:N32)</f>
        <v/>
      </c>
      <c r="P32" s="64" t="n">
        <v>0</v>
      </c>
      <c r="Q32" s="64" t="n">
        <v>0</v>
      </c>
      <c r="R32" s="64" t="n">
        <v>0</v>
      </c>
      <c r="S32" s="65" t="n">
        <v>0</v>
      </c>
      <c r="T32" s="66" t="n">
        <v>0</v>
      </c>
      <c r="U32" s="66" t="n">
        <v>0</v>
      </c>
      <c r="V32" s="67" t="n">
        <v>0</v>
      </c>
      <c r="W32" s="68" t="n">
        <v>0</v>
      </c>
      <c r="X32" s="68" t="n">
        <v>0</v>
      </c>
      <c r="Y32" s="69" t="n"/>
      <c r="Z32" s="59" t="n"/>
      <c r="AA32" s="63" t="n"/>
      <c r="AB32" s="61">
        <f>SUM(P32:AA32)</f>
        <v/>
      </c>
      <c r="AC32" s="64" t="n">
        <v>0</v>
      </c>
      <c r="AD32" s="64" t="n">
        <v>0</v>
      </c>
      <c r="AE32" s="64" t="n">
        <v>0</v>
      </c>
      <c r="AF32" s="65" t="n">
        <v>0</v>
      </c>
      <c r="AG32" s="66" t="n">
        <v>0</v>
      </c>
      <c r="AH32" s="66" t="n">
        <v>0</v>
      </c>
      <c r="AI32" s="67" t="n">
        <v>0</v>
      </c>
      <c r="AJ32" s="68" t="n">
        <v>0</v>
      </c>
      <c r="AK32" s="68" t="n">
        <v>0</v>
      </c>
      <c r="AL32" s="69" t="n"/>
      <c r="AM32" s="59" t="n"/>
      <c r="AN32" s="63" t="n"/>
      <c r="AO32" s="61">
        <f>SUM(AC32:AN32)</f>
        <v/>
      </c>
    </row>
    <row r="33" ht="14.25" customHeight="1" s="137">
      <c r="B33" s="57" t="inlineStr">
        <is>
          <t>YARD SERVICE</t>
        </is>
      </c>
      <c r="C33" s="64" t="n">
        <v>0</v>
      </c>
      <c r="D33" s="64" t="n">
        <v>0</v>
      </c>
      <c r="E33" s="64" t="n">
        <v>0</v>
      </c>
      <c r="F33" s="65" t="n">
        <v>0</v>
      </c>
      <c r="G33" s="66" t="n">
        <v>0</v>
      </c>
      <c r="H33" s="66" t="n">
        <v>0</v>
      </c>
      <c r="I33" s="67" t="n">
        <v>0</v>
      </c>
      <c r="J33" s="68" t="n">
        <v>0</v>
      </c>
      <c r="K33" s="68" t="n">
        <v>0</v>
      </c>
      <c r="L33" s="69" t="n">
        <v>0</v>
      </c>
      <c r="M33" s="59" t="n">
        <v>0</v>
      </c>
      <c r="N33" s="63" t="n">
        <v>0</v>
      </c>
      <c r="O33" s="61">
        <f>SUM(C33:N33)</f>
        <v/>
      </c>
      <c r="P33" s="64" t="n">
        <v>0</v>
      </c>
      <c r="Q33" s="64" t="n">
        <v>0</v>
      </c>
      <c r="R33" s="64" t="n">
        <v>0</v>
      </c>
      <c r="S33" s="65" t="n">
        <v>318.47</v>
      </c>
      <c r="T33" s="66" t="n">
        <v>0</v>
      </c>
      <c r="U33" s="66" t="n">
        <v>0</v>
      </c>
      <c r="V33" s="67" t="n">
        <v>0</v>
      </c>
      <c r="W33" s="68" t="n">
        <v>236.55</v>
      </c>
      <c r="X33" s="68" t="n">
        <v>0</v>
      </c>
      <c r="Y33" s="69" t="n">
        <v>89.87</v>
      </c>
      <c r="Z33" s="59" t="n">
        <v>0</v>
      </c>
      <c r="AA33" s="63" t="n">
        <v>0</v>
      </c>
      <c r="AB33" s="61">
        <f>SUM(P33:AA33)</f>
        <v/>
      </c>
      <c r="AC33" s="64" t="n">
        <v>0</v>
      </c>
      <c r="AD33" s="64" t="n">
        <v>0</v>
      </c>
      <c r="AE33" s="142" t="n">
        <v>60.95</v>
      </c>
      <c r="AF33" s="143" t="n">
        <v>60.95</v>
      </c>
      <c r="AG33" s="142" t="n">
        <v>445.2</v>
      </c>
      <c r="AH33" s="142" t="n">
        <v>60.95</v>
      </c>
      <c r="AI33" s="143" t="n">
        <v>60.95</v>
      </c>
      <c r="AJ33" s="142" t="n">
        <v>60.95</v>
      </c>
      <c r="AK33" s="142" t="n">
        <v>249</v>
      </c>
      <c r="AL33" s="143" t="n">
        <v>60.95</v>
      </c>
      <c r="AM33" s="59" t="n">
        <v>0</v>
      </c>
      <c r="AN33" s="63" t="n">
        <v>0</v>
      </c>
      <c r="AO33" s="61">
        <f>SUM(AC33:AN33)</f>
        <v/>
      </c>
    </row>
    <row r="34" ht="14.25" customHeight="1" s="137">
      <c r="B34" s="146" t="inlineStr">
        <is>
          <t>SUPPLIES (Grove Collaborative)</t>
        </is>
      </c>
      <c r="C34" s="64" t="n">
        <v>0</v>
      </c>
      <c r="D34" s="64" t="n">
        <v>0</v>
      </c>
      <c r="E34" s="64" t="n">
        <v>0</v>
      </c>
      <c r="F34" s="65" t="n">
        <v>0</v>
      </c>
      <c r="G34" s="66" t="n">
        <v>0</v>
      </c>
      <c r="H34" s="66" t="n">
        <v>0</v>
      </c>
      <c r="I34" s="67" t="n">
        <v>0</v>
      </c>
      <c r="J34" s="68" t="n">
        <v>0</v>
      </c>
      <c r="K34" s="68" t="n">
        <v>0</v>
      </c>
      <c r="L34" s="69" t="n">
        <v>0</v>
      </c>
      <c r="M34" s="59" t="n">
        <v>0</v>
      </c>
      <c r="N34" s="63" t="n">
        <v>0</v>
      </c>
      <c r="O34" s="61">
        <f>SUM(C34:N34)</f>
        <v/>
      </c>
      <c r="P34" s="64" t="n">
        <v>0</v>
      </c>
      <c r="Q34" s="64" t="n">
        <v>0</v>
      </c>
      <c r="R34" s="64" t="n">
        <v>0</v>
      </c>
      <c r="S34" s="65" t="n">
        <v>0</v>
      </c>
      <c r="T34" s="66" t="n">
        <v>0</v>
      </c>
      <c r="U34" s="66" t="n">
        <v>0</v>
      </c>
      <c r="V34" s="67" t="n">
        <v>0</v>
      </c>
      <c r="W34" s="68" t="n">
        <v>0</v>
      </c>
      <c r="X34" s="68" t="n">
        <v>0</v>
      </c>
      <c r="Y34" s="69" t="n">
        <v>0</v>
      </c>
      <c r="Z34" s="59" t="n">
        <v>0</v>
      </c>
      <c r="AA34" s="63" t="n">
        <v>0</v>
      </c>
      <c r="AB34" s="61">
        <f>SUM(P34:AA34)</f>
        <v/>
      </c>
      <c r="AC34" s="142" t="n">
        <v>110.8</v>
      </c>
      <c r="AD34" s="64" t="n">
        <v>0</v>
      </c>
      <c r="AE34" s="142" t="n">
        <v>92.95999999999999</v>
      </c>
      <c r="AF34" s="143" t="n">
        <v>105.25</v>
      </c>
      <c r="AG34" s="66" t="n">
        <v>0</v>
      </c>
      <c r="AH34" s="142" t="n">
        <v>68.73</v>
      </c>
      <c r="AI34" s="143" t="n">
        <v>128.37</v>
      </c>
      <c r="AJ34" s="142" t="n">
        <v>176.17</v>
      </c>
      <c r="AK34" s="142" t="n">
        <v>108.93</v>
      </c>
      <c r="AL34" s="69" t="n">
        <v>0</v>
      </c>
      <c r="AM34" s="59" t="n">
        <v>0</v>
      </c>
      <c r="AN34" s="63" t="n">
        <v>0</v>
      </c>
      <c r="AO34" s="61">
        <f>SUM(AC34:AN34)</f>
        <v/>
      </c>
    </row>
    <row r="35" ht="14.25" customHeight="1" s="137">
      <c r="B35" s="47" t="inlineStr">
        <is>
          <t>TOTAL EXPENSES</t>
        </is>
      </c>
      <c r="C35" s="48">
        <f>SUM(C10:C34)</f>
        <v/>
      </c>
      <c r="D35" s="48">
        <f>SUM(D10:D34)</f>
        <v/>
      </c>
      <c r="E35" s="48">
        <f>SUM(E10:E34)</f>
        <v/>
      </c>
      <c r="F35" s="49">
        <f>SUM(F10:F34)</f>
        <v/>
      </c>
      <c r="G35" s="50">
        <f>SUM(G10:G34)</f>
        <v/>
      </c>
      <c r="H35" s="50">
        <f>SUM(H10:H34)</f>
        <v/>
      </c>
      <c r="I35" s="51">
        <f>SUM(I10:I34)</f>
        <v/>
      </c>
      <c r="J35" s="52">
        <f>SUM(J10:J34)</f>
        <v/>
      </c>
      <c r="K35" s="52">
        <f>SUM(K10:K34)</f>
        <v/>
      </c>
      <c r="L35" s="53">
        <f>SUM(L10:L34)</f>
        <v/>
      </c>
      <c r="M35" s="54">
        <f>SUM(M10:M34)</f>
        <v/>
      </c>
      <c r="N35" s="55">
        <f>SUM(N10:N34)</f>
        <v/>
      </c>
      <c r="O35" s="56">
        <f>SUM(C35:N35)</f>
        <v/>
      </c>
      <c r="P35" s="48">
        <f>SUM(P10:P34)</f>
        <v/>
      </c>
      <c r="Q35" s="48">
        <f>SUM(Q10:Q34)</f>
        <v/>
      </c>
      <c r="R35" s="48">
        <f>SUM(R10:R34)</f>
        <v/>
      </c>
      <c r="S35" s="49">
        <f>SUM(S10:S34)</f>
        <v/>
      </c>
      <c r="T35" s="50">
        <f>SUM(T10:T34)</f>
        <v/>
      </c>
      <c r="U35" s="50">
        <f>SUM(U10:U34)</f>
        <v/>
      </c>
      <c r="V35" s="51">
        <f>SUM(V10:V34)</f>
        <v/>
      </c>
      <c r="W35" s="52">
        <f>SUM(W10:W34)</f>
        <v/>
      </c>
      <c r="X35" s="52">
        <f>SUM(X10:X34)</f>
        <v/>
      </c>
      <c r="Y35" s="53">
        <f>SUM(Y10:Y34)</f>
        <v/>
      </c>
      <c r="Z35" s="54">
        <f>SUM(Z10:Z34)</f>
        <v/>
      </c>
      <c r="AA35" s="55">
        <f>SUM(AA10:AA34)</f>
        <v/>
      </c>
      <c r="AB35" s="56">
        <f>SUM(P35:AA35)</f>
        <v/>
      </c>
      <c r="AC35" s="48">
        <f>SUM(AC10:AC34)</f>
        <v/>
      </c>
      <c r="AD35" s="48">
        <f>SUM(AD10:AD34)</f>
        <v/>
      </c>
      <c r="AE35" s="48">
        <f>SUM(AE10:AE34)</f>
        <v/>
      </c>
      <c r="AF35" s="49">
        <f>SUM(AF10:AF34)</f>
        <v/>
      </c>
      <c r="AG35" s="50">
        <f>SUM(AG10:AG34)</f>
        <v/>
      </c>
      <c r="AH35" s="50">
        <f>SUM(AH10:AH34)</f>
        <v/>
      </c>
      <c r="AI35" s="51">
        <f>SUM(AI10:AI34)</f>
        <v/>
      </c>
      <c r="AJ35" s="52">
        <f>SUM(AJ10:AJ34)</f>
        <v/>
      </c>
      <c r="AK35" s="52">
        <f>SUM(AK10:AK34)</f>
        <v/>
      </c>
      <c r="AL35" s="53">
        <f>SUM(AL10:AL34)</f>
        <v/>
      </c>
      <c r="AM35" s="54">
        <f>SUM(AM10:AM34)</f>
        <v/>
      </c>
      <c r="AN35" s="55">
        <f>SUM(AN10:AN34)</f>
        <v/>
      </c>
      <c r="AO35" s="56">
        <f>SUM(AC35:AN35)</f>
        <v/>
      </c>
    </row>
    <row r="36" ht="14.25" customHeight="1" s="137"/>
    <row r="37" ht="14.25" customHeight="1" s="137">
      <c r="B37" s="70" t="inlineStr">
        <is>
          <t>YEAR-TO-DATE INCOME LESS EXPENSES</t>
        </is>
      </c>
      <c r="C37" s="71">
        <f>C6-C35</f>
        <v/>
      </c>
      <c r="D37" s="71">
        <f>D6-D35</f>
        <v/>
      </c>
      <c r="E37" s="71">
        <f>E6-E35</f>
        <v/>
      </c>
      <c r="F37" s="72">
        <f>F6-F35</f>
        <v/>
      </c>
      <c r="G37" s="73">
        <f>G6-G35</f>
        <v/>
      </c>
      <c r="H37" s="73">
        <f>H6-H35</f>
        <v/>
      </c>
      <c r="I37" s="74">
        <f>I6-I35</f>
        <v/>
      </c>
      <c r="J37" s="75">
        <f>J6-J35</f>
        <v/>
      </c>
      <c r="K37" s="75">
        <f>K6-K35</f>
        <v/>
      </c>
      <c r="L37" s="76">
        <f>L6-L35</f>
        <v/>
      </c>
      <c r="M37" s="77">
        <f>M6-M35</f>
        <v/>
      </c>
      <c r="N37" s="78">
        <f>N6-N35</f>
        <v/>
      </c>
      <c r="O37" s="79">
        <f>O6-O35</f>
        <v/>
      </c>
      <c r="P37" s="71">
        <f>P6-P35</f>
        <v/>
      </c>
      <c r="Q37" s="71">
        <f>Q6-Q35</f>
        <v/>
      </c>
      <c r="R37" s="71">
        <f>R6-R35</f>
        <v/>
      </c>
      <c r="S37" s="72">
        <f>S6-S35</f>
        <v/>
      </c>
      <c r="T37" s="73">
        <f>T6-T35</f>
        <v/>
      </c>
      <c r="U37" s="73">
        <f>U6-U35</f>
        <v/>
      </c>
      <c r="V37" s="74">
        <f>V6-V35</f>
        <v/>
      </c>
      <c r="W37" s="75">
        <f>W6-W35</f>
        <v/>
      </c>
      <c r="X37" s="75">
        <f>X6-X35</f>
        <v/>
      </c>
      <c r="Y37" s="76">
        <f>Y6-Y35</f>
        <v/>
      </c>
      <c r="Z37" s="77">
        <f>Z6-Z35</f>
        <v/>
      </c>
      <c r="AA37" s="78">
        <f>AA6-AA35</f>
        <v/>
      </c>
      <c r="AB37" s="79">
        <f>AB6-AB35</f>
        <v/>
      </c>
      <c r="AC37" s="71">
        <f>AC6-AC35</f>
        <v/>
      </c>
      <c r="AD37" s="71">
        <f>AD6-AD35</f>
        <v/>
      </c>
      <c r="AE37" s="71">
        <f>AE6-AE35</f>
        <v/>
      </c>
      <c r="AF37" s="72">
        <f>AF6-AF35</f>
        <v/>
      </c>
      <c r="AG37" s="73">
        <f>AG6-AG35</f>
        <v/>
      </c>
      <c r="AH37" s="73">
        <f>AH6-AH35</f>
        <v/>
      </c>
      <c r="AI37" s="74">
        <f>AI6-AI35</f>
        <v/>
      </c>
      <c r="AJ37" s="75">
        <f>AJ6-AJ35</f>
        <v/>
      </c>
      <c r="AK37" s="75">
        <f>AK6-AK35</f>
        <v/>
      </c>
      <c r="AL37" s="76">
        <f>AL6-AL35</f>
        <v/>
      </c>
      <c r="AM37" s="77">
        <f>AM6-AM35</f>
        <v/>
      </c>
      <c r="AN37" s="78">
        <f>AN6-AN35</f>
        <v/>
      </c>
      <c r="AO37" s="79">
        <f>AO6-AO35</f>
        <v/>
      </c>
    </row>
    <row r="38" ht="14.25" customHeight="1" s="137"/>
    <row r="39" ht="72" customHeight="1" s="137">
      <c r="A39" s="213" t="inlineStr">
        <is>
          <t>2025: platform STR net on RENTAL INCOME (Jun–Nov). TruGreen/Alsip on YARD SERVICE (same as 2024). Grove Collaborative on SUPPLIES (≠ 827 N Grove the house). INSURANCE LOCK 2026-09-20: Travelers was prior 524 home; Geico was the cars. Only State Farm HOME share on this INSURANCE line (50/50 U1/U2). Auto + Geico $540.89 credit personal, not EPGC. Travelers leftover Jan 2025 is 524 home ($0 on cards/Monarch). ELECTRIC yellow — confirm ComEd with Megan. Not tax advice. User 2026-09-20: Travelers + Geico are 524 Ferdinand; Lemonade is 216 Oak Park (not Grove, not 524).</t>
        </is>
      </c>
    </row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</sheetData>
  <mergeCells count="2">
    <mergeCell ref="C1:O1"/>
    <mergeCell ref="P1:AB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O68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37" min="1" max="1"/>
    <col width="68" customWidth="1" style="137" min="2" max="2"/>
    <col hidden="1" width="12" customWidth="1" style="137" min="3" max="3"/>
    <col hidden="1" width="10.57" customWidth="1" style="137" min="4" max="11"/>
    <col hidden="1" width="10" customWidth="1" style="137" min="12" max="14"/>
    <col hidden="1" width="16.57" customWidth="1" style="137" min="15" max="15"/>
    <col width="10.14" customWidth="1" style="137" min="16" max="16"/>
    <col width="12.71" customWidth="1" style="137" min="17" max="17"/>
    <col width="8.710000000000001" customWidth="1" style="137" min="18" max="24"/>
    <col width="13" customWidth="1" style="137" min="19" max="19"/>
    <col width="13" customWidth="1" style="137" min="20" max="20"/>
    <col width="13" customWidth="1" style="137" min="21" max="21"/>
    <col width="13" customWidth="1" style="137" min="22" max="22"/>
    <col width="13" customWidth="1" style="137" min="23" max="23"/>
    <col width="13" customWidth="1" style="137" min="24" max="24"/>
    <col width="10.14" customWidth="1" style="137" min="25" max="25"/>
    <col width="8.710000000000001" customWidth="1" style="137" min="26" max="27"/>
    <col width="13" customWidth="1" style="137" min="27" max="27"/>
    <col width="19.57" customWidth="1" style="137" min="28" max="28"/>
    <col width="10.14" customWidth="1" style="137" min="29" max="29"/>
    <col width="12.71" customWidth="1" style="137" min="30" max="30"/>
    <col width="8.710000000000001" customWidth="1" style="137" min="31" max="31"/>
    <col width="13" customWidth="1" style="137" min="32" max="32"/>
    <col width="13" customWidth="1" style="137" min="33" max="33"/>
    <col width="13" customWidth="1" style="137" min="34" max="34"/>
    <col width="13" customWidth="1" style="137" min="35" max="35"/>
    <col width="13" customWidth="1" style="137" min="36" max="36"/>
    <col width="13" customWidth="1" style="137" min="37" max="37"/>
    <col width="10.14" customWidth="1" style="137" min="38" max="38"/>
    <col width="8.710000000000001" customWidth="1" style="137" min="39" max="39"/>
    <col width="13" customWidth="1" style="137" min="40" max="40"/>
    <col width="19.57" customWidth="1" style="137" min="41" max="41"/>
  </cols>
  <sheetData>
    <row r="1" ht="14.25" customHeight="1" s="137">
      <c r="A1" s="16" t="n"/>
      <c r="B1" s="17" t="inlineStr">
        <is>
          <t>PROPERTY ADDRESS</t>
        </is>
      </c>
      <c r="C1" s="18" t="inlineStr">
        <is>
          <t>216 N. Oak Park Avenue #1Z</t>
        </is>
      </c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</row>
    <row r="2" ht="14.25" customHeight="1" s="137">
      <c r="A2" s="20" t="n"/>
      <c r="B2" s="21" t="inlineStr">
        <is>
          <t>INCOME</t>
        </is>
      </c>
      <c r="C2" s="22" t="inlineStr">
        <is>
          <t>JAN</t>
        </is>
      </c>
      <c r="D2" s="22" t="inlineStr">
        <is>
          <t>FEB</t>
        </is>
      </c>
      <c r="E2" s="22" t="inlineStr">
        <is>
          <t>MAR</t>
        </is>
      </c>
      <c r="F2" s="23" t="inlineStr">
        <is>
          <t>APR</t>
        </is>
      </c>
      <c r="G2" s="24" t="inlineStr">
        <is>
          <t>MAY</t>
        </is>
      </c>
      <c r="H2" s="24" t="inlineStr">
        <is>
          <t>JUN</t>
        </is>
      </c>
      <c r="I2" s="25" t="inlineStr">
        <is>
          <t>JUL</t>
        </is>
      </c>
      <c r="J2" s="26" t="inlineStr">
        <is>
          <t>AUG</t>
        </is>
      </c>
      <c r="K2" s="26" t="inlineStr">
        <is>
          <t>SEPT</t>
        </is>
      </c>
      <c r="L2" s="27" t="inlineStr">
        <is>
          <t>OCT</t>
        </is>
      </c>
      <c r="M2" s="28" t="inlineStr">
        <is>
          <t>NOV</t>
        </is>
      </c>
      <c r="N2" s="29" t="inlineStr">
        <is>
          <t>DEC</t>
        </is>
      </c>
      <c r="O2" s="30" t="inlineStr">
        <is>
          <t>2023 YR TOTAL</t>
        </is>
      </c>
      <c r="P2" s="22" t="inlineStr">
        <is>
          <t>JAN</t>
        </is>
      </c>
      <c r="Q2" s="22" t="inlineStr">
        <is>
          <t>FEB</t>
        </is>
      </c>
      <c r="R2" s="22" t="inlineStr">
        <is>
          <t>MAR</t>
        </is>
      </c>
      <c r="S2" s="23" t="inlineStr">
        <is>
          <t>APR</t>
        </is>
      </c>
      <c r="T2" s="24" t="inlineStr">
        <is>
          <t>MAY</t>
        </is>
      </c>
      <c r="U2" s="24" t="inlineStr">
        <is>
          <t>JUN</t>
        </is>
      </c>
      <c r="V2" s="25" t="inlineStr">
        <is>
          <t>JUL</t>
        </is>
      </c>
      <c r="W2" s="26" t="inlineStr">
        <is>
          <t>AUG</t>
        </is>
      </c>
      <c r="X2" s="26" t="inlineStr">
        <is>
          <t>SEPT</t>
        </is>
      </c>
      <c r="Y2" s="27" t="inlineStr">
        <is>
          <t>OCT</t>
        </is>
      </c>
      <c r="Z2" s="28" t="inlineStr">
        <is>
          <t>NOV</t>
        </is>
      </c>
      <c r="AA2" s="29" t="inlineStr">
        <is>
          <t>DEC</t>
        </is>
      </c>
      <c r="AB2" s="30" t="inlineStr">
        <is>
          <t>2024 YR TOTAL</t>
        </is>
      </c>
      <c r="AC2" s="22" t="inlineStr">
        <is>
          <t>JAN</t>
        </is>
      </c>
      <c r="AD2" s="22" t="inlineStr">
        <is>
          <t>FEB</t>
        </is>
      </c>
      <c r="AE2" s="22" t="inlineStr">
        <is>
          <t>MAR</t>
        </is>
      </c>
      <c r="AF2" s="23" t="inlineStr">
        <is>
          <t>APR</t>
        </is>
      </c>
      <c r="AG2" s="24" t="inlineStr">
        <is>
          <t>MAY</t>
        </is>
      </c>
      <c r="AH2" s="24" t="inlineStr">
        <is>
          <t>JUN</t>
        </is>
      </c>
      <c r="AI2" s="25" t="inlineStr">
        <is>
          <t>JUL</t>
        </is>
      </c>
      <c r="AJ2" s="26" t="inlineStr">
        <is>
          <t>AUG</t>
        </is>
      </c>
      <c r="AK2" s="26" t="inlineStr">
        <is>
          <t>SEPT</t>
        </is>
      </c>
      <c r="AL2" s="27" t="inlineStr">
        <is>
          <t>OCT</t>
        </is>
      </c>
      <c r="AM2" s="28" t="inlineStr">
        <is>
          <t>NOV</t>
        </is>
      </c>
      <c r="AN2" s="29" t="inlineStr">
        <is>
          <t>DEC</t>
        </is>
      </c>
      <c r="AO2" s="30" t="inlineStr">
        <is>
          <t>2025 YR TOTAL</t>
        </is>
      </c>
    </row>
    <row r="3" ht="14.25" customHeight="1" s="137">
      <c r="B3" s="128" t="inlineStr">
        <is>
          <t>MULTI-PROPERTY INCOME OVERVIEW</t>
        </is>
      </c>
      <c r="C3" s="32" t="n"/>
      <c r="D3" s="32" t="n"/>
      <c r="E3" s="32" t="n"/>
      <c r="F3" s="33" t="n"/>
      <c r="G3" s="32" t="n"/>
      <c r="H3" s="32" t="n"/>
      <c r="I3" s="33" t="n"/>
      <c r="J3" s="32" t="n"/>
      <c r="K3" s="32" t="n"/>
      <c r="L3" s="33" t="n"/>
      <c r="M3" s="32" t="n"/>
      <c r="N3" s="34" t="n"/>
      <c r="O3" s="35" t="n"/>
      <c r="P3" s="32" t="n"/>
      <c r="Q3" s="32" t="n"/>
      <c r="R3" s="32" t="n"/>
      <c r="S3" s="33" t="n"/>
      <c r="T3" s="32" t="n"/>
      <c r="U3" s="32" t="n"/>
      <c r="V3" s="33" t="n"/>
      <c r="W3" s="32" t="n"/>
      <c r="X3" s="32" t="n"/>
      <c r="Y3" s="33" t="n"/>
      <c r="Z3" s="32" t="n"/>
      <c r="AA3" s="34" t="n"/>
      <c r="AB3" s="35" t="n"/>
      <c r="AC3" s="32" t="n"/>
      <c r="AD3" s="32" t="n"/>
      <c r="AE3" s="32" t="n"/>
      <c r="AF3" s="33" t="n"/>
      <c r="AG3" s="32" t="n"/>
      <c r="AH3" s="32" t="n"/>
      <c r="AI3" s="33" t="n"/>
      <c r="AJ3" s="32" t="n"/>
      <c r="AK3" s="32" t="n"/>
      <c r="AL3" s="33" t="n"/>
      <c r="AM3" s="32" t="n"/>
      <c r="AN3" s="34" t="n"/>
      <c r="AO3" s="35" t="n"/>
    </row>
    <row r="4" ht="14.25" customHeight="1" s="137">
      <c r="B4" s="146" t="inlineStr">
        <is>
          <t>OTHER INCOME</t>
        </is>
      </c>
      <c r="C4" s="64" t="n">
        <v>0</v>
      </c>
      <c r="D4" s="64" t="n">
        <v>0</v>
      </c>
      <c r="E4" s="64" t="n">
        <v>0</v>
      </c>
      <c r="F4" s="65" t="n">
        <v>0</v>
      </c>
      <c r="G4" s="66" t="n">
        <v>0</v>
      </c>
      <c r="H4" s="66" t="n">
        <v>0</v>
      </c>
      <c r="I4" s="67" t="n">
        <v>0</v>
      </c>
      <c r="J4" s="68" t="n">
        <v>0</v>
      </c>
      <c r="K4" s="68" t="n">
        <v>0</v>
      </c>
      <c r="L4" s="69" t="n">
        <v>0</v>
      </c>
      <c r="M4" s="59" t="n">
        <v>0</v>
      </c>
      <c r="N4" s="63" t="n">
        <v>0</v>
      </c>
      <c r="O4" s="61">
        <f>SUM(C4:N4)</f>
        <v/>
      </c>
      <c r="P4" s="64" t="n">
        <v>0</v>
      </c>
      <c r="Q4" s="64" t="n">
        <v>0</v>
      </c>
      <c r="R4" s="64" t="n">
        <v>0</v>
      </c>
      <c r="S4" s="65" t="n">
        <v>0</v>
      </c>
      <c r="T4" s="66" t="n">
        <v>0</v>
      </c>
      <c r="U4" s="66" t="n">
        <v>0</v>
      </c>
      <c r="V4" s="67" t="n">
        <v>0</v>
      </c>
      <c r="W4" s="68" t="n">
        <v>0</v>
      </c>
      <c r="X4" s="68" t="n">
        <v>0</v>
      </c>
      <c r="Y4" s="69" t="n">
        <v>0</v>
      </c>
      <c r="Z4" s="59" t="n">
        <v>0</v>
      </c>
      <c r="AA4" s="63" t="n">
        <v>0</v>
      </c>
      <c r="AB4" s="61">
        <f>SUM(P4:AA4)</f>
        <v/>
      </c>
      <c r="AC4" s="64" t="n">
        <v>0</v>
      </c>
      <c r="AD4" s="64" t="n">
        <v>0</v>
      </c>
      <c r="AE4" s="64" t="n">
        <v>0</v>
      </c>
      <c r="AF4" s="65" t="n">
        <v>0</v>
      </c>
      <c r="AG4" s="66" t="n">
        <v>0</v>
      </c>
      <c r="AH4" s="66" t="n">
        <v>0</v>
      </c>
      <c r="AI4" s="67" t="n">
        <v>0</v>
      </c>
      <c r="AJ4" s="68" t="n">
        <v>0</v>
      </c>
      <c r="AK4" s="68" t="n">
        <v>0</v>
      </c>
      <c r="AL4" s="69" t="n">
        <v>0</v>
      </c>
      <c r="AM4" s="59" t="n">
        <v>0</v>
      </c>
      <c r="AN4" s="63" t="n">
        <v>0</v>
      </c>
      <c r="AO4" s="61">
        <f>SUM(AC4:AN4)</f>
        <v/>
      </c>
    </row>
    <row r="5" ht="14.25" customHeight="1" s="137">
      <c r="B5" s="146" t="inlineStr">
        <is>
          <t>RENTAL INCOME</t>
        </is>
      </c>
      <c r="C5" s="64" t="n"/>
      <c r="D5" s="64" t="n"/>
      <c r="E5" s="64" t="n"/>
      <c r="F5" s="46" t="n"/>
      <c r="G5" s="46" t="n"/>
      <c r="H5" s="46" t="n"/>
      <c r="I5" s="68" t="n"/>
      <c r="J5" s="68" t="n"/>
      <c r="K5" s="68" t="n"/>
      <c r="L5" s="59" t="n">
        <v>1775</v>
      </c>
      <c r="M5" s="59" t="n">
        <v>1775</v>
      </c>
      <c r="N5" s="59" t="n">
        <v>1775</v>
      </c>
      <c r="O5" s="61">
        <f>SUM(C5:N5)</f>
        <v/>
      </c>
      <c r="P5" s="64" t="n">
        <v>1775</v>
      </c>
      <c r="Q5" s="64" t="n">
        <v>1775</v>
      </c>
      <c r="R5" s="64" t="n">
        <v>1775</v>
      </c>
      <c r="S5" s="46" t="n">
        <v>1775</v>
      </c>
      <c r="T5" s="46" t="n">
        <v>1775</v>
      </c>
      <c r="U5" s="46" t="n">
        <v>1775</v>
      </c>
      <c r="V5" s="68" t="n">
        <v>1775</v>
      </c>
      <c r="W5" s="68" t="n">
        <v>1775</v>
      </c>
      <c r="X5" s="68" t="n">
        <v>1775</v>
      </c>
      <c r="Y5" s="59" t="n">
        <v>1950</v>
      </c>
      <c r="Z5" s="59" t="n">
        <v>1950</v>
      </c>
      <c r="AA5" s="59" t="n">
        <v>1950</v>
      </c>
      <c r="AB5" s="61">
        <f>SUM(P5:AA5)</f>
        <v/>
      </c>
      <c r="AC5" s="142" t="n">
        <v>1950</v>
      </c>
      <c r="AD5" s="142" t="n">
        <v>1950</v>
      </c>
      <c r="AE5" s="142" t="n">
        <v>1950</v>
      </c>
      <c r="AF5" s="142" t="n">
        <v>1950</v>
      </c>
      <c r="AG5" s="142" t="n">
        <v>1950</v>
      </c>
      <c r="AH5" s="142" t="n">
        <v>1950</v>
      </c>
      <c r="AI5" s="142" t="n">
        <v>1450</v>
      </c>
      <c r="AJ5" s="142" t="n">
        <v>2450</v>
      </c>
      <c r="AK5" s="68" t="n">
        <v>0</v>
      </c>
      <c r="AL5" s="59" t="n">
        <v>0</v>
      </c>
      <c r="AM5" s="59" t="n">
        <v>0</v>
      </c>
      <c r="AN5" s="142" t="n">
        <v>3900</v>
      </c>
      <c r="AO5" s="61">
        <f>SUM(AC5:AN5)</f>
        <v/>
      </c>
    </row>
    <row r="6" ht="14.25" customHeight="1" s="137">
      <c r="B6" s="47" t="inlineStr">
        <is>
          <t>GROSS RENTAL INCOME</t>
        </is>
      </c>
      <c r="C6" s="48">
        <f>SUM(C4:C5)</f>
        <v/>
      </c>
      <c r="D6" s="48">
        <f>SUM(D4:D5)</f>
        <v/>
      </c>
      <c r="E6" s="48">
        <f>SUM(E4:E5)</f>
        <v/>
      </c>
      <c r="F6" s="49">
        <f>SUM(F4:F5)</f>
        <v/>
      </c>
      <c r="G6" s="50">
        <f>SUM(G4:G5)</f>
        <v/>
      </c>
      <c r="H6" s="50">
        <f>SUM(H4:H5)</f>
        <v/>
      </c>
      <c r="I6" s="51">
        <f>SUM(I4:I5)</f>
        <v/>
      </c>
      <c r="J6" s="52">
        <f>SUM(J4:J5)</f>
        <v/>
      </c>
      <c r="K6" s="52">
        <f>SUM(K4:K5)</f>
        <v/>
      </c>
      <c r="L6" s="53">
        <f>SUM(L4:L5)</f>
        <v/>
      </c>
      <c r="M6" s="54">
        <f>SUM(M4:M5)</f>
        <v/>
      </c>
      <c r="N6" s="55">
        <f>SUM(N4:N5)</f>
        <v/>
      </c>
      <c r="O6" s="56">
        <f>SUM(C6:N6)</f>
        <v/>
      </c>
      <c r="P6" s="48">
        <f>SUM(P4:P5)</f>
        <v/>
      </c>
      <c r="Q6" s="48">
        <f>SUM(Q4:Q5)</f>
        <v/>
      </c>
      <c r="R6" s="48">
        <f>SUM(R4:R5)</f>
        <v/>
      </c>
      <c r="S6" s="49">
        <f>SUM(S4:S5)</f>
        <v/>
      </c>
      <c r="T6" s="50">
        <f>SUM(T4:T5)</f>
        <v/>
      </c>
      <c r="U6" s="50">
        <f>SUM(U4:U5)</f>
        <v/>
      </c>
      <c r="V6" s="51">
        <f>SUM(V4:V5)</f>
        <v/>
      </c>
      <c r="W6" s="52">
        <f>SUM(W4:W5)</f>
        <v/>
      </c>
      <c r="X6" s="52">
        <f>SUM(X4:X5)</f>
        <v/>
      </c>
      <c r="Y6" s="53">
        <f>SUM(Y4:Y5)</f>
        <v/>
      </c>
      <c r="Z6" s="54">
        <f>SUM(Z4:Z5)</f>
        <v/>
      </c>
      <c r="AA6" s="55">
        <f>SUM(AA4:AA5)</f>
        <v/>
      </c>
      <c r="AB6" s="56">
        <f>SUM(P6:AA6)</f>
        <v/>
      </c>
      <c r="AC6" s="48">
        <f>SUM(AC4:AC5)</f>
        <v/>
      </c>
      <c r="AD6" s="48">
        <f>SUM(AD4:AD5)</f>
        <v/>
      </c>
      <c r="AE6" s="48">
        <f>SUM(AE4:AE5)</f>
        <v/>
      </c>
      <c r="AF6" s="49">
        <f>SUM(AF4:AF5)</f>
        <v/>
      </c>
      <c r="AG6" s="50">
        <f>SUM(AG4:AG5)</f>
        <v/>
      </c>
      <c r="AH6" s="50">
        <f>SUM(AH4:AH5)</f>
        <v/>
      </c>
      <c r="AI6" s="51">
        <f>SUM(AI4:AI5)</f>
        <v/>
      </c>
      <c r="AJ6" s="52">
        <f>SUM(AJ4:AJ5)</f>
        <v/>
      </c>
      <c r="AK6" s="52">
        <f>SUM(AK4:AK5)</f>
        <v/>
      </c>
      <c r="AL6" s="53">
        <f>SUM(AL4:AL5)</f>
        <v/>
      </c>
      <c r="AM6" s="54">
        <f>SUM(AM4:AM5)</f>
        <v/>
      </c>
      <c r="AN6" s="55">
        <f>SUM(AN4:AN5)</f>
        <v/>
      </c>
      <c r="AO6" s="56">
        <f>SUM(AC6:AN6)</f>
        <v/>
      </c>
    </row>
    <row r="7" ht="14.25" customHeight="1" s="137"/>
    <row r="8" ht="14.25" customHeight="1" s="137">
      <c r="A8" s="20" t="n"/>
      <c r="B8" s="21" t="inlineStr">
        <is>
          <t>EXPENSES</t>
        </is>
      </c>
      <c r="C8" s="22" t="inlineStr">
        <is>
          <t>JAN</t>
        </is>
      </c>
      <c r="D8" s="22" t="inlineStr">
        <is>
          <t>FEB</t>
        </is>
      </c>
      <c r="E8" s="22" t="inlineStr">
        <is>
          <t>MAR</t>
        </is>
      </c>
      <c r="F8" s="23" t="inlineStr">
        <is>
          <t>APR</t>
        </is>
      </c>
      <c r="G8" s="24" t="inlineStr">
        <is>
          <t>MAY</t>
        </is>
      </c>
      <c r="H8" s="24" t="inlineStr">
        <is>
          <t>JUN</t>
        </is>
      </c>
      <c r="I8" s="25" t="inlineStr">
        <is>
          <t>JUL</t>
        </is>
      </c>
      <c r="J8" s="26" t="inlineStr">
        <is>
          <t>AUG</t>
        </is>
      </c>
      <c r="K8" s="26" t="inlineStr">
        <is>
          <t>SEPT</t>
        </is>
      </c>
      <c r="L8" s="27" t="inlineStr">
        <is>
          <t>OCT</t>
        </is>
      </c>
      <c r="M8" s="28" t="inlineStr">
        <is>
          <t>NOV</t>
        </is>
      </c>
      <c r="N8" s="29" t="inlineStr">
        <is>
          <t>DEC</t>
        </is>
      </c>
      <c r="O8" s="30" t="inlineStr">
        <is>
          <t>YR TOTAL</t>
        </is>
      </c>
      <c r="P8" s="22" t="inlineStr">
        <is>
          <t>JAN</t>
        </is>
      </c>
      <c r="Q8" s="22" t="inlineStr">
        <is>
          <t>FEB</t>
        </is>
      </c>
      <c r="R8" s="22" t="inlineStr">
        <is>
          <t>MAR</t>
        </is>
      </c>
      <c r="S8" s="23" t="inlineStr">
        <is>
          <t>APR</t>
        </is>
      </c>
      <c r="T8" s="24" t="inlineStr">
        <is>
          <t>MAY</t>
        </is>
      </c>
      <c r="U8" s="24" t="inlineStr">
        <is>
          <t>JUN</t>
        </is>
      </c>
      <c r="V8" s="25" t="inlineStr">
        <is>
          <t>JUL</t>
        </is>
      </c>
      <c r="W8" s="26" t="inlineStr">
        <is>
          <t>AUG</t>
        </is>
      </c>
      <c r="X8" s="26" t="inlineStr">
        <is>
          <t>SEPT</t>
        </is>
      </c>
      <c r="Y8" s="27" t="inlineStr">
        <is>
          <t>OCT</t>
        </is>
      </c>
      <c r="Z8" s="28" t="inlineStr">
        <is>
          <t>NOV</t>
        </is>
      </c>
      <c r="AA8" s="29" t="inlineStr">
        <is>
          <t>DEC</t>
        </is>
      </c>
      <c r="AB8" s="30" t="inlineStr">
        <is>
          <t>YR TOTAL</t>
        </is>
      </c>
      <c r="AC8" s="22" t="inlineStr">
        <is>
          <t>JAN</t>
        </is>
      </c>
      <c r="AD8" s="22" t="inlineStr">
        <is>
          <t>FEB</t>
        </is>
      </c>
      <c r="AE8" s="22" t="inlineStr">
        <is>
          <t>MAR</t>
        </is>
      </c>
      <c r="AF8" s="23" t="inlineStr">
        <is>
          <t>APR</t>
        </is>
      </c>
      <c r="AG8" s="24" t="inlineStr">
        <is>
          <t>MAY</t>
        </is>
      </c>
      <c r="AH8" s="24" t="inlineStr">
        <is>
          <t>JUN</t>
        </is>
      </c>
      <c r="AI8" s="25" t="inlineStr">
        <is>
          <t>JUL</t>
        </is>
      </c>
      <c r="AJ8" s="26" t="inlineStr">
        <is>
          <t>AUG</t>
        </is>
      </c>
      <c r="AK8" s="26" t="inlineStr">
        <is>
          <t>SEPT</t>
        </is>
      </c>
      <c r="AL8" s="27" t="inlineStr">
        <is>
          <t>OCT</t>
        </is>
      </c>
      <c r="AM8" s="28" t="inlineStr">
        <is>
          <t>NOV</t>
        </is>
      </c>
      <c r="AN8" s="29" t="inlineStr">
        <is>
          <t>DEC</t>
        </is>
      </c>
      <c r="AO8" s="30" t="inlineStr">
        <is>
          <t>YR TOTAL</t>
        </is>
      </c>
    </row>
    <row r="9" ht="14.25" customHeight="1" s="137">
      <c r="B9" s="128">
        <f>'[1]Property Management Overview'!B10</f>
        <v/>
      </c>
      <c r="C9" s="32" t="n"/>
      <c r="D9" s="32" t="n"/>
      <c r="E9" s="32" t="n"/>
      <c r="F9" s="33" t="n"/>
      <c r="G9" s="32" t="n"/>
      <c r="H9" s="32" t="n"/>
      <c r="I9" s="33" t="n"/>
      <c r="J9" s="32" t="n"/>
      <c r="K9" s="32" t="n"/>
      <c r="L9" s="33" t="n"/>
      <c r="M9" s="32" t="n"/>
      <c r="N9" s="34" t="n"/>
      <c r="O9" s="35" t="n"/>
      <c r="P9" s="32" t="n"/>
      <c r="Q9" s="32" t="n"/>
      <c r="R9" s="32" t="n"/>
      <c r="S9" s="33" t="n"/>
      <c r="T9" s="32" t="n"/>
      <c r="U9" s="32" t="n"/>
      <c r="V9" s="33" t="n"/>
      <c r="W9" s="32" t="n"/>
      <c r="X9" s="32" t="n"/>
      <c r="Y9" s="33" t="n"/>
      <c r="Z9" s="32" t="n"/>
      <c r="AA9" s="34" t="n"/>
      <c r="AB9" s="35" t="n"/>
      <c r="AC9" s="32" t="n"/>
      <c r="AD9" s="32" t="n"/>
      <c r="AE9" s="32" t="n"/>
      <c r="AF9" s="33" t="n"/>
      <c r="AG9" s="32" t="n"/>
      <c r="AH9" s="32" t="n"/>
      <c r="AI9" s="33" t="n"/>
      <c r="AJ9" s="32" t="n"/>
      <c r="AK9" s="32" t="n"/>
      <c r="AL9" s="33" t="n"/>
      <c r="AM9" s="32" t="n"/>
      <c r="AN9" s="34" t="n"/>
      <c r="AO9" s="35" t="n"/>
    </row>
    <row r="10" ht="14.25" customHeight="1" s="137">
      <c r="B10" s="57" t="inlineStr">
        <is>
          <t>MULTI-PROPERTY EXPENSES OVERVIEW</t>
        </is>
      </c>
      <c r="C10" s="64" t="n">
        <v>0</v>
      </c>
      <c r="D10" s="64" t="n">
        <v>0</v>
      </c>
      <c r="E10" s="64" t="n">
        <v>0</v>
      </c>
      <c r="F10" s="65" t="n">
        <v>0</v>
      </c>
      <c r="G10" s="66" t="n">
        <v>0</v>
      </c>
      <c r="H10" s="66" t="n">
        <v>0</v>
      </c>
      <c r="I10" s="67" t="n">
        <v>0</v>
      </c>
      <c r="J10" s="68" t="n">
        <v>0</v>
      </c>
      <c r="K10" s="68" t="n">
        <v>0</v>
      </c>
      <c r="L10" s="69" t="n">
        <v>0</v>
      </c>
      <c r="M10" s="59" t="n">
        <v>0</v>
      </c>
      <c r="N10" s="63" t="n">
        <v>0</v>
      </c>
      <c r="O10" s="61">
        <f>SUM(C10:N10)</f>
        <v/>
      </c>
      <c r="P10" s="64" t="n">
        <v>0</v>
      </c>
      <c r="Q10" s="64" t="n">
        <v>0</v>
      </c>
      <c r="R10" s="64" t="n">
        <v>0</v>
      </c>
      <c r="S10" s="65" t="n">
        <v>0</v>
      </c>
      <c r="T10" s="66" t="n">
        <v>0</v>
      </c>
      <c r="U10" s="66" t="n">
        <v>0</v>
      </c>
      <c r="V10" s="67" t="n">
        <v>0</v>
      </c>
      <c r="W10" s="68" t="n">
        <v>0</v>
      </c>
      <c r="X10" s="68" t="n">
        <v>0</v>
      </c>
      <c r="Y10" s="69" t="n">
        <v>0</v>
      </c>
      <c r="Z10" s="59" t="n">
        <v>0</v>
      </c>
      <c r="AA10" s="63" t="n">
        <v>0</v>
      </c>
      <c r="AB10" s="61">
        <f>SUM(P10:AA10)</f>
        <v/>
      </c>
      <c r="AC10" s="64" t="n">
        <v>0</v>
      </c>
      <c r="AD10" s="64" t="n">
        <v>0</v>
      </c>
      <c r="AE10" s="64" t="n">
        <v>0</v>
      </c>
      <c r="AF10" s="65" t="n">
        <v>0</v>
      </c>
      <c r="AG10" s="66" t="n">
        <v>0</v>
      </c>
      <c r="AH10" s="66" t="n">
        <v>0</v>
      </c>
      <c r="AI10" s="67" t="n">
        <v>0</v>
      </c>
      <c r="AJ10" s="68" t="n">
        <v>0</v>
      </c>
      <c r="AK10" s="68" t="n">
        <v>0</v>
      </c>
      <c r="AL10" s="69" t="n">
        <v>0</v>
      </c>
      <c r="AM10" s="59" t="n">
        <v>0</v>
      </c>
      <c r="AN10" s="63" t="n">
        <v>0</v>
      </c>
      <c r="AO10" s="61">
        <f>SUM(AC10:AN10)</f>
        <v/>
      </c>
    </row>
    <row r="11" ht="14.25" customHeight="1" s="137">
      <c r="B11" s="57" t="inlineStr">
        <is>
          <t>MARKETING / ADVERTISING</t>
        </is>
      </c>
      <c r="C11" s="64" t="n">
        <v>0</v>
      </c>
      <c r="D11" s="64" t="n">
        <v>0</v>
      </c>
      <c r="E11" s="64" t="n">
        <v>0</v>
      </c>
      <c r="F11" s="65" t="n">
        <v>0</v>
      </c>
      <c r="G11" s="66" t="n">
        <v>0</v>
      </c>
      <c r="H11" s="66" t="n">
        <v>0</v>
      </c>
      <c r="I11" s="67" t="n">
        <v>0</v>
      </c>
      <c r="J11" s="68" t="n">
        <v>0</v>
      </c>
      <c r="K11" s="68" t="n">
        <v>0</v>
      </c>
      <c r="L11" s="69" t="n">
        <v>0</v>
      </c>
      <c r="M11" s="59" t="n">
        <v>0</v>
      </c>
      <c r="N11" s="63" t="n">
        <v>0</v>
      </c>
      <c r="O11" s="61">
        <f>SUM(C11:N11)</f>
        <v/>
      </c>
      <c r="P11" s="64" t="n">
        <v>0</v>
      </c>
      <c r="Q11" s="64" t="n">
        <v>0</v>
      </c>
      <c r="R11" s="64" t="n">
        <v>0</v>
      </c>
      <c r="S11" s="65" t="n">
        <v>0</v>
      </c>
      <c r="T11" s="66" t="n">
        <v>0</v>
      </c>
      <c r="U11" s="66" t="n">
        <v>0</v>
      </c>
      <c r="V11" s="67" t="n">
        <v>0</v>
      </c>
      <c r="W11" s="68" t="n">
        <v>0</v>
      </c>
      <c r="X11" s="68" t="n">
        <v>0</v>
      </c>
      <c r="Y11" s="69" t="n">
        <v>0</v>
      </c>
      <c r="Z11" s="59" t="n">
        <v>0</v>
      </c>
      <c r="AA11" s="63" t="n">
        <v>0</v>
      </c>
      <c r="AB11" s="61">
        <f>SUM(P11:AA11)</f>
        <v/>
      </c>
      <c r="AC11" s="64" t="n">
        <v>0</v>
      </c>
      <c r="AD11" s="64" t="n">
        <v>0</v>
      </c>
      <c r="AE11" s="64" t="n">
        <v>0</v>
      </c>
      <c r="AF11" s="65" t="n">
        <v>0</v>
      </c>
      <c r="AG11" s="66" t="n">
        <v>0</v>
      </c>
      <c r="AH11" s="66" t="n">
        <v>0</v>
      </c>
      <c r="AI11" s="67" t="n">
        <v>0</v>
      </c>
      <c r="AJ11" s="68" t="n">
        <v>0</v>
      </c>
      <c r="AK11" s="68" t="n">
        <v>0</v>
      </c>
      <c r="AL11" s="69" t="n">
        <v>0</v>
      </c>
      <c r="AM11" s="59" t="n">
        <v>0</v>
      </c>
      <c r="AN11" s="63" t="n">
        <v>0</v>
      </c>
      <c r="AO11" s="61">
        <f>SUM(AC11:AN11)</f>
        <v/>
      </c>
    </row>
    <row r="12" ht="14.25" customHeight="1" s="137">
      <c r="B12" s="57" t="inlineStr">
        <is>
          <t>SERVICE FEES</t>
        </is>
      </c>
      <c r="C12" s="64" t="n">
        <v>0</v>
      </c>
      <c r="D12" s="64" t="n">
        <v>0</v>
      </c>
      <c r="E12" s="64" t="n">
        <v>0</v>
      </c>
      <c r="F12" s="65" t="n">
        <v>0</v>
      </c>
      <c r="G12" s="66" t="n">
        <v>0</v>
      </c>
      <c r="H12" s="66" t="n">
        <v>0</v>
      </c>
      <c r="I12" s="67" t="n">
        <v>0</v>
      </c>
      <c r="J12" s="68" t="n">
        <v>0</v>
      </c>
      <c r="K12" s="68" t="n">
        <v>0</v>
      </c>
      <c r="L12" s="69" t="n">
        <v>0</v>
      </c>
      <c r="M12" s="59" t="n">
        <v>0</v>
      </c>
      <c r="N12" s="63" t="n">
        <v>0</v>
      </c>
      <c r="O12" s="61">
        <f>SUM(C12:N12)</f>
        <v/>
      </c>
      <c r="P12" s="64" t="n">
        <v>0</v>
      </c>
      <c r="Q12" s="64" t="n">
        <v>0</v>
      </c>
      <c r="R12" s="64" t="n">
        <v>0</v>
      </c>
      <c r="S12" s="65" t="n">
        <v>0</v>
      </c>
      <c r="T12" s="66" t="n">
        <v>0</v>
      </c>
      <c r="U12" s="66" t="n">
        <v>0</v>
      </c>
      <c r="V12" s="67" t="n">
        <v>0</v>
      </c>
      <c r="W12" s="68" t="n">
        <v>0</v>
      </c>
      <c r="X12" s="68" t="n">
        <v>0</v>
      </c>
      <c r="Y12" s="69" t="n">
        <v>0</v>
      </c>
      <c r="Z12" s="59" t="n">
        <v>0</v>
      </c>
      <c r="AA12" s="63" t="n">
        <v>0</v>
      </c>
      <c r="AB12" s="61">
        <f>SUM(P12:AA12)</f>
        <v/>
      </c>
      <c r="AC12" s="64" t="n">
        <v>0</v>
      </c>
      <c r="AD12" s="64" t="n">
        <v>0</v>
      </c>
      <c r="AE12" s="64" t="n">
        <v>0</v>
      </c>
      <c r="AF12" s="65" t="n">
        <v>0</v>
      </c>
      <c r="AG12" s="66" t="n">
        <v>0</v>
      </c>
      <c r="AH12" s="66" t="n">
        <v>0</v>
      </c>
      <c r="AI12" s="67" t="n">
        <v>0</v>
      </c>
      <c r="AJ12" s="68" t="n">
        <v>0</v>
      </c>
      <c r="AK12" s="68" t="n">
        <v>0</v>
      </c>
      <c r="AL12" s="69" t="n">
        <v>0</v>
      </c>
      <c r="AM12" s="59" t="n">
        <v>0</v>
      </c>
      <c r="AN12" s="63" t="n">
        <v>0</v>
      </c>
      <c r="AO12" s="61">
        <f>SUM(AC12:AN12)</f>
        <v/>
      </c>
    </row>
    <row r="13" ht="14.25" customHeight="1" s="137">
      <c r="B13" s="57" t="inlineStr">
        <is>
          <t>REMITTED TAX</t>
        </is>
      </c>
      <c r="C13" s="64" t="n">
        <v>0</v>
      </c>
      <c r="D13" s="64" t="n">
        <v>0</v>
      </c>
      <c r="E13" s="64" t="n">
        <v>0</v>
      </c>
      <c r="F13" s="65" t="n">
        <v>0</v>
      </c>
      <c r="G13" s="66" t="n">
        <v>0</v>
      </c>
      <c r="H13" s="66" t="n">
        <v>0</v>
      </c>
      <c r="I13" s="67" t="n">
        <v>0</v>
      </c>
      <c r="J13" s="68" t="n">
        <v>0</v>
      </c>
      <c r="K13" s="68" t="n">
        <v>0</v>
      </c>
      <c r="L13" s="69" t="n">
        <v>0</v>
      </c>
      <c r="M13" s="59" t="n">
        <v>0</v>
      </c>
      <c r="N13" s="63" t="n">
        <v>0</v>
      </c>
      <c r="O13" s="61">
        <f>SUM(C13:N13)</f>
        <v/>
      </c>
      <c r="P13" s="64" t="n">
        <v>0</v>
      </c>
      <c r="Q13" s="64" t="n">
        <v>0</v>
      </c>
      <c r="R13" s="64" t="n">
        <v>0</v>
      </c>
      <c r="S13" s="65" t="n">
        <v>0</v>
      </c>
      <c r="T13" s="66" t="n">
        <v>0</v>
      </c>
      <c r="U13" s="66" t="n">
        <v>0</v>
      </c>
      <c r="V13" s="67" t="n">
        <v>0</v>
      </c>
      <c r="W13" s="68" t="n">
        <v>0</v>
      </c>
      <c r="X13" s="68" t="n">
        <v>0</v>
      </c>
      <c r="Y13" s="69" t="n">
        <v>0</v>
      </c>
      <c r="Z13" s="59" t="n">
        <v>0</v>
      </c>
      <c r="AA13" s="63" t="n">
        <v>0</v>
      </c>
      <c r="AB13" s="61">
        <f>SUM(P13:AA13)</f>
        <v/>
      </c>
      <c r="AC13" s="64" t="n">
        <v>0</v>
      </c>
      <c r="AD13" s="64" t="n">
        <v>0</v>
      </c>
      <c r="AE13" s="64" t="n">
        <v>0</v>
      </c>
      <c r="AF13" s="65" t="n">
        <v>0</v>
      </c>
      <c r="AG13" s="66" t="n">
        <v>0</v>
      </c>
      <c r="AH13" s="66" t="n">
        <v>0</v>
      </c>
      <c r="AI13" s="67" t="n">
        <v>0</v>
      </c>
      <c r="AJ13" s="68" t="n">
        <v>0</v>
      </c>
      <c r="AK13" s="68" t="n">
        <v>0</v>
      </c>
      <c r="AL13" s="69" t="n">
        <v>0</v>
      </c>
      <c r="AM13" s="59" t="n">
        <v>0</v>
      </c>
      <c r="AN13" s="63" t="n">
        <v>0</v>
      </c>
      <c r="AO13" s="61">
        <f>SUM(AC13:AN13)</f>
        <v/>
      </c>
    </row>
    <row r="14" ht="14.25" customHeight="1" s="137">
      <c r="B14" s="57" t="inlineStr">
        <is>
          <t>RENTER'S INSURANCE</t>
        </is>
      </c>
      <c r="C14" s="64" t="n">
        <v>26.75</v>
      </c>
      <c r="D14" s="64" t="n">
        <v>26.75</v>
      </c>
      <c r="E14" s="64" t="n">
        <v>26.75</v>
      </c>
      <c r="F14" s="66" t="n">
        <v>26.75</v>
      </c>
      <c r="G14" s="66" t="n">
        <v>26.75</v>
      </c>
      <c r="H14" s="66" t="n">
        <v>26.75</v>
      </c>
      <c r="I14" s="68" t="n">
        <v>26.75</v>
      </c>
      <c r="J14" s="68" t="n">
        <v>26.75</v>
      </c>
      <c r="K14" s="68" t="n">
        <v>26.75</v>
      </c>
      <c r="L14" s="59" t="n">
        <v>26.75</v>
      </c>
      <c r="M14" s="59" t="n">
        <v>26.75</v>
      </c>
      <c r="N14" s="59" t="n">
        <v>26.75</v>
      </c>
      <c r="O14" s="61">
        <f>SUM(C14:N14)</f>
        <v/>
      </c>
      <c r="P14" s="64" t="n">
        <v>35.08</v>
      </c>
      <c r="Q14" s="64" t="n">
        <v>35.08</v>
      </c>
      <c r="R14" s="64" t="n">
        <v>35.08</v>
      </c>
      <c r="S14" s="66" t="n">
        <v>35.08</v>
      </c>
      <c r="T14" s="66" t="n">
        <v>35.08</v>
      </c>
      <c r="U14" s="66" t="n">
        <v>35.08</v>
      </c>
      <c r="V14" s="68" t="n">
        <v>35.08</v>
      </c>
      <c r="W14" s="68" t="n">
        <v>35.08</v>
      </c>
      <c r="X14" s="68" t="n">
        <v>35.08</v>
      </c>
      <c r="Y14" s="59" t="n">
        <v>35.08</v>
      </c>
      <c r="Z14" s="59" t="n">
        <v>35.08</v>
      </c>
      <c r="AA14" s="59" t="n">
        <v>35.08</v>
      </c>
      <c r="AB14" s="61">
        <f>SUM(P14:AA14)</f>
        <v/>
      </c>
      <c r="AC14" s="214" t="n">
        <v>42.84</v>
      </c>
      <c r="AD14" s="214" t="n">
        <v>42.84</v>
      </c>
      <c r="AE14" s="214" t="n">
        <v>42.84</v>
      </c>
      <c r="AF14" s="214" t="n">
        <v>42.84</v>
      </c>
      <c r="AG14" s="214" t="n">
        <v>42.84</v>
      </c>
      <c r="AH14" s="214" t="n">
        <v>42.84</v>
      </c>
      <c r="AI14" s="214" t="n">
        <v>42.84</v>
      </c>
      <c r="AJ14" s="214" t="n">
        <v>42.84</v>
      </c>
      <c r="AK14" s="214" t="n">
        <v>42.84</v>
      </c>
      <c r="AL14" s="214" t="n">
        <v>42.84</v>
      </c>
      <c r="AM14" s="214" t="n">
        <v>42.84</v>
      </c>
      <c r="AN14" s="214" t="n">
        <v>42.84</v>
      </c>
      <c r="AO14" s="61">
        <f>SUM(AC14:AN14)</f>
        <v/>
      </c>
    </row>
    <row r="15" ht="14.25" customHeight="1" s="137">
      <c r="B15" s="57" t="inlineStr">
        <is>
          <t>INTERIOR MAINTENANCE</t>
        </is>
      </c>
      <c r="C15" s="64" t="n">
        <v>0</v>
      </c>
      <c r="D15" s="64" t="n">
        <v>0</v>
      </c>
      <c r="E15" s="64" t="n">
        <v>0</v>
      </c>
      <c r="F15" s="65" t="n">
        <v>0</v>
      </c>
      <c r="G15" s="66" t="n">
        <v>0</v>
      </c>
      <c r="H15" s="66" t="n">
        <v>0</v>
      </c>
      <c r="I15" s="67" t="n">
        <v>0</v>
      </c>
      <c r="J15" s="68" t="n">
        <v>0</v>
      </c>
      <c r="K15" s="68" t="n">
        <v>0</v>
      </c>
      <c r="L15" s="69" t="n">
        <v>0</v>
      </c>
      <c r="M15" s="59" t="n">
        <v>0</v>
      </c>
      <c r="N15" s="63" t="n">
        <v>0</v>
      </c>
      <c r="O15" s="61">
        <f>SUM(C15:N15)</f>
        <v/>
      </c>
      <c r="P15" s="64" t="n">
        <v>250</v>
      </c>
      <c r="Q15" s="64" t="n">
        <v>0</v>
      </c>
      <c r="R15" s="64" t="n">
        <v>0</v>
      </c>
      <c r="S15" s="65" t="n">
        <v>0</v>
      </c>
      <c r="T15" s="66" t="n"/>
      <c r="U15" s="66" t="n">
        <v>0</v>
      </c>
      <c r="V15" s="67" t="n">
        <v>0</v>
      </c>
      <c r="W15" s="68" t="n">
        <v>0</v>
      </c>
      <c r="X15" s="68" t="n">
        <v>0</v>
      </c>
      <c r="Y15" s="69" t="n">
        <v>0</v>
      </c>
      <c r="Z15" s="59" t="n">
        <v>0</v>
      </c>
      <c r="AA15" s="63" t="n">
        <v>0</v>
      </c>
      <c r="AB15" s="61">
        <f>SUM(P15:AA15)</f>
        <v/>
      </c>
      <c r="AC15" s="64" t="n">
        <v>0</v>
      </c>
      <c r="AD15" s="64" t="n">
        <v>0</v>
      </c>
      <c r="AE15" s="64" t="n">
        <v>0</v>
      </c>
      <c r="AF15" s="65" t="n">
        <v>0</v>
      </c>
      <c r="AG15" s="66" t="n">
        <v>0</v>
      </c>
      <c r="AH15" s="66" t="n">
        <v>0</v>
      </c>
      <c r="AI15" s="67" t="n">
        <v>0</v>
      </c>
      <c r="AJ15" s="214" t="n">
        <v>150</v>
      </c>
      <c r="AK15" s="68" t="n">
        <v>0</v>
      </c>
      <c r="AL15" s="69" t="n">
        <v>0</v>
      </c>
      <c r="AM15" s="59" t="n">
        <v>0</v>
      </c>
      <c r="AN15" s="216" t="n">
        <v>11</v>
      </c>
      <c r="AO15" s="61">
        <f>SUM(AC15:AN15)</f>
        <v/>
      </c>
    </row>
    <row r="16" ht="14.25" customHeight="1" s="137">
      <c r="B16" s="57" t="inlineStr">
        <is>
          <t>INTERIOR REPAIR</t>
        </is>
      </c>
      <c r="C16" s="64" t="n">
        <v>0</v>
      </c>
      <c r="D16" s="64" t="n">
        <v>0</v>
      </c>
      <c r="E16" s="64" t="n">
        <v>0</v>
      </c>
      <c r="F16" s="65" t="n">
        <v>0</v>
      </c>
      <c r="G16" s="66" t="n">
        <v>0</v>
      </c>
      <c r="H16" s="66" t="n">
        <v>0</v>
      </c>
      <c r="I16" s="67" t="n">
        <v>0</v>
      </c>
      <c r="J16" s="68" t="n">
        <v>0</v>
      </c>
      <c r="K16" s="68" t="n">
        <v>0</v>
      </c>
      <c r="L16" s="69" t="n">
        <v>0</v>
      </c>
      <c r="M16" s="59" t="n">
        <v>0</v>
      </c>
      <c r="N16" s="63" t="n">
        <v>0</v>
      </c>
      <c r="O16" s="61">
        <f>SUM(C16:N16)</f>
        <v/>
      </c>
      <c r="P16" s="64" t="n">
        <v>0</v>
      </c>
      <c r="Q16" s="64" t="n">
        <v>0</v>
      </c>
      <c r="R16" s="64" t="n">
        <v>0</v>
      </c>
      <c r="S16" s="65" t="n">
        <v>0</v>
      </c>
      <c r="T16" s="66" t="n">
        <v>80</v>
      </c>
      <c r="U16" s="66" t="n">
        <v>220</v>
      </c>
      <c r="V16" s="67" t="n">
        <v>0</v>
      </c>
      <c r="W16" s="68" t="n">
        <v>0</v>
      </c>
      <c r="X16" s="68" t="n">
        <v>0</v>
      </c>
      <c r="Y16" s="69" t="n">
        <v>0</v>
      </c>
      <c r="Z16" s="59" t="n">
        <v>250</v>
      </c>
      <c r="AA16" s="63" t="n">
        <v>0</v>
      </c>
      <c r="AB16" s="61">
        <f>SUM(P16:AA16)</f>
        <v/>
      </c>
      <c r="AC16" s="64" t="n">
        <v>0</v>
      </c>
      <c r="AD16" s="64" t="n">
        <v>0</v>
      </c>
      <c r="AE16" s="64" t="n">
        <v>0</v>
      </c>
      <c r="AF16" s="65" t="n">
        <v>0</v>
      </c>
      <c r="AG16" s="66" t="n">
        <v>0</v>
      </c>
      <c r="AH16" s="66" t="n">
        <v>0</v>
      </c>
      <c r="AI16" s="67" t="n">
        <v>0</v>
      </c>
      <c r="AJ16" s="68" t="n">
        <v>0</v>
      </c>
      <c r="AK16" s="68" t="n">
        <v>0</v>
      </c>
      <c r="AL16" s="69" t="n">
        <v>0</v>
      </c>
      <c r="AM16" s="59" t="n">
        <v>0</v>
      </c>
      <c r="AN16" s="216" t="n">
        <v>675</v>
      </c>
      <c r="AO16" s="61">
        <f>SUM(AC16:AN16)</f>
        <v/>
      </c>
    </row>
    <row r="17" ht="14.25" customHeight="1" s="137">
      <c r="B17" s="57" t="inlineStr">
        <is>
          <t> </t>
        </is>
      </c>
      <c r="C17" s="64" t="n">
        <v>0</v>
      </c>
      <c r="D17" s="64" t="n">
        <v>0</v>
      </c>
      <c r="E17" s="64" t="n">
        <v>0</v>
      </c>
      <c r="F17" s="65" t="n">
        <v>0</v>
      </c>
      <c r="G17" s="66" t="n">
        <v>0</v>
      </c>
      <c r="H17" s="66" t="n">
        <v>0</v>
      </c>
      <c r="I17" s="67" t="n">
        <v>0</v>
      </c>
      <c r="J17" s="68" t="n">
        <v>0</v>
      </c>
      <c r="K17" s="68" t="n">
        <v>0</v>
      </c>
      <c r="L17" s="69" t="n">
        <v>0</v>
      </c>
      <c r="M17" s="59" t="n">
        <v>0</v>
      </c>
      <c r="N17" s="63" t="n">
        <v>0</v>
      </c>
      <c r="O17" s="61">
        <f>SUM(C17:N17)</f>
        <v/>
      </c>
      <c r="P17" s="64" t="n">
        <v>0</v>
      </c>
      <c r="Q17" s="64" t="n">
        <v>0</v>
      </c>
      <c r="R17" s="64" t="n">
        <v>0</v>
      </c>
      <c r="S17" s="65" t="n">
        <v>0</v>
      </c>
      <c r="T17" s="66" t="n">
        <v>0</v>
      </c>
      <c r="U17" s="66" t="n">
        <v>0</v>
      </c>
      <c r="V17" s="67" t="n">
        <v>0</v>
      </c>
      <c r="W17" s="68" t="n">
        <v>0</v>
      </c>
      <c r="X17" s="68" t="n">
        <v>0</v>
      </c>
      <c r="Y17" s="69" t="n">
        <v>0</v>
      </c>
      <c r="Z17" s="59" t="n">
        <v>0</v>
      </c>
      <c r="AA17" s="63" t="n">
        <v>0</v>
      </c>
      <c r="AB17" s="61">
        <f>SUM(P17:AA17)</f>
        <v/>
      </c>
      <c r="AC17" s="64" t="n">
        <v>0</v>
      </c>
      <c r="AD17" s="64" t="n">
        <v>0</v>
      </c>
      <c r="AE17" s="64" t="n">
        <v>0</v>
      </c>
      <c r="AF17" s="65" t="n">
        <v>0</v>
      </c>
      <c r="AG17" s="66" t="n">
        <v>0</v>
      </c>
      <c r="AH17" s="66" t="n">
        <v>0</v>
      </c>
      <c r="AI17" s="67" t="n">
        <v>0</v>
      </c>
      <c r="AJ17" s="68" t="n">
        <v>0</v>
      </c>
      <c r="AK17" s="68" t="n">
        <v>0</v>
      </c>
      <c r="AL17" s="69" t="n">
        <v>0</v>
      </c>
      <c r="AM17" s="59" t="n">
        <v>0</v>
      </c>
      <c r="AN17" s="63" t="n">
        <v>0</v>
      </c>
      <c r="AO17" s="61">
        <f>SUM(AC17:AN17)</f>
        <v/>
      </c>
    </row>
    <row r="18" ht="14.25" customHeight="1" s="137">
      <c r="B18" s="57" t="inlineStr">
        <is>
          <t> </t>
        </is>
      </c>
      <c r="C18" s="64" t="n">
        <v>0</v>
      </c>
      <c r="D18" s="64" t="n">
        <v>0</v>
      </c>
      <c r="E18" s="64" t="n">
        <v>0</v>
      </c>
      <c r="F18" s="65" t="n">
        <v>0</v>
      </c>
      <c r="G18" s="66" t="n">
        <v>0</v>
      </c>
      <c r="H18" s="66" t="n">
        <v>0</v>
      </c>
      <c r="I18" s="67" t="n">
        <v>0</v>
      </c>
      <c r="J18" s="68" t="n">
        <v>0</v>
      </c>
      <c r="K18" s="68" t="n">
        <v>0</v>
      </c>
      <c r="L18" s="69" t="n">
        <v>0</v>
      </c>
      <c r="M18" s="59" t="n">
        <v>0</v>
      </c>
      <c r="N18" s="63" t="n">
        <v>0</v>
      </c>
      <c r="O18" s="61">
        <f>SUM(C18:N18)</f>
        <v/>
      </c>
      <c r="P18" s="64" t="n">
        <v>0</v>
      </c>
      <c r="Q18" s="64" t="n">
        <v>0</v>
      </c>
      <c r="R18" s="64" t="n">
        <v>0</v>
      </c>
      <c r="S18" s="65" t="n">
        <v>0</v>
      </c>
      <c r="T18" s="66" t="n">
        <v>0</v>
      </c>
      <c r="U18" s="66" t="n">
        <v>0</v>
      </c>
      <c r="V18" s="67" t="n">
        <v>0</v>
      </c>
      <c r="W18" s="68" t="n">
        <v>0</v>
      </c>
      <c r="X18" s="68" t="n">
        <v>0</v>
      </c>
      <c r="Y18" s="69" t="n">
        <v>0</v>
      </c>
      <c r="Z18" s="59" t="n">
        <v>0</v>
      </c>
      <c r="AA18" s="63" t="n">
        <v>0</v>
      </c>
      <c r="AB18" s="61">
        <f>SUM(P18:AA18)</f>
        <v/>
      </c>
      <c r="AC18" s="64" t="n">
        <v>0</v>
      </c>
      <c r="AD18" s="64" t="n">
        <v>0</v>
      </c>
      <c r="AE18" s="64" t="n">
        <v>0</v>
      </c>
      <c r="AF18" s="65" t="n">
        <v>0</v>
      </c>
      <c r="AG18" s="66" t="n">
        <v>0</v>
      </c>
      <c r="AH18" s="66" t="n">
        <v>0</v>
      </c>
      <c r="AI18" s="67" t="n">
        <v>0</v>
      </c>
      <c r="AJ18" s="68" t="n">
        <v>0</v>
      </c>
      <c r="AK18" s="68" t="n">
        <v>0</v>
      </c>
      <c r="AL18" s="69" t="n">
        <v>0</v>
      </c>
      <c r="AM18" s="59" t="n">
        <v>0</v>
      </c>
      <c r="AN18" s="63" t="n">
        <v>0</v>
      </c>
      <c r="AO18" s="61">
        <f>SUM(AC18:AN18)</f>
        <v/>
      </c>
    </row>
    <row r="19" ht="14.25" customHeight="1" s="137">
      <c r="B19" s="57" t="inlineStr">
        <is>
          <t> </t>
        </is>
      </c>
      <c r="C19" s="64" t="n">
        <v>0</v>
      </c>
      <c r="D19" s="64" t="n">
        <v>0</v>
      </c>
      <c r="E19" s="64" t="n">
        <v>0</v>
      </c>
      <c r="F19" s="65" t="n">
        <v>0</v>
      </c>
      <c r="G19" s="66" t="n">
        <v>0</v>
      </c>
      <c r="H19" s="66" t="n">
        <v>0</v>
      </c>
      <c r="I19" s="67" t="n">
        <v>0</v>
      </c>
      <c r="J19" s="68" t="n">
        <v>0</v>
      </c>
      <c r="K19" s="68" t="n">
        <v>0</v>
      </c>
      <c r="L19" s="69" t="n">
        <v>0</v>
      </c>
      <c r="M19" s="59" t="n">
        <v>0</v>
      </c>
      <c r="N19" s="63" t="n">
        <v>0</v>
      </c>
      <c r="O19" s="61">
        <f>SUM(C19:N19)</f>
        <v/>
      </c>
      <c r="P19" s="64" t="n">
        <v>0</v>
      </c>
      <c r="Q19" s="64" t="n">
        <v>0</v>
      </c>
      <c r="R19" s="64" t="n">
        <v>0</v>
      </c>
      <c r="S19" s="65" t="n">
        <v>0</v>
      </c>
      <c r="T19" s="66" t="n">
        <v>0</v>
      </c>
      <c r="U19" s="66" t="n">
        <v>0</v>
      </c>
      <c r="V19" s="67" t="n">
        <v>0</v>
      </c>
      <c r="W19" s="68" t="n">
        <v>0</v>
      </c>
      <c r="X19" s="68" t="n">
        <v>0</v>
      </c>
      <c r="Y19" s="69" t="n">
        <v>0</v>
      </c>
      <c r="Z19" s="59" t="n">
        <v>0</v>
      </c>
      <c r="AA19" s="63" t="n">
        <v>0</v>
      </c>
      <c r="AB19" s="61">
        <f>SUM(P19:AA19)</f>
        <v/>
      </c>
      <c r="AC19" s="64" t="n">
        <v>0</v>
      </c>
      <c r="AD19" s="64" t="n">
        <v>0</v>
      </c>
      <c r="AE19" s="64" t="n">
        <v>0</v>
      </c>
      <c r="AF19" s="65" t="n">
        <v>0</v>
      </c>
      <c r="AG19" s="66" t="n">
        <v>0</v>
      </c>
      <c r="AH19" s="66" t="n">
        <v>0</v>
      </c>
      <c r="AI19" s="67" t="n">
        <v>0</v>
      </c>
      <c r="AJ19" s="68" t="n">
        <v>0</v>
      </c>
      <c r="AK19" s="68" t="n">
        <v>0</v>
      </c>
      <c r="AL19" s="69" t="n">
        <v>0</v>
      </c>
      <c r="AM19" s="59" t="n">
        <v>0</v>
      </c>
      <c r="AN19" s="63" t="n">
        <v>0</v>
      </c>
      <c r="AO19" s="61">
        <f>SUM(AC19:AN19)</f>
        <v/>
      </c>
    </row>
    <row r="20" ht="14.25" customHeight="1" s="137">
      <c r="B20" s="57" t="inlineStr">
        <is>
          <t> </t>
        </is>
      </c>
      <c r="C20" s="64" t="n">
        <v>0</v>
      </c>
      <c r="D20" s="64" t="n">
        <v>0</v>
      </c>
      <c r="E20" s="64" t="n">
        <v>0</v>
      </c>
      <c r="F20" s="65" t="n">
        <v>0</v>
      </c>
      <c r="G20" s="66" t="n">
        <v>0</v>
      </c>
      <c r="H20" s="66" t="n">
        <v>0</v>
      </c>
      <c r="I20" s="67" t="n">
        <v>0</v>
      </c>
      <c r="J20" s="68" t="n">
        <v>0</v>
      </c>
      <c r="K20" s="68" t="n">
        <v>0</v>
      </c>
      <c r="L20" s="69" t="n">
        <v>0</v>
      </c>
      <c r="M20" s="59" t="n">
        <v>0</v>
      </c>
      <c r="N20" s="63" t="n">
        <v>0</v>
      </c>
      <c r="O20" s="61">
        <f>SUM(C20:N20)</f>
        <v/>
      </c>
      <c r="P20" s="64" t="n">
        <v>0</v>
      </c>
      <c r="Q20" s="64" t="n">
        <v>0</v>
      </c>
      <c r="R20" s="64" t="n">
        <v>0</v>
      </c>
      <c r="S20" s="65" t="n">
        <v>0</v>
      </c>
      <c r="T20" s="66" t="n">
        <v>0</v>
      </c>
      <c r="U20" s="66" t="n">
        <v>0</v>
      </c>
      <c r="V20" s="67" t="n">
        <v>0</v>
      </c>
      <c r="W20" s="68" t="n">
        <v>0</v>
      </c>
      <c r="X20" s="68" t="n">
        <v>0</v>
      </c>
      <c r="Y20" s="69" t="n">
        <v>0</v>
      </c>
      <c r="Z20" s="59" t="n">
        <v>0</v>
      </c>
      <c r="AA20" s="63" t="n">
        <v>0</v>
      </c>
      <c r="AB20" s="61">
        <f>SUM(P20:AA20)</f>
        <v/>
      </c>
      <c r="AC20" s="64" t="n">
        <v>0</v>
      </c>
      <c r="AD20" s="64" t="n">
        <v>0</v>
      </c>
      <c r="AE20" s="64" t="n">
        <v>0</v>
      </c>
      <c r="AF20" s="65" t="n">
        <v>0</v>
      </c>
      <c r="AG20" s="66" t="n">
        <v>0</v>
      </c>
      <c r="AH20" s="66" t="n">
        <v>0</v>
      </c>
      <c r="AI20" s="67" t="n">
        <v>0</v>
      </c>
      <c r="AJ20" s="68" t="n">
        <v>0</v>
      </c>
      <c r="AK20" s="68" t="n">
        <v>0</v>
      </c>
      <c r="AL20" s="69" t="n">
        <v>0</v>
      </c>
      <c r="AM20" s="59" t="n">
        <v>0</v>
      </c>
      <c r="AN20" s="63" t="n">
        <v>0</v>
      </c>
      <c r="AO20" s="61">
        <f>SUM(AC20:AN20)</f>
        <v/>
      </c>
    </row>
    <row r="21" ht="14.25" customHeight="1" s="137">
      <c r="B21" s="57" t="inlineStr">
        <is>
          <t> </t>
        </is>
      </c>
      <c r="C21" s="64" t="n">
        <v>0</v>
      </c>
      <c r="D21" s="64" t="n">
        <v>0</v>
      </c>
      <c r="E21" s="64" t="n">
        <v>0</v>
      </c>
      <c r="F21" s="65" t="n">
        <v>0</v>
      </c>
      <c r="G21" s="66" t="n">
        <v>0</v>
      </c>
      <c r="H21" s="66" t="n">
        <v>0</v>
      </c>
      <c r="I21" s="67" t="n">
        <v>0</v>
      </c>
      <c r="J21" s="68" t="n">
        <v>0</v>
      </c>
      <c r="K21" s="68" t="n">
        <v>0</v>
      </c>
      <c r="L21" s="69" t="n">
        <v>0</v>
      </c>
      <c r="M21" s="59" t="n">
        <v>0</v>
      </c>
      <c r="N21" s="63" t="n">
        <v>0</v>
      </c>
      <c r="O21" s="61">
        <f>SUM(C21:N21)</f>
        <v/>
      </c>
      <c r="P21" s="64" t="n">
        <v>0</v>
      </c>
      <c r="Q21" s="64" t="n">
        <v>0</v>
      </c>
      <c r="R21" s="64" t="n">
        <v>0</v>
      </c>
      <c r="S21" s="65" t="n">
        <v>0</v>
      </c>
      <c r="T21" s="66" t="n">
        <v>0</v>
      </c>
      <c r="U21" s="66" t="n">
        <v>0</v>
      </c>
      <c r="V21" s="67" t="n">
        <v>0</v>
      </c>
      <c r="W21" s="68" t="n">
        <v>0</v>
      </c>
      <c r="X21" s="68" t="n">
        <v>0</v>
      </c>
      <c r="Y21" s="69" t="n">
        <v>0</v>
      </c>
      <c r="Z21" s="59" t="n">
        <v>0</v>
      </c>
      <c r="AA21" s="63" t="n">
        <v>0</v>
      </c>
      <c r="AB21" s="61">
        <f>SUM(P21:AA21)</f>
        <v/>
      </c>
      <c r="AC21" s="64" t="n">
        <v>0</v>
      </c>
      <c r="AD21" s="64" t="n">
        <v>0</v>
      </c>
      <c r="AE21" s="64" t="n">
        <v>0</v>
      </c>
      <c r="AF21" s="65" t="n">
        <v>0</v>
      </c>
      <c r="AG21" s="66" t="n">
        <v>0</v>
      </c>
      <c r="AH21" s="66" t="n">
        <v>0</v>
      </c>
      <c r="AI21" s="67" t="n">
        <v>0</v>
      </c>
      <c r="AJ21" s="68" t="n">
        <v>0</v>
      </c>
      <c r="AK21" s="68" t="n">
        <v>0</v>
      </c>
      <c r="AL21" s="69" t="n">
        <v>0</v>
      </c>
      <c r="AM21" s="59" t="n">
        <v>0</v>
      </c>
      <c r="AN21" s="63" t="n">
        <v>0</v>
      </c>
      <c r="AO21" s="61">
        <f>SUM(AC21:AN21)</f>
        <v/>
      </c>
    </row>
    <row r="22" ht="14.25" customHeight="1" s="137">
      <c r="B22" s="57" t="inlineStr">
        <is>
          <t> </t>
        </is>
      </c>
      <c r="C22" s="64" t="n">
        <v>0</v>
      </c>
      <c r="D22" s="64" t="n">
        <v>0</v>
      </c>
      <c r="E22" s="64" t="n">
        <v>0</v>
      </c>
      <c r="F22" s="65" t="n">
        <v>0</v>
      </c>
      <c r="G22" s="66" t="n">
        <v>0</v>
      </c>
      <c r="H22" s="66" t="n">
        <v>0</v>
      </c>
      <c r="I22" s="67" t="n">
        <v>0</v>
      </c>
      <c r="J22" s="68" t="n">
        <v>0</v>
      </c>
      <c r="K22" s="68" t="n">
        <v>0</v>
      </c>
      <c r="L22" s="69" t="n">
        <v>0</v>
      </c>
      <c r="M22" s="59" t="n">
        <v>0</v>
      </c>
      <c r="N22" s="63" t="n">
        <v>0</v>
      </c>
      <c r="O22" s="61">
        <f>SUM(C22:N22)</f>
        <v/>
      </c>
      <c r="P22" s="64" t="n">
        <v>0</v>
      </c>
      <c r="Q22" s="64" t="n">
        <v>0</v>
      </c>
      <c r="R22" s="64" t="n">
        <v>0</v>
      </c>
      <c r="S22" s="65" t="n">
        <v>0</v>
      </c>
      <c r="T22" s="66" t="n">
        <v>0</v>
      </c>
      <c r="U22" s="66" t="n">
        <v>0</v>
      </c>
      <c r="V22" s="67" t="n">
        <v>0</v>
      </c>
      <c r="W22" s="68" t="n">
        <v>0</v>
      </c>
      <c r="X22" s="68" t="n">
        <v>0</v>
      </c>
      <c r="Y22" s="69" t="n">
        <v>0</v>
      </c>
      <c r="Z22" s="59" t="n">
        <v>0</v>
      </c>
      <c r="AA22" s="63" t="n">
        <v>0</v>
      </c>
      <c r="AB22" s="61">
        <f>SUM(P22:AA22)</f>
        <v/>
      </c>
      <c r="AC22" s="64" t="n">
        <v>0</v>
      </c>
      <c r="AD22" s="64" t="n">
        <v>0</v>
      </c>
      <c r="AE22" s="64" t="n">
        <v>0</v>
      </c>
      <c r="AF22" s="65" t="n">
        <v>0</v>
      </c>
      <c r="AG22" s="66" t="n">
        <v>0</v>
      </c>
      <c r="AH22" s="66" t="n">
        <v>0</v>
      </c>
      <c r="AI22" s="67" t="n">
        <v>0</v>
      </c>
      <c r="AJ22" s="68" t="n">
        <v>0</v>
      </c>
      <c r="AK22" s="68" t="n">
        <v>0</v>
      </c>
      <c r="AL22" s="69" t="n">
        <v>0</v>
      </c>
      <c r="AM22" s="59" t="n">
        <v>0</v>
      </c>
      <c r="AN22" s="63" t="n">
        <v>0</v>
      </c>
      <c r="AO22" s="61">
        <f>SUM(AC22:AN22)</f>
        <v/>
      </c>
    </row>
    <row r="23" ht="14.25" customHeight="1" s="137">
      <c r="B23" s="57" t="inlineStr">
        <is>
          <t> </t>
        </is>
      </c>
      <c r="C23" s="64" t="n">
        <v>0</v>
      </c>
      <c r="D23" s="64" t="n">
        <v>0</v>
      </c>
      <c r="E23" s="64" t="n">
        <v>0</v>
      </c>
      <c r="F23" s="65" t="n">
        <v>0</v>
      </c>
      <c r="G23" s="66" t="n">
        <v>0</v>
      </c>
      <c r="H23" s="66" t="n">
        <v>0</v>
      </c>
      <c r="I23" s="67" t="n">
        <v>0</v>
      </c>
      <c r="J23" s="68" t="n">
        <v>0</v>
      </c>
      <c r="K23" s="68" t="n">
        <v>0</v>
      </c>
      <c r="L23" s="69" t="n">
        <v>0</v>
      </c>
      <c r="M23" s="59" t="n">
        <v>0</v>
      </c>
      <c r="N23" s="63" t="n">
        <v>0</v>
      </c>
      <c r="O23" s="61">
        <f>SUM(C23:N23)</f>
        <v/>
      </c>
      <c r="P23" s="64" t="n">
        <v>0</v>
      </c>
      <c r="Q23" s="64" t="n">
        <v>0</v>
      </c>
      <c r="R23" s="64" t="n">
        <v>0</v>
      </c>
      <c r="S23" s="65" t="n">
        <v>0</v>
      </c>
      <c r="T23" s="66" t="n">
        <v>0</v>
      </c>
      <c r="U23" s="66" t="n">
        <v>0</v>
      </c>
      <c r="V23" s="67" t="n">
        <v>0</v>
      </c>
      <c r="W23" s="68" t="n">
        <v>0</v>
      </c>
      <c r="X23" s="68" t="n">
        <v>0</v>
      </c>
      <c r="Y23" s="69" t="n">
        <v>0</v>
      </c>
      <c r="Z23" s="59" t="n">
        <v>0</v>
      </c>
      <c r="AA23" s="63" t="n">
        <v>0</v>
      </c>
      <c r="AB23" s="61">
        <f>SUM(P23:AA23)</f>
        <v/>
      </c>
      <c r="AC23" s="64" t="n">
        <v>0</v>
      </c>
      <c r="AD23" s="64" t="n">
        <v>0</v>
      </c>
      <c r="AE23" s="64" t="n">
        <v>0</v>
      </c>
      <c r="AF23" s="65" t="n">
        <v>0</v>
      </c>
      <c r="AG23" s="66" t="n">
        <v>0</v>
      </c>
      <c r="AH23" s="66" t="n">
        <v>0</v>
      </c>
      <c r="AI23" s="67" t="n">
        <v>0</v>
      </c>
      <c r="AJ23" s="68" t="n">
        <v>0</v>
      </c>
      <c r="AK23" s="68" t="n">
        <v>0</v>
      </c>
      <c r="AL23" s="69" t="n">
        <v>0</v>
      </c>
      <c r="AM23" s="59" t="n">
        <v>0</v>
      </c>
      <c r="AN23" s="63" t="n">
        <v>0</v>
      </c>
      <c r="AO23" s="61">
        <f>SUM(AC23:AN23)</f>
        <v/>
      </c>
    </row>
    <row r="24" ht="14.25" customHeight="1" s="137">
      <c r="B24" s="57" t="inlineStr">
        <is>
          <t>  </t>
        </is>
      </c>
      <c r="C24" s="64" t="n">
        <v>0</v>
      </c>
      <c r="D24" s="64" t="n">
        <v>0</v>
      </c>
      <c r="E24" s="64" t="n">
        <v>0</v>
      </c>
      <c r="F24" s="65" t="n">
        <v>0</v>
      </c>
      <c r="G24" s="66" t="n">
        <v>0</v>
      </c>
      <c r="H24" s="66" t="n">
        <v>0</v>
      </c>
      <c r="I24" s="67" t="n">
        <v>0</v>
      </c>
      <c r="J24" s="68" t="n">
        <v>0</v>
      </c>
      <c r="K24" s="68" t="n">
        <v>0</v>
      </c>
      <c r="L24" s="69" t="n">
        <v>0</v>
      </c>
      <c r="M24" s="59" t="n">
        <v>0</v>
      </c>
      <c r="N24" s="63" t="n">
        <v>0</v>
      </c>
      <c r="O24" s="61">
        <f>SUM(C24:N24)</f>
        <v/>
      </c>
      <c r="P24" s="64" t="n">
        <v>0</v>
      </c>
      <c r="Q24" s="64" t="n">
        <v>0</v>
      </c>
      <c r="R24" s="64" t="n">
        <v>0</v>
      </c>
      <c r="S24" s="65" t="n">
        <v>0</v>
      </c>
      <c r="T24" s="66" t="n">
        <v>0</v>
      </c>
      <c r="U24" s="66" t="n">
        <v>0</v>
      </c>
      <c r="V24" s="67" t="n">
        <v>0</v>
      </c>
      <c r="W24" s="68" t="n">
        <v>0</v>
      </c>
      <c r="X24" s="68" t="n">
        <v>0</v>
      </c>
      <c r="Y24" s="69" t="n">
        <v>0</v>
      </c>
      <c r="Z24" s="59" t="n">
        <v>0</v>
      </c>
      <c r="AA24" s="63" t="n">
        <v>0</v>
      </c>
      <c r="AB24" s="61">
        <f>SUM(P24:AA24)</f>
        <v/>
      </c>
      <c r="AC24" s="64" t="n">
        <v>0</v>
      </c>
      <c r="AD24" s="64" t="n">
        <v>0</v>
      </c>
      <c r="AE24" s="64" t="n">
        <v>0</v>
      </c>
      <c r="AF24" s="65" t="n">
        <v>0</v>
      </c>
      <c r="AG24" s="66" t="n">
        <v>0</v>
      </c>
      <c r="AH24" s="66" t="n">
        <v>0</v>
      </c>
      <c r="AI24" s="67" t="n">
        <v>0</v>
      </c>
      <c r="AJ24" s="68" t="n">
        <v>0</v>
      </c>
      <c r="AK24" s="68" t="n">
        <v>0</v>
      </c>
      <c r="AL24" s="69" t="n">
        <v>0</v>
      </c>
      <c r="AM24" s="59" t="n">
        <v>0</v>
      </c>
      <c r="AN24" s="63" t="n">
        <v>0</v>
      </c>
      <c r="AO24" s="61">
        <f>SUM(AC24:AN24)</f>
        <v/>
      </c>
    </row>
    <row r="25" ht="14.25" customHeight="1" s="137">
      <c r="B25" s="57" t="inlineStr">
        <is>
          <t> </t>
        </is>
      </c>
      <c r="C25" s="64" t="n">
        <v>0</v>
      </c>
      <c r="D25" s="64" t="n">
        <v>0</v>
      </c>
      <c r="E25" s="64" t="n">
        <v>0</v>
      </c>
      <c r="F25" s="65" t="n">
        <v>0</v>
      </c>
      <c r="G25" s="66" t="n">
        <v>0</v>
      </c>
      <c r="H25" s="66" t="n">
        <v>0</v>
      </c>
      <c r="I25" s="67" t="n">
        <v>0</v>
      </c>
      <c r="J25" s="68" t="n">
        <v>0</v>
      </c>
      <c r="K25" s="68" t="n">
        <v>0</v>
      </c>
      <c r="L25" s="69" t="n">
        <v>0</v>
      </c>
      <c r="M25" s="59" t="n">
        <v>0</v>
      </c>
      <c r="N25" s="63" t="n">
        <v>0</v>
      </c>
      <c r="O25" s="61">
        <f>SUM(C25:N25)</f>
        <v/>
      </c>
      <c r="P25" s="64" t="n">
        <v>0</v>
      </c>
      <c r="Q25" s="64" t="n">
        <v>0</v>
      </c>
      <c r="R25" s="64" t="n">
        <v>0</v>
      </c>
      <c r="S25" s="65" t="n">
        <v>0</v>
      </c>
      <c r="T25" s="66" t="n">
        <v>0</v>
      </c>
      <c r="U25" s="66" t="n">
        <v>0</v>
      </c>
      <c r="V25" s="67" t="n">
        <v>0</v>
      </c>
      <c r="W25" s="68" t="n">
        <v>0</v>
      </c>
      <c r="X25" s="68" t="n">
        <v>0</v>
      </c>
      <c r="Y25" s="69" t="n">
        <v>0</v>
      </c>
      <c r="Z25" s="59" t="n">
        <v>0</v>
      </c>
      <c r="AA25" s="63" t="n">
        <v>0</v>
      </c>
      <c r="AB25" s="61">
        <f>SUM(P25:AA25)</f>
        <v/>
      </c>
      <c r="AC25" s="64" t="n">
        <v>0</v>
      </c>
      <c r="AD25" s="64" t="n">
        <v>0</v>
      </c>
      <c r="AE25" s="64" t="n">
        <v>0</v>
      </c>
      <c r="AF25" s="65" t="n">
        <v>0</v>
      </c>
      <c r="AG25" s="66" t="n">
        <v>0</v>
      </c>
      <c r="AH25" s="66" t="n">
        <v>0</v>
      </c>
      <c r="AI25" s="67" t="n">
        <v>0</v>
      </c>
      <c r="AJ25" s="68" t="n">
        <v>0</v>
      </c>
      <c r="AK25" s="68" t="n">
        <v>0</v>
      </c>
      <c r="AL25" s="69" t="n">
        <v>0</v>
      </c>
      <c r="AM25" s="59" t="n">
        <v>0</v>
      </c>
      <c r="AN25" s="63" t="n">
        <v>0</v>
      </c>
      <c r="AO25" s="61">
        <f>SUM(AC25:AN25)</f>
        <v/>
      </c>
    </row>
    <row r="26" ht="14.25" customHeight="1" s="137">
      <c r="B26" s="57" t="inlineStr">
        <is>
          <t> </t>
        </is>
      </c>
      <c r="C26" s="64" t="n">
        <v>0</v>
      </c>
      <c r="D26" s="64" t="n">
        <v>0</v>
      </c>
      <c r="E26" s="64" t="n">
        <v>0</v>
      </c>
      <c r="F26" s="65" t="n">
        <v>0</v>
      </c>
      <c r="G26" s="66" t="n">
        <v>0</v>
      </c>
      <c r="H26" s="66" t="n">
        <v>0</v>
      </c>
      <c r="I26" s="67" t="n">
        <v>0</v>
      </c>
      <c r="J26" s="68" t="n">
        <v>0</v>
      </c>
      <c r="K26" s="68" t="n">
        <v>0</v>
      </c>
      <c r="L26" s="69" t="n">
        <v>13</v>
      </c>
      <c r="M26" s="59" t="n">
        <v>0</v>
      </c>
      <c r="N26" s="63" t="n">
        <v>0</v>
      </c>
      <c r="O26" s="61">
        <f>SUM(C26:N26)</f>
        <v/>
      </c>
      <c r="P26" s="64" t="n">
        <v>0</v>
      </c>
      <c r="Q26" s="64" t="n">
        <v>0</v>
      </c>
      <c r="R26" s="64" t="n">
        <v>0</v>
      </c>
      <c r="S26" s="65" t="n">
        <v>0</v>
      </c>
      <c r="T26" s="66" t="n">
        <v>0</v>
      </c>
      <c r="U26" s="66" t="n">
        <v>0</v>
      </c>
      <c r="V26" s="67" t="n">
        <v>0</v>
      </c>
      <c r="W26" s="68" t="n">
        <v>0</v>
      </c>
      <c r="X26" s="68" t="n">
        <v>0</v>
      </c>
      <c r="Y26" s="69" t="n"/>
      <c r="Z26" s="59" t="n">
        <v>0</v>
      </c>
      <c r="AA26" s="63" t="n">
        <v>0</v>
      </c>
      <c r="AB26" s="61">
        <f>SUM(P26:AA26)</f>
        <v/>
      </c>
      <c r="AC26" s="64" t="n">
        <v>0</v>
      </c>
      <c r="AD26" s="64" t="n">
        <v>0</v>
      </c>
      <c r="AE26" s="64" t="n">
        <v>0</v>
      </c>
      <c r="AF26" s="65" t="n">
        <v>0</v>
      </c>
      <c r="AG26" s="66" t="n">
        <v>0</v>
      </c>
      <c r="AH26" s="66" t="n">
        <v>0</v>
      </c>
      <c r="AI26" s="67" t="n">
        <v>0</v>
      </c>
      <c r="AJ26" s="68" t="n">
        <v>0</v>
      </c>
      <c r="AK26" s="68" t="n">
        <v>0</v>
      </c>
      <c r="AL26" s="69" t="n"/>
      <c r="AM26" s="59" t="n">
        <v>0</v>
      </c>
      <c r="AN26" s="63" t="n">
        <v>0</v>
      </c>
      <c r="AO26" s="61">
        <f>SUM(AC26:AN26)</f>
        <v/>
      </c>
    </row>
    <row r="27" ht="14.25" customHeight="1" s="137">
      <c r="B27" s="57" t="inlineStr">
        <is>
          <t>  </t>
        </is>
      </c>
      <c r="C27" s="64" t="n">
        <v>0</v>
      </c>
      <c r="D27" s="64" t="n">
        <v>0</v>
      </c>
      <c r="E27" s="64" t="n">
        <v>0</v>
      </c>
      <c r="F27" s="65" t="n">
        <v>0</v>
      </c>
      <c r="G27" s="66" t="n">
        <v>0</v>
      </c>
      <c r="H27" s="66" t="n">
        <v>0</v>
      </c>
      <c r="I27" s="67" t="n">
        <v>0</v>
      </c>
      <c r="J27" s="68" t="n">
        <v>0</v>
      </c>
      <c r="K27" s="68" t="n">
        <v>0</v>
      </c>
      <c r="L27" s="69" t="n">
        <v>0</v>
      </c>
      <c r="M27" s="59" t="n">
        <v>0</v>
      </c>
      <c r="N27" s="63" t="n">
        <v>0</v>
      </c>
      <c r="O27" s="61">
        <f>SUM(C27:N27)</f>
        <v/>
      </c>
      <c r="P27" s="64" t="n">
        <v>0</v>
      </c>
      <c r="Q27" s="64" t="n">
        <v>0</v>
      </c>
      <c r="R27" s="64" t="n">
        <v>0</v>
      </c>
      <c r="S27" s="65" t="n">
        <v>0</v>
      </c>
      <c r="T27" s="66" t="n">
        <v>0</v>
      </c>
      <c r="U27" s="66" t="n">
        <v>0</v>
      </c>
      <c r="V27" s="67" t="n">
        <v>0</v>
      </c>
      <c r="W27" s="68" t="n">
        <v>0</v>
      </c>
      <c r="X27" s="68" t="n">
        <v>0</v>
      </c>
      <c r="Y27" s="69" t="n">
        <v>0</v>
      </c>
      <c r="Z27" s="59" t="n">
        <v>0</v>
      </c>
      <c r="AA27" s="63" t="n">
        <v>0</v>
      </c>
      <c r="AB27" s="61">
        <f>SUM(P27:AA27)</f>
        <v/>
      </c>
      <c r="AC27" s="64" t="n">
        <v>0</v>
      </c>
      <c r="AD27" s="64" t="n">
        <v>0</v>
      </c>
      <c r="AE27" s="64" t="n">
        <v>0</v>
      </c>
      <c r="AF27" s="65" t="n">
        <v>0</v>
      </c>
      <c r="AG27" s="66" t="n">
        <v>0</v>
      </c>
      <c r="AH27" s="66" t="n">
        <v>0</v>
      </c>
      <c r="AI27" s="67" t="n">
        <v>0</v>
      </c>
      <c r="AJ27" s="68" t="n">
        <v>0</v>
      </c>
      <c r="AK27" s="68" t="n">
        <v>0</v>
      </c>
      <c r="AL27" s="69" t="n">
        <v>0</v>
      </c>
      <c r="AM27" s="59" t="n">
        <v>0</v>
      </c>
      <c r="AN27" s="63" t="n">
        <v>0</v>
      </c>
      <c r="AO27" s="61">
        <f>SUM(AC27:AN27)</f>
        <v/>
      </c>
    </row>
    <row r="28" ht="14.25" customHeight="1" s="137">
      <c r="B28" s="57" t="inlineStr">
        <is>
          <t> </t>
        </is>
      </c>
      <c r="C28" s="64" t="n">
        <v>0</v>
      </c>
      <c r="D28" s="64" t="n">
        <v>0</v>
      </c>
      <c r="E28" s="64" t="n">
        <v>0</v>
      </c>
      <c r="F28" s="65" t="n">
        <v>0</v>
      </c>
      <c r="G28" s="66" t="n">
        <v>0</v>
      </c>
      <c r="H28" s="66" t="n">
        <v>0</v>
      </c>
      <c r="I28" s="67" t="n">
        <v>0</v>
      </c>
      <c r="J28" s="68" t="n">
        <v>0</v>
      </c>
      <c r="K28" s="68" t="n">
        <v>0</v>
      </c>
      <c r="L28" s="69" t="n">
        <v>0</v>
      </c>
      <c r="M28" s="59" t="n">
        <v>0</v>
      </c>
      <c r="N28" s="63" t="n">
        <v>0</v>
      </c>
      <c r="O28" s="61">
        <f>SUM(C28:N28)</f>
        <v/>
      </c>
      <c r="P28" s="64" t="n">
        <v>0</v>
      </c>
      <c r="Q28" s="64" t="n">
        <v>0</v>
      </c>
      <c r="R28" s="64" t="n">
        <v>0</v>
      </c>
      <c r="S28" s="65" t="n">
        <v>0</v>
      </c>
      <c r="T28" s="66" t="n">
        <v>0</v>
      </c>
      <c r="U28" s="66" t="n">
        <v>0</v>
      </c>
      <c r="V28" s="67" t="n">
        <v>0</v>
      </c>
      <c r="W28" s="68" t="n">
        <v>0</v>
      </c>
      <c r="X28" s="68" t="n">
        <v>0</v>
      </c>
      <c r="Y28" s="69" t="n">
        <v>0</v>
      </c>
      <c r="Z28" s="59" t="n">
        <v>0</v>
      </c>
      <c r="AA28" s="63" t="n">
        <v>0</v>
      </c>
      <c r="AB28" s="61">
        <f>SUM(P28:AA28)</f>
        <v/>
      </c>
      <c r="AC28" s="64" t="n">
        <v>0</v>
      </c>
      <c r="AD28" s="64" t="n">
        <v>0</v>
      </c>
      <c r="AE28" s="64" t="n">
        <v>0</v>
      </c>
      <c r="AF28" s="65" t="n">
        <v>0</v>
      </c>
      <c r="AG28" s="66" t="n">
        <v>0</v>
      </c>
      <c r="AH28" s="66" t="n">
        <v>0</v>
      </c>
      <c r="AI28" s="67" t="n">
        <v>0</v>
      </c>
      <c r="AJ28" s="68" t="n">
        <v>0</v>
      </c>
      <c r="AK28" s="68" t="n">
        <v>0</v>
      </c>
      <c r="AL28" s="69" t="n">
        <v>0</v>
      </c>
      <c r="AM28" s="59" t="n">
        <v>0</v>
      </c>
      <c r="AN28" s="63" t="n">
        <v>0</v>
      </c>
      <c r="AO28" s="61">
        <f>SUM(AC28:AN28)</f>
        <v/>
      </c>
    </row>
    <row r="29" ht="14.25" customHeight="1" s="137">
      <c r="B29" s="57" t="inlineStr">
        <is>
          <t>EQUIPMENT/APPLIANCE PURCHASES</t>
        </is>
      </c>
      <c r="C29" s="64" t="n">
        <v>0</v>
      </c>
      <c r="D29" s="64" t="n">
        <v>0</v>
      </c>
      <c r="E29" s="64" t="n">
        <v>0</v>
      </c>
      <c r="F29" s="65" t="n">
        <v>0</v>
      </c>
      <c r="G29" s="66" t="n">
        <v>0</v>
      </c>
      <c r="H29" s="66" t="n">
        <v>0</v>
      </c>
      <c r="I29" s="67" t="n">
        <v>0</v>
      </c>
      <c r="J29" s="68" t="n">
        <v>0</v>
      </c>
      <c r="K29" s="68" t="n">
        <v>0</v>
      </c>
      <c r="L29" s="69" t="n">
        <v>0</v>
      </c>
      <c r="M29" s="59" t="n">
        <v>0</v>
      </c>
      <c r="N29" s="63" t="n">
        <v>0</v>
      </c>
      <c r="O29" s="61">
        <f>SUM(C29:N29)</f>
        <v/>
      </c>
      <c r="P29" s="64" t="n">
        <v>1434.37</v>
      </c>
      <c r="Q29" s="64" t="n">
        <v>0</v>
      </c>
      <c r="R29" s="64" t="n">
        <v>0</v>
      </c>
      <c r="S29" s="65" t="n">
        <v>0</v>
      </c>
      <c r="T29" s="66" t="n">
        <v>0</v>
      </c>
      <c r="U29" s="66" t="n">
        <v>0</v>
      </c>
      <c r="V29" s="67" t="n">
        <v>0</v>
      </c>
      <c r="W29" s="68" t="n">
        <v>0</v>
      </c>
      <c r="X29" s="68" t="n">
        <v>0</v>
      </c>
      <c r="Y29" s="69" t="n">
        <v>0</v>
      </c>
      <c r="Z29" s="59" t="n">
        <v>0</v>
      </c>
      <c r="AA29" s="63" t="n">
        <v>0</v>
      </c>
      <c r="AB29" s="61">
        <f>SUM(P29:AA29)</f>
        <v/>
      </c>
      <c r="AC29" s="147" t="n">
        <v>0</v>
      </c>
      <c r="AD29" s="147" t="n">
        <v>0</v>
      </c>
      <c r="AE29" s="147" t="n">
        <v>0</v>
      </c>
      <c r="AF29" s="148" t="n">
        <v>0</v>
      </c>
      <c r="AG29" s="147" t="n">
        <v>0</v>
      </c>
      <c r="AH29" s="147" t="n">
        <v>0</v>
      </c>
      <c r="AI29" s="148" t="n">
        <v>0</v>
      </c>
      <c r="AJ29" s="147" t="n">
        <v>0</v>
      </c>
      <c r="AK29" s="147" t="n">
        <v>0</v>
      </c>
      <c r="AL29" s="148" t="n">
        <v>0</v>
      </c>
      <c r="AM29" s="147" t="n">
        <v>0</v>
      </c>
      <c r="AN29" s="217" t="n">
        <v>0</v>
      </c>
      <c r="AO29" s="61">
        <f>SUM(AC29:AN29)</f>
        <v/>
      </c>
    </row>
    <row r="30" ht="14.25" customHeight="1" s="137">
      <c r="B30" s="57" t="inlineStr">
        <is>
          <t> </t>
        </is>
      </c>
      <c r="C30" s="64" t="n">
        <v>0</v>
      </c>
      <c r="D30" s="64" t="n">
        <v>0</v>
      </c>
      <c r="E30" s="64" t="n">
        <v>0</v>
      </c>
      <c r="F30" s="65" t="n">
        <v>0</v>
      </c>
      <c r="G30" s="66" t="n">
        <v>0</v>
      </c>
      <c r="H30" s="66" t="n">
        <v>0</v>
      </c>
      <c r="I30" s="67" t="n">
        <v>0</v>
      </c>
      <c r="J30" s="68" t="n">
        <v>0</v>
      </c>
      <c r="K30" s="68" t="n">
        <v>0</v>
      </c>
      <c r="L30" s="69" t="n">
        <v>0</v>
      </c>
      <c r="M30" s="59" t="n">
        <v>0</v>
      </c>
      <c r="N30" s="63" t="n">
        <v>0</v>
      </c>
      <c r="O30" s="61">
        <f>SUM(C30:N30)</f>
        <v/>
      </c>
      <c r="P30" s="64" t="n">
        <v>0</v>
      </c>
      <c r="Q30" s="64" t="n">
        <v>0</v>
      </c>
      <c r="R30" s="64" t="n">
        <v>0</v>
      </c>
      <c r="S30" s="65" t="n">
        <v>0</v>
      </c>
      <c r="T30" s="66" t="n">
        <v>0</v>
      </c>
      <c r="U30" s="66" t="n">
        <v>0</v>
      </c>
      <c r="V30" s="67" t="n">
        <v>0</v>
      </c>
      <c r="W30" s="68" t="n">
        <v>0</v>
      </c>
      <c r="X30" s="68" t="n">
        <v>0</v>
      </c>
      <c r="Y30" s="69" t="n">
        <v>0</v>
      </c>
      <c r="Z30" s="59" t="n">
        <v>0</v>
      </c>
      <c r="AA30" s="63" t="n">
        <v>0</v>
      </c>
      <c r="AB30" s="61">
        <f>SUM(P30:AA30)</f>
        <v/>
      </c>
      <c r="AC30" s="64" t="n">
        <v>0</v>
      </c>
      <c r="AD30" s="64" t="n">
        <v>0</v>
      </c>
      <c r="AE30" s="64" t="n">
        <v>0</v>
      </c>
      <c r="AF30" s="65" t="n">
        <v>0</v>
      </c>
      <c r="AG30" s="66" t="n">
        <v>0</v>
      </c>
      <c r="AH30" s="66" t="n">
        <v>0</v>
      </c>
      <c r="AI30" s="67" t="n">
        <v>0</v>
      </c>
      <c r="AJ30" s="68" t="n">
        <v>0</v>
      </c>
      <c r="AK30" s="68" t="n">
        <v>0</v>
      </c>
      <c r="AL30" s="69" t="n">
        <v>0</v>
      </c>
      <c r="AM30" s="59" t="n">
        <v>0</v>
      </c>
      <c r="AN30" s="63" t="n">
        <v>0</v>
      </c>
      <c r="AO30" s="61">
        <f>SUM(AC30:AN30)</f>
        <v/>
      </c>
    </row>
    <row r="31" ht="14.25" customHeight="1" s="137">
      <c r="B31" s="57" t="inlineStr">
        <is>
          <t> </t>
        </is>
      </c>
      <c r="C31" s="64" t="n">
        <v>0</v>
      </c>
      <c r="D31" s="64" t="n">
        <v>0</v>
      </c>
      <c r="E31" s="64" t="n">
        <v>0</v>
      </c>
      <c r="F31" s="65" t="n">
        <v>0</v>
      </c>
      <c r="G31" s="66" t="n">
        <v>0</v>
      </c>
      <c r="H31" s="66" t="n">
        <v>0</v>
      </c>
      <c r="I31" s="67" t="n">
        <v>0</v>
      </c>
      <c r="J31" s="68" t="n">
        <v>0</v>
      </c>
      <c r="K31" s="68" t="n">
        <v>0</v>
      </c>
      <c r="L31" s="69" t="n">
        <v>0</v>
      </c>
      <c r="M31" s="59" t="n">
        <v>0</v>
      </c>
      <c r="N31" s="63" t="n">
        <v>0</v>
      </c>
      <c r="O31" s="61">
        <f>SUM(C31:N31)</f>
        <v/>
      </c>
      <c r="P31" s="64" t="n">
        <v>0</v>
      </c>
      <c r="Q31" s="64" t="n">
        <v>0</v>
      </c>
      <c r="R31" s="64" t="n">
        <v>0</v>
      </c>
      <c r="S31" s="65" t="n">
        <v>0</v>
      </c>
      <c r="T31" s="66" t="n">
        <v>0</v>
      </c>
      <c r="U31" s="66" t="n">
        <v>0</v>
      </c>
      <c r="V31" s="67" t="n">
        <v>0</v>
      </c>
      <c r="W31" s="68" t="n">
        <v>0</v>
      </c>
      <c r="X31" s="68" t="n">
        <v>0</v>
      </c>
      <c r="Y31" s="69" t="n">
        <v>0</v>
      </c>
      <c r="Z31" s="59" t="n">
        <v>0</v>
      </c>
      <c r="AA31" s="63" t="n">
        <v>0</v>
      </c>
      <c r="AB31" s="61">
        <f>SUM(P31:AA31)</f>
        <v/>
      </c>
      <c r="AC31" s="64" t="n">
        <v>0</v>
      </c>
      <c r="AD31" s="64" t="n">
        <v>0</v>
      </c>
      <c r="AE31" s="64" t="n">
        <v>0</v>
      </c>
      <c r="AF31" s="65" t="n">
        <v>0</v>
      </c>
      <c r="AG31" s="66" t="n">
        <v>0</v>
      </c>
      <c r="AH31" s="66" t="n">
        <v>0</v>
      </c>
      <c r="AI31" s="67" t="n">
        <v>0</v>
      </c>
      <c r="AJ31" s="68" t="n">
        <v>0</v>
      </c>
      <c r="AK31" s="68" t="n">
        <v>0</v>
      </c>
      <c r="AL31" s="69" t="n">
        <v>0</v>
      </c>
      <c r="AM31" s="59" t="n">
        <v>0</v>
      </c>
      <c r="AN31" s="63" t="n">
        <v>0</v>
      </c>
      <c r="AO31" s="61">
        <f>SUM(AC31:AN31)</f>
        <v/>
      </c>
    </row>
    <row r="32" ht="14.25" customHeight="1" s="137">
      <c r="B32" s="57" t="inlineStr">
        <is>
          <t> </t>
        </is>
      </c>
      <c r="C32" s="64" t="n">
        <v>0</v>
      </c>
      <c r="D32" s="64" t="n">
        <v>0</v>
      </c>
      <c r="E32" s="64" t="n">
        <v>0</v>
      </c>
      <c r="F32" s="65" t="n">
        <v>0</v>
      </c>
      <c r="G32" s="66" t="n">
        <v>0</v>
      </c>
      <c r="H32" s="66" t="n">
        <v>0</v>
      </c>
      <c r="I32" s="67" t="n">
        <v>0</v>
      </c>
      <c r="J32" s="68" t="n">
        <v>0</v>
      </c>
      <c r="K32" s="68" t="n">
        <v>0</v>
      </c>
      <c r="L32" s="69" t="n">
        <v>0</v>
      </c>
      <c r="M32" s="59" t="n">
        <v>0</v>
      </c>
      <c r="N32" s="63" t="n">
        <v>0</v>
      </c>
      <c r="O32" s="61">
        <f>SUM(C32:N32)</f>
        <v/>
      </c>
      <c r="P32" s="64" t="n">
        <v>0</v>
      </c>
      <c r="Q32" s="64" t="n">
        <v>0</v>
      </c>
      <c r="R32" s="64" t="n">
        <v>0</v>
      </c>
      <c r="S32" s="65" t="n">
        <v>0</v>
      </c>
      <c r="T32" s="66" t="n">
        <v>0</v>
      </c>
      <c r="U32" s="66" t="n">
        <v>0</v>
      </c>
      <c r="V32" s="67" t="n">
        <v>0</v>
      </c>
      <c r="W32" s="68" t="n">
        <v>0</v>
      </c>
      <c r="X32" s="68" t="n">
        <v>0</v>
      </c>
      <c r="Y32" s="69" t="n">
        <v>0</v>
      </c>
      <c r="Z32" s="59" t="n">
        <v>0</v>
      </c>
      <c r="AA32" s="63" t="n">
        <v>0</v>
      </c>
      <c r="AB32" s="61">
        <f>SUM(P32:AA32)</f>
        <v/>
      </c>
      <c r="AC32" s="64" t="n">
        <v>0</v>
      </c>
      <c r="AD32" s="64" t="n">
        <v>0</v>
      </c>
      <c r="AE32" s="64" t="n">
        <v>0</v>
      </c>
      <c r="AF32" s="65" t="n">
        <v>0</v>
      </c>
      <c r="AG32" s="66" t="n">
        <v>0</v>
      </c>
      <c r="AH32" s="66" t="n">
        <v>0</v>
      </c>
      <c r="AI32" s="67" t="n">
        <v>0</v>
      </c>
      <c r="AJ32" s="68" t="n">
        <v>0</v>
      </c>
      <c r="AK32" s="68" t="n">
        <v>0</v>
      </c>
      <c r="AL32" s="69" t="n">
        <v>0</v>
      </c>
      <c r="AM32" s="59" t="n">
        <v>0</v>
      </c>
      <c r="AN32" s="63" t="n">
        <v>0</v>
      </c>
      <c r="AO32" s="61">
        <f>SUM(AC32:AN32)</f>
        <v/>
      </c>
    </row>
    <row r="33" ht="14.25" customHeight="1" s="137">
      <c r="B33" s="57" t="inlineStr">
        <is>
          <t> </t>
        </is>
      </c>
      <c r="C33" s="64" t="n">
        <v>0</v>
      </c>
      <c r="D33" s="64" t="n">
        <v>0</v>
      </c>
      <c r="E33" s="64" t="n">
        <v>0</v>
      </c>
      <c r="F33" s="65" t="n">
        <v>0</v>
      </c>
      <c r="G33" s="66" t="n">
        <v>0</v>
      </c>
      <c r="H33" s="66" t="n">
        <v>0</v>
      </c>
      <c r="I33" s="67" t="n">
        <v>0</v>
      </c>
      <c r="J33" s="68" t="n">
        <v>0</v>
      </c>
      <c r="K33" s="68" t="n">
        <v>0</v>
      </c>
      <c r="L33" s="69" t="n">
        <v>0</v>
      </c>
      <c r="M33" s="59" t="n">
        <v>0</v>
      </c>
      <c r="N33" s="63" t="n">
        <v>0</v>
      </c>
      <c r="O33" s="61">
        <f>SUM(C33:N33)</f>
        <v/>
      </c>
      <c r="P33" s="64" t="n">
        <v>0</v>
      </c>
      <c r="Q33" s="64" t="n">
        <v>0</v>
      </c>
      <c r="R33" s="64" t="n">
        <v>0</v>
      </c>
      <c r="S33" s="65" t="n">
        <v>0</v>
      </c>
      <c r="T33" s="66" t="n">
        <v>0</v>
      </c>
      <c r="U33" s="66" t="n">
        <v>0</v>
      </c>
      <c r="V33" s="67" t="n">
        <v>0</v>
      </c>
      <c r="W33" s="68" t="n">
        <v>0</v>
      </c>
      <c r="X33" s="68" t="n">
        <v>0</v>
      </c>
      <c r="Y33" s="69" t="n">
        <v>0</v>
      </c>
      <c r="Z33" s="59" t="n">
        <v>0</v>
      </c>
      <c r="AA33" s="63" t="n">
        <v>0</v>
      </c>
      <c r="AB33" s="61">
        <f>SUM(P33:AA33)</f>
        <v/>
      </c>
      <c r="AC33" s="64" t="n">
        <v>0</v>
      </c>
      <c r="AD33" s="64" t="n">
        <v>0</v>
      </c>
      <c r="AE33" s="64" t="n">
        <v>0</v>
      </c>
      <c r="AF33" s="65" t="n">
        <v>0</v>
      </c>
      <c r="AG33" s="66" t="n">
        <v>0</v>
      </c>
      <c r="AH33" s="66" t="n">
        <v>0</v>
      </c>
      <c r="AI33" s="67" t="n">
        <v>0</v>
      </c>
      <c r="AJ33" s="68" t="n">
        <v>0</v>
      </c>
      <c r="AK33" s="68" t="n">
        <v>0</v>
      </c>
      <c r="AL33" s="69" t="n">
        <v>0</v>
      </c>
      <c r="AM33" s="59" t="n">
        <v>0</v>
      </c>
      <c r="AN33" s="63" t="n">
        <v>0</v>
      </c>
      <c r="AO33" s="61">
        <f>SUM(AC33:AN33)</f>
        <v/>
      </c>
    </row>
    <row r="34" ht="14.25" customHeight="1" s="137">
      <c r="B34" s="57" t="inlineStr">
        <is>
          <t> </t>
        </is>
      </c>
      <c r="C34" s="64" t="n">
        <v>0</v>
      </c>
      <c r="D34" s="64" t="n">
        <v>0</v>
      </c>
      <c r="E34" s="64" t="n">
        <v>0</v>
      </c>
      <c r="F34" s="65" t="n">
        <v>0</v>
      </c>
      <c r="G34" s="66" t="n">
        <v>0</v>
      </c>
      <c r="H34" s="66" t="n">
        <v>0</v>
      </c>
      <c r="I34" s="67" t="n">
        <v>0</v>
      </c>
      <c r="J34" s="68" t="n">
        <v>0</v>
      </c>
      <c r="K34" s="68" t="n">
        <v>0</v>
      </c>
      <c r="L34" s="69" t="n">
        <v>0</v>
      </c>
      <c r="M34" s="59" t="n">
        <v>0</v>
      </c>
      <c r="N34" s="63" t="n">
        <v>0</v>
      </c>
      <c r="O34" s="61">
        <f>SUM(C34:N34)</f>
        <v/>
      </c>
      <c r="P34" s="64" t="n">
        <v>0</v>
      </c>
      <c r="Q34" s="64" t="n">
        <v>0</v>
      </c>
      <c r="R34" s="64" t="n">
        <v>0</v>
      </c>
      <c r="S34" s="65" t="n">
        <v>0</v>
      </c>
      <c r="T34" s="66" t="n">
        <v>0</v>
      </c>
      <c r="U34" s="66" t="n">
        <v>0</v>
      </c>
      <c r="V34" s="67" t="n">
        <v>0</v>
      </c>
      <c r="W34" s="68" t="n">
        <v>0</v>
      </c>
      <c r="X34" s="68" t="n">
        <v>0</v>
      </c>
      <c r="Y34" s="69" t="n">
        <v>0</v>
      </c>
      <c r="Z34" s="59" t="n">
        <v>0</v>
      </c>
      <c r="AA34" s="63" t="n">
        <v>0</v>
      </c>
      <c r="AB34" s="61">
        <f>SUM(P34:AA34)</f>
        <v/>
      </c>
      <c r="AC34" s="64" t="n">
        <v>0</v>
      </c>
      <c r="AD34" s="64" t="n">
        <v>0</v>
      </c>
      <c r="AE34" s="64" t="n">
        <v>0</v>
      </c>
      <c r="AF34" s="65" t="n">
        <v>0</v>
      </c>
      <c r="AG34" s="66" t="n">
        <v>0</v>
      </c>
      <c r="AH34" s="66" t="n">
        <v>0</v>
      </c>
      <c r="AI34" s="67" t="n">
        <v>0</v>
      </c>
      <c r="AJ34" s="68" t="n">
        <v>0</v>
      </c>
      <c r="AK34" s="68" t="n">
        <v>0</v>
      </c>
      <c r="AL34" s="69" t="n">
        <v>0</v>
      </c>
      <c r="AM34" s="59" t="n">
        <v>0</v>
      </c>
      <c r="AN34" s="63" t="n">
        <v>0</v>
      </c>
      <c r="AO34" s="61">
        <f>SUM(AC34:AN34)</f>
        <v/>
      </c>
    </row>
    <row r="35" ht="14.25" customHeight="1" s="137">
      <c r="B35" s="57" t="inlineStr">
        <is>
          <t>MORTGAGE</t>
        </is>
      </c>
      <c r="C35" s="64" t="n">
        <v>1066.27</v>
      </c>
      <c r="D35" s="64" t="n">
        <v>1066.27</v>
      </c>
      <c r="E35" s="64" t="n">
        <v>1066.27</v>
      </c>
      <c r="F35" s="66" t="n">
        <v>1066.27</v>
      </c>
      <c r="G35" s="66" t="n">
        <v>1066.27</v>
      </c>
      <c r="H35" s="66" t="n">
        <v>1066.27</v>
      </c>
      <c r="I35" s="68" t="n">
        <v>1066.27</v>
      </c>
      <c r="J35" s="68" t="n">
        <v>1066.27</v>
      </c>
      <c r="K35" s="68" t="n">
        <v>1066.27</v>
      </c>
      <c r="L35" s="59" t="n">
        <v>1066.27</v>
      </c>
      <c r="M35" s="59" t="n">
        <v>1215.82</v>
      </c>
      <c r="N35" s="59" t="n">
        <v>1215.82</v>
      </c>
      <c r="O35" s="61">
        <f>SUM(C35:N35)</f>
        <v/>
      </c>
      <c r="P35" s="64" t="n">
        <v>1318.02</v>
      </c>
      <c r="Q35" s="64" t="n">
        <v>1318.02</v>
      </c>
      <c r="R35" s="64" t="n">
        <v>1318.02</v>
      </c>
      <c r="S35" s="66" t="n">
        <v>1318.02</v>
      </c>
      <c r="T35" s="66" t="n">
        <v>1318.02</v>
      </c>
      <c r="U35" s="66" t="n">
        <v>1318.02</v>
      </c>
      <c r="V35" s="68" t="n">
        <v>1318.02</v>
      </c>
      <c r="W35" s="68" t="n">
        <v>1318.02</v>
      </c>
      <c r="X35" s="68" t="n">
        <v>1318.02</v>
      </c>
      <c r="Y35" s="59" t="n">
        <v>1318.02</v>
      </c>
      <c r="Z35" s="59" t="n">
        <v>1318.02</v>
      </c>
      <c r="AA35" s="59" t="n">
        <v>1318.02</v>
      </c>
      <c r="AB35" s="61">
        <f>SUM(P35:AA35)</f>
        <v/>
      </c>
      <c r="AC35" s="147" t="n">
        <v>1226.25</v>
      </c>
      <c r="AD35" s="147" t="n">
        <v>1226.25</v>
      </c>
      <c r="AE35" s="147" t="n">
        <v>1226.25</v>
      </c>
      <c r="AF35" s="147" t="n">
        <v>1226.25</v>
      </c>
      <c r="AG35" s="147" t="n">
        <v>1226.25</v>
      </c>
      <c r="AH35" s="147" t="n">
        <v>1226.25</v>
      </c>
      <c r="AI35" s="214" t="n">
        <v>1226.25</v>
      </c>
      <c r="AJ35" s="214" t="n">
        <v>1226.25</v>
      </c>
      <c r="AK35" s="214" t="n">
        <v>1226.25</v>
      </c>
      <c r="AL35" s="214" t="n">
        <v>1226.25</v>
      </c>
      <c r="AM35" s="214" t="n">
        <v>1177.52</v>
      </c>
      <c r="AN35" s="214" t="n">
        <v>1177.52</v>
      </c>
      <c r="AO35" s="61">
        <f>SUM(AC35:AN35)</f>
        <v/>
      </c>
    </row>
    <row r="36" ht="14.25" customHeight="1" s="137">
      <c r="B36" s="57" t="inlineStr">
        <is>
          <t>HOA</t>
        </is>
      </c>
      <c r="C36" s="64" t="n">
        <v>397.48</v>
      </c>
      <c r="D36" s="64" t="n">
        <v>397.48</v>
      </c>
      <c r="E36" s="64" t="n">
        <v>397.48</v>
      </c>
      <c r="F36" s="66" t="n">
        <v>397.48</v>
      </c>
      <c r="G36" s="66" t="n">
        <v>397.48</v>
      </c>
      <c r="H36" s="66" t="n">
        <v>397.48</v>
      </c>
      <c r="I36" s="68" t="n">
        <v>397.48</v>
      </c>
      <c r="J36" s="68" t="n">
        <v>397.48</v>
      </c>
      <c r="K36" s="68" t="n">
        <v>397.48</v>
      </c>
      <c r="L36" s="59" t="n">
        <v>397.48</v>
      </c>
      <c r="M36" s="59" t="n">
        <v>397.48</v>
      </c>
      <c r="N36" s="59" t="n">
        <v>397.48</v>
      </c>
      <c r="O36" s="61">
        <f>SUM(C36:N36)</f>
        <v/>
      </c>
      <c r="P36" s="64" t="n">
        <v>401.46</v>
      </c>
      <c r="Q36" s="64" t="n">
        <v>401.46</v>
      </c>
      <c r="R36" s="64" t="n">
        <v>401.46</v>
      </c>
      <c r="S36" s="65" t="n">
        <v>401.46</v>
      </c>
      <c r="T36" s="65" t="n">
        <v>401.46</v>
      </c>
      <c r="U36" s="65" t="n">
        <v>401.46</v>
      </c>
      <c r="V36" s="67" t="n">
        <v>401.46</v>
      </c>
      <c r="W36" s="67" t="n">
        <v>401.46</v>
      </c>
      <c r="X36" s="67" t="n">
        <v>401.46</v>
      </c>
      <c r="Y36" s="69" t="n">
        <v>401.46</v>
      </c>
      <c r="Z36" s="69" t="n">
        <v>401.46</v>
      </c>
      <c r="AA36" s="69" t="n">
        <v>401.46</v>
      </c>
      <c r="AB36" s="61">
        <f>SUM(P36:AA36)</f>
        <v/>
      </c>
      <c r="AC36" s="147" t="n">
        <v>421.53</v>
      </c>
      <c r="AD36" s="147" t="n">
        <v>421.53</v>
      </c>
      <c r="AE36" s="147" t="n">
        <v>421.53</v>
      </c>
      <c r="AF36" s="148" t="n">
        <v>421.53</v>
      </c>
      <c r="AG36" s="148" t="n">
        <v>421.53</v>
      </c>
      <c r="AH36" s="218" t="n">
        <v>421.53</v>
      </c>
      <c r="AI36" s="218" t="n">
        <v>421.53</v>
      </c>
      <c r="AJ36" s="218" t="n">
        <v>421.53</v>
      </c>
      <c r="AK36" s="218" t="n">
        <v>421.53</v>
      </c>
      <c r="AL36" s="218" t="n">
        <v>421.53</v>
      </c>
      <c r="AM36" s="218" t="n">
        <v>421.53</v>
      </c>
      <c r="AN36" s="218" t="n">
        <v>421.53</v>
      </c>
      <c r="AO36" s="61">
        <f>SUM(AC36:AN36)</f>
        <v/>
      </c>
    </row>
    <row r="37" ht="14.25" customHeight="1" s="137">
      <c r="B37" s="57" t="inlineStr">
        <is>
          <t>ELECTRICAL WORK (GROUNDING, ESTIMATE, KITCHEN)</t>
        </is>
      </c>
      <c r="C37" s="64" t="n">
        <v>0</v>
      </c>
      <c r="D37" s="64" t="n">
        <v>0</v>
      </c>
      <c r="E37" s="64" t="n">
        <v>0</v>
      </c>
      <c r="F37" s="65" t="n">
        <v>0</v>
      </c>
      <c r="G37" s="66" t="n">
        <v>0</v>
      </c>
      <c r="H37" s="66" t="n">
        <v>0</v>
      </c>
      <c r="I37" s="67" t="n">
        <v>0</v>
      </c>
      <c r="J37" s="68" t="n">
        <v>0</v>
      </c>
      <c r="K37" s="68" t="n">
        <v>0</v>
      </c>
      <c r="L37" s="69" t="n">
        <v>350</v>
      </c>
      <c r="M37" s="59" t="n">
        <v>0</v>
      </c>
      <c r="N37" s="63" t="n">
        <v>0</v>
      </c>
      <c r="O37" s="61">
        <f>SUM(C37:N37)</f>
        <v/>
      </c>
      <c r="P37" s="64" t="n">
        <v>0</v>
      </c>
      <c r="Q37" s="64" t="n">
        <v>0</v>
      </c>
      <c r="R37" s="64" t="n">
        <v>0</v>
      </c>
      <c r="S37" s="65" t="n">
        <v>0</v>
      </c>
      <c r="T37" s="66" t="n">
        <v>0</v>
      </c>
      <c r="U37" s="66" t="n">
        <v>0</v>
      </c>
      <c r="V37" s="67" t="n">
        <v>0</v>
      </c>
      <c r="W37" s="68" t="n">
        <v>0</v>
      </c>
      <c r="X37" s="68" t="n">
        <v>0</v>
      </c>
      <c r="Y37" s="69" t="n"/>
      <c r="Z37" s="59" t="n">
        <v>0</v>
      </c>
      <c r="AA37" s="63" t="n">
        <v>0</v>
      </c>
      <c r="AB37" s="61">
        <f>SUM(P37:AA37)</f>
        <v/>
      </c>
      <c r="AC37" s="64" t="n">
        <v>0</v>
      </c>
      <c r="AD37" s="64" t="n">
        <v>0</v>
      </c>
      <c r="AE37" s="64" t="n">
        <v>0</v>
      </c>
      <c r="AF37" s="65" t="n">
        <v>0</v>
      </c>
      <c r="AG37" s="66" t="n">
        <v>0</v>
      </c>
      <c r="AH37" s="66" t="n">
        <v>0</v>
      </c>
      <c r="AI37" s="67" t="n">
        <v>0</v>
      </c>
      <c r="AJ37" s="68" t="n">
        <v>0</v>
      </c>
      <c r="AK37" s="68" t="n">
        <v>0</v>
      </c>
      <c r="AL37" s="69" t="n"/>
      <c r="AM37" s="59" t="n">
        <v>0</v>
      </c>
      <c r="AN37" s="63" t="n">
        <v>0</v>
      </c>
      <c r="AO37" s="61">
        <f>SUM(AC37:AN37)</f>
        <v/>
      </c>
    </row>
    <row r="38" ht="14.25" customHeight="1" s="137">
      <c r="B38" s="57" t="inlineStr">
        <is>
          <t>MOVE OUT FEE</t>
        </is>
      </c>
      <c r="C38" s="64" t="n">
        <v>0</v>
      </c>
      <c r="D38" s="64" t="n">
        <v>0</v>
      </c>
      <c r="E38" s="64" t="n">
        <v>0</v>
      </c>
      <c r="F38" s="65" t="n">
        <v>0</v>
      </c>
      <c r="G38" s="66" t="n">
        <v>0</v>
      </c>
      <c r="H38" s="66" t="n">
        <v>0</v>
      </c>
      <c r="I38" s="67" t="n">
        <v>0</v>
      </c>
      <c r="J38" s="68" t="n">
        <v>0</v>
      </c>
      <c r="K38" s="68" t="n">
        <v>0</v>
      </c>
      <c r="L38" s="69" t="n">
        <v>200</v>
      </c>
      <c r="M38" s="59" t="n">
        <v>0</v>
      </c>
      <c r="N38" s="63" t="n">
        <v>0</v>
      </c>
      <c r="O38" s="61">
        <f>SUM(C38:N38)</f>
        <v/>
      </c>
      <c r="P38" s="64" t="n">
        <v>0</v>
      </c>
      <c r="Q38" s="64" t="n">
        <v>0</v>
      </c>
      <c r="R38" s="64" t="n">
        <v>0</v>
      </c>
      <c r="S38" s="65" t="n">
        <v>0</v>
      </c>
      <c r="T38" s="66" t="n">
        <v>0</v>
      </c>
      <c r="U38" s="66" t="n">
        <v>0</v>
      </c>
      <c r="V38" s="67" t="n">
        <v>0</v>
      </c>
      <c r="W38" s="68" t="n">
        <v>0</v>
      </c>
      <c r="X38" s="68" t="n">
        <v>0</v>
      </c>
      <c r="Y38" s="69" t="n">
        <v>200</v>
      </c>
      <c r="Z38" s="59" t="n">
        <v>0</v>
      </c>
      <c r="AA38" s="63" t="n">
        <v>0</v>
      </c>
      <c r="AB38" s="61">
        <f>SUM(P38:AA38)</f>
        <v/>
      </c>
      <c r="AC38" s="64" t="n">
        <v>0</v>
      </c>
      <c r="AD38" s="64" t="n">
        <v>0</v>
      </c>
      <c r="AE38" s="64" t="n">
        <v>0</v>
      </c>
      <c r="AF38" s="65" t="n">
        <v>0</v>
      </c>
      <c r="AG38" s="66" t="n">
        <v>0</v>
      </c>
      <c r="AH38" s="66" t="n">
        <v>0</v>
      </c>
      <c r="AI38" s="67" t="n">
        <v>0</v>
      </c>
      <c r="AJ38" s="68" t="n">
        <v>0</v>
      </c>
      <c r="AK38" s="68" t="n">
        <v>0</v>
      </c>
      <c r="AL38" s="218" t="n">
        <v>300</v>
      </c>
      <c r="AM38" s="59" t="n">
        <v>0</v>
      </c>
      <c r="AN38" s="63" t="n">
        <v>0</v>
      </c>
      <c r="AO38" s="61">
        <f>SUM(AC38:AN38)</f>
        <v/>
      </c>
    </row>
    <row r="39" ht="14.25" customHeight="1" s="137">
      <c r="B39" s="57" t="inlineStr">
        <is>
          <t> </t>
        </is>
      </c>
      <c r="C39" s="64" t="n">
        <v>0</v>
      </c>
      <c r="D39" s="64" t="n">
        <v>0</v>
      </c>
      <c r="E39" s="64" t="n">
        <v>0</v>
      </c>
      <c r="F39" s="65" t="n">
        <v>0</v>
      </c>
      <c r="G39" s="66" t="n">
        <v>0</v>
      </c>
      <c r="H39" s="66" t="n">
        <v>0</v>
      </c>
      <c r="I39" s="67" t="n">
        <v>0</v>
      </c>
      <c r="J39" s="68" t="n">
        <v>0</v>
      </c>
      <c r="K39" s="68" t="n">
        <v>0</v>
      </c>
      <c r="L39" s="69" t="n">
        <v>0</v>
      </c>
      <c r="M39" s="59" t="n">
        <v>0</v>
      </c>
      <c r="N39" s="63" t="n">
        <v>0</v>
      </c>
      <c r="O39" s="61">
        <f>SUM(C39:N39)</f>
        <v/>
      </c>
      <c r="P39" s="64" t="n">
        <v>0</v>
      </c>
      <c r="Q39" s="64" t="n">
        <v>0</v>
      </c>
      <c r="R39" s="64" t="n">
        <v>0</v>
      </c>
      <c r="S39" s="65" t="n">
        <v>0</v>
      </c>
      <c r="T39" s="66" t="n">
        <v>0</v>
      </c>
      <c r="U39" s="66" t="n">
        <v>0</v>
      </c>
      <c r="V39" s="67" t="n">
        <v>0</v>
      </c>
      <c r="W39" s="68" t="n">
        <v>0</v>
      </c>
      <c r="X39" s="68" t="n">
        <v>0</v>
      </c>
      <c r="Y39" s="69" t="n">
        <v>0</v>
      </c>
      <c r="Z39" s="59" t="n">
        <v>0</v>
      </c>
      <c r="AA39" s="63" t="n">
        <v>0</v>
      </c>
      <c r="AB39" s="61">
        <f>SUM(P39:AA39)</f>
        <v/>
      </c>
      <c r="AC39" s="64" t="n">
        <v>0</v>
      </c>
      <c r="AD39" s="64" t="n">
        <v>0</v>
      </c>
      <c r="AE39" s="64" t="n">
        <v>0</v>
      </c>
      <c r="AF39" s="65" t="n">
        <v>0</v>
      </c>
      <c r="AG39" s="66" t="n">
        <v>0</v>
      </c>
      <c r="AH39" s="66" t="n">
        <v>0</v>
      </c>
      <c r="AI39" s="67" t="n">
        <v>0</v>
      </c>
      <c r="AJ39" s="68" t="n">
        <v>0</v>
      </c>
      <c r="AK39" s="68" t="n">
        <v>0</v>
      </c>
      <c r="AL39" s="69" t="n">
        <v>0</v>
      </c>
      <c r="AM39" s="59" t="n">
        <v>0</v>
      </c>
      <c r="AN39" s="63" t="n">
        <v>0</v>
      </c>
      <c r="AO39" s="61">
        <f>SUM(AC39:AN39)</f>
        <v/>
      </c>
    </row>
    <row r="40" ht="14.25" customHeight="1" s="137">
      <c r="B40" s="57" t="inlineStr">
        <is>
          <t> </t>
        </is>
      </c>
      <c r="C40" s="64" t="n">
        <v>0</v>
      </c>
      <c r="D40" s="64" t="n">
        <v>0</v>
      </c>
      <c r="E40" s="64" t="n">
        <v>0</v>
      </c>
      <c r="F40" s="65" t="n">
        <v>0</v>
      </c>
      <c r="G40" s="66" t="n">
        <v>0</v>
      </c>
      <c r="H40" s="66" t="n">
        <v>0</v>
      </c>
      <c r="I40" s="67" t="n">
        <v>0</v>
      </c>
      <c r="J40" s="68" t="n">
        <v>0</v>
      </c>
      <c r="K40" s="68" t="n">
        <v>0</v>
      </c>
      <c r="L40" s="69" t="n">
        <v>0</v>
      </c>
      <c r="M40" s="59" t="n">
        <v>0</v>
      </c>
      <c r="N40" s="63" t="n">
        <v>0</v>
      </c>
      <c r="O40" s="61">
        <f>SUM(C40:N40)</f>
        <v/>
      </c>
      <c r="P40" s="64" t="n">
        <v>0</v>
      </c>
      <c r="Q40" s="64" t="n">
        <v>0</v>
      </c>
      <c r="R40" s="64" t="n">
        <v>0</v>
      </c>
      <c r="S40" s="65" t="n">
        <v>0</v>
      </c>
      <c r="T40" s="66" t="n">
        <v>0</v>
      </c>
      <c r="U40" s="66" t="n">
        <v>0</v>
      </c>
      <c r="V40" s="67" t="n">
        <v>0</v>
      </c>
      <c r="W40" s="68" t="n">
        <v>0</v>
      </c>
      <c r="X40" s="68" t="n">
        <v>0</v>
      </c>
      <c r="Y40" s="69" t="n">
        <v>0</v>
      </c>
      <c r="Z40" s="59" t="n">
        <v>0</v>
      </c>
      <c r="AA40" s="63" t="n">
        <v>0</v>
      </c>
      <c r="AB40" s="61">
        <f>SUM(P40:AA40)</f>
        <v/>
      </c>
      <c r="AC40" s="64" t="n">
        <v>0</v>
      </c>
      <c r="AD40" s="64" t="n">
        <v>0</v>
      </c>
      <c r="AE40" s="64" t="n">
        <v>0</v>
      </c>
      <c r="AF40" s="65" t="n">
        <v>0</v>
      </c>
      <c r="AG40" s="66" t="n">
        <v>0</v>
      </c>
      <c r="AH40" s="66" t="n">
        <v>0</v>
      </c>
      <c r="AI40" s="67" t="n">
        <v>0</v>
      </c>
      <c r="AJ40" s="68" t="n">
        <v>0</v>
      </c>
      <c r="AK40" s="68" t="n">
        <v>0</v>
      </c>
      <c r="AL40" s="69" t="n">
        <v>0</v>
      </c>
      <c r="AM40" s="59" t="n">
        <v>0</v>
      </c>
      <c r="AN40" s="63" t="n">
        <v>0</v>
      </c>
      <c r="AO40" s="61">
        <f>SUM(AC40:AN40)</f>
        <v/>
      </c>
    </row>
    <row r="41" ht="14.25" customHeight="1" s="137">
      <c r="B41" s="57" t="inlineStr">
        <is>
          <t> </t>
        </is>
      </c>
      <c r="C41" s="64" t="n">
        <v>0</v>
      </c>
      <c r="D41" s="64" t="n">
        <v>0</v>
      </c>
      <c r="E41" s="64" t="n">
        <v>0</v>
      </c>
      <c r="F41" s="65" t="n">
        <v>0</v>
      </c>
      <c r="G41" s="66" t="n">
        <v>0</v>
      </c>
      <c r="H41" s="66" t="n">
        <v>0</v>
      </c>
      <c r="I41" s="67" t="n">
        <v>0</v>
      </c>
      <c r="J41" s="68" t="n">
        <v>0</v>
      </c>
      <c r="K41" s="68" t="n">
        <v>0</v>
      </c>
      <c r="L41" s="69" t="n">
        <v>0</v>
      </c>
      <c r="M41" s="59" t="n">
        <v>0</v>
      </c>
      <c r="N41" s="63" t="n">
        <v>0</v>
      </c>
      <c r="O41" s="61">
        <f>SUM(C41:N41)</f>
        <v/>
      </c>
      <c r="P41" s="64" t="n">
        <v>0</v>
      </c>
      <c r="Q41" s="64" t="n">
        <v>0</v>
      </c>
      <c r="R41" s="64" t="n">
        <v>0</v>
      </c>
      <c r="S41" s="65" t="n">
        <v>0</v>
      </c>
      <c r="T41" s="66" t="n">
        <v>0</v>
      </c>
      <c r="U41" s="66" t="n">
        <v>0</v>
      </c>
      <c r="V41" s="67" t="n">
        <v>0</v>
      </c>
      <c r="W41" s="68" t="n">
        <v>0</v>
      </c>
      <c r="X41" s="68" t="n">
        <v>0</v>
      </c>
      <c r="Y41" s="69" t="n">
        <v>0</v>
      </c>
      <c r="Z41" s="59" t="n">
        <v>0</v>
      </c>
      <c r="AA41" s="63" t="n">
        <v>0</v>
      </c>
      <c r="AB41" s="61">
        <f>SUM(P41:AA41)</f>
        <v/>
      </c>
      <c r="AC41" s="64" t="n">
        <v>0</v>
      </c>
      <c r="AD41" s="64" t="n">
        <v>0</v>
      </c>
      <c r="AE41" s="64" t="n">
        <v>0</v>
      </c>
      <c r="AF41" s="65" t="n">
        <v>0</v>
      </c>
      <c r="AG41" s="66" t="n">
        <v>0</v>
      </c>
      <c r="AH41" s="66" t="n">
        <v>0</v>
      </c>
      <c r="AI41" s="67" t="n">
        <v>0</v>
      </c>
      <c r="AJ41" s="68" t="n">
        <v>0</v>
      </c>
      <c r="AK41" s="68" t="n">
        <v>0</v>
      </c>
      <c r="AL41" s="69" t="n">
        <v>0</v>
      </c>
      <c r="AM41" s="59" t="n">
        <v>0</v>
      </c>
      <c r="AN41" s="63" t="n">
        <v>0</v>
      </c>
      <c r="AO41" s="61">
        <f>SUM(AC41:AN41)</f>
        <v/>
      </c>
    </row>
    <row r="42" ht="14.25" customHeight="1" s="137">
      <c r="B42" s="47" t="inlineStr">
        <is>
          <t>TOTAL EXPENSES</t>
        </is>
      </c>
      <c r="C42" s="48">
        <f>SUM(C10:C41)</f>
        <v/>
      </c>
      <c r="D42" s="48">
        <f>SUM(D10:D41)</f>
        <v/>
      </c>
      <c r="E42" s="48">
        <f>SUM(E10:E41)</f>
        <v/>
      </c>
      <c r="F42" s="49">
        <f>SUM(F10:F41)</f>
        <v/>
      </c>
      <c r="G42" s="50">
        <f>SUM(G10:G41)</f>
        <v/>
      </c>
      <c r="H42" s="50">
        <f>SUM(H10:H41)</f>
        <v/>
      </c>
      <c r="I42" s="51">
        <f>SUM(I10:I41)</f>
        <v/>
      </c>
      <c r="J42" s="52">
        <f>SUM(J10:J41)</f>
        <v/>
      </c>
      <c r="K42" s="52">
        <f>SUM(K10:K41)</f>
        <v/>
      </c>
      <c r="L42" s="53">
        <f>SUM(L10:L41)</f>
        <v/>
      </c>
      <c r="M42" s="54">
        <f>SUM(M10:M41)</f>
        <v/>
      </c>
      <c r="N42" s="55">
        <f>SUM(N10:N41)</f>
        <v/>
      </c>
      <c r="O42" s="56">
        <f>SUM(C42:N42)</f>
        <v/>
      </c>
      <c r="P42" s="48">
        <f>SUM(P10:P41)</f>
        <v/>
      </c>
      <c r="Q42" s="48">
        <f>SUM(Q10:Q41)</f>
        <v/>
      </c>
      <c r="R42" s="48">
        <f>SUM(R10:R41)</f>
        <v/>
      </c>
      <c r="S42" s="49">
        <f>SUM(S10:S41)</f>
        <v/>
      </c>
      <c r="T42" s="50">
        <f>SUM(T10:T41)</f>
        <v/>
      </c>
      <c r="U42" s="50">
        <f>SUM(U10:U41)</f>
        <v/>
      </c>
      <c r="V42" s="51">
        <f>SUM(V10:V41)</f>
        <v/>
      </c>
      <c r="W42" s="52">
        <f>SUM(W10:W41)</f>
        <v/>
      </c>
      <c r="X42" s="52">
        <f>SUM(X10:X41)</f>
        <v/>
      </c>
      <c r="Y42" s="53">
        <f>SUM(Y10:Y41)</f>
        <v/>
      </c>
      <c r="Z42" s="54">
        <f>SUM(Z10:Z41)</f>
        <v/>
      </c>
      <c r="AA42" s="55">
        <f>SUM(AA10:AA41)</f>
        <v/>
      </c>
      <c r="AB42" s="56">
        <f>SUM(P42:AA42)</f>
        <v/>
      </c>
      <c r="AC42" s="48">
        <f>SUM(AC10:AC41)</f>
        <v/>
      </c>
      <c r="AD42" s="48">
        <f>SUM(AD10:AD41)</f>
        <v/>
      </c>
      <c r="AE42" s="48">
        <f>SUM(AE10:AE41)</f>
        <v/>
      </c>
      <c r="AF42" s="49">
        <f>SUM(AF10:AF41)</f>
        <v/>
      </c>
      <c r="AG42" s="50">
        <f>SUM(AG10:AG41)</f>
        <v/>
      </c>
      <c r="AH42" s="50">
        <f>SUM(AH10:AH41)</f>
        <v/>
      </c>
      <c r="AI42" s="51">
        <f>SUM(AI10:AI41)</f>
        <v/>
      </c>
      <c r="AJ42" s="52">
        <f>SUM(AJ10:AJ41)</f>
        <v/>
      </c>
      <c r="AK42" s="52">
        <f>SUM(AK10:AK41)</f>
        <v/>
      </c>
      <c r="AL42" s="53">
        <f>SUM(AL10:AL41)</f>
        <v/>
      </c>
      <c r="AM42" s="54">
        <f>SUM(AM10:AM41)</f>
        <v/>
      </c>
      <c r="AN42" s="55">
        <f>SUM(AN10:AN41)</f>
        <v/>
      </c>
      <c r="AO42" s="56">
        <f>SUM(AC42:AN42)</f>
        <v/>
      </c>
    </row>
    <row r="43" ht="14.25" customHeight="1" s="137"/>
    <row r="44" ht="14.25" customHeight="1" s="137">
      <c r="B44" s="70" t="inlineStr">
        <is>
          <t>YEAR-TO-DATE INCOME LESS EXPENSES</t>
        </is>
      </c>
      <c r="C44" s="71">
        <f>C6-C42</f>
        <v/>
      </c>
      <c r="D44" s="71">
        <f>D6-D42</f>
        <v/>
      </c>
      <c r="E44" s="71">
        <f>E6-E42</f>
        <v/>
      </c>
      <c r="F44" s="72">
        <f>F6-F42</f>
        <v/>
      </c>
      <c r="G44" s="73">
        <f>G6-G42</f>
        <v/>
      </c>
      <c r="H44" s="73">
        <f>H6-H42</f>
        <v/>
      </c>
      <c r="I44" s="74">
        <f>I6-I42</f>
        <v/>
      </c>
      <c r="J44" s="75">
        <f>J6-J42</f>
        <v/>
      </c>
      <c r="K44" s="75">
        <f>K6-K42</f>
        <v/>
      </c>
      <c r="L44" s="76">
        <f>L6-L42</f>
        <v/>
      </c>
      <c r="M44" s="77">
        <f>M6-M42</f>
        <v/>
      </c>
      <c r="N44" s="78">
        <f>N6-N42</f>
        <v/>
      </c>
      <c r="O44" s="79">
        <f>O6-O42</f>
        <v/>
      </c>
      <c r="P44" s="71">
        <f>P6-P42</f>
        <v/>
      </c>
      <c r="Q44" s="71">
        <f>Q6-Q42</f>
        <v/>
      </c>
      <c r="R44" s="71">
        <f>R6-R42</f>
        <v/>
      </c>
      <c r="S44" s="72">
        <f>S6-S42</f>
        <v/>
      </c>
      <c r="T44" s="73">
        <f>T6-T42</f>
        <v/>
      </c>
      <c r="U44" s="73">
        <f>U6-U42</f>
        <v/>
      </c>
      <c r="V44" s="74">
        <f>V6-V42</f>
        <v/>
      </c>
      <c r="W44" s="75">
        <f>W6-W42</f>
        <v/>
      </c>
      <c r="X44" s="75">
        <f>X6-X42</f>
        <v/>
      </c>
      <c r="Y44" s="76">
        <f>Y6-Y42</f>
        <v/>
      </c>
      <c r="Z44" s="77">
        <f>Z6-Z42</f>
        <v/>
      </c>
      <c r="AA44" s="78">
        <f>AA6-AA42</f>
        <v/>
      </c>
      <c r="AB44" s="79">
        <f>AB6-AB42</f>
        <v/>
      </c>
      <c r="AC44" s="71">
        <f>AC6-AC42</f>
        <v/>
      </c>
      <c r="AD44" s="71">
        <f>AD6-AD42</f>
        <v/>
      </c>
      <c r="AE44" s="71">
        <f>AE6-AE42</f>
        <v/>
      </c>
      <c r="AF44" s="72">
        <f>AF6-AF42</f>
        <v/>
      </c>
      <c r="AG44" s="73">
        <f>AG6-AG42</f>
        <v/>
      </c>
      <c r="AH44" s="73">
        <f>AH6-AH42</f>
        <v/>
      </c>
      <c r="AI44" s="74">
        <f>AI6-AI42</f>
        <v/>
      </c>
      <c r="AJ44" s="75">
        <f>AJ6-AJ42</f>
        <v/>
      </c>
      <c r="AK44" s="75">
        <f>AK6-AK42</f>
        <v/>
      </c>
      <c r="AL44" s="76">
        <f>AL6-AL42</f>
        <v/>
      </c>
      <c r="AM44" s="77">
        <f>AM6-AM42</f>
        <v/>
      </c>
      <c r="AN44" s="78">
        <f>AN6-AN42</f>
        <v/>
      </c>
      <c r="AO44" s="79">
        <f>AO6-AO42</f>
        <v/>
      </c>
    </row>
    <row r="45" ht="14.25" customHeight="1" s="137"/>
    <row r="46" ht="14.25" customHeight="1" s="137"/>
    <row r="47" ht="14.25" customHeight="1" s="137"/>
    <row r="48" ht="14.25" customHeight="1" s="137">
      <c r="B48" s="5" t="inlineStr">
        <is>
          <t>Purchase Price</t>
        </is>
      </c>
      <c r="C48" s="80" t="n">
        <v>175250</v>
      </c>
    </row>
    <row r="49" ht="14.25" customHeight="1" s="137">
      <c r="B49" s="122" t="inlineStr">
        <is>
          <t>Interest Rate</t>
        </is>
      </c>
      <c r="C49" s="81" t="n">
        <v>0.0525</v>
      </c>
    </row>
    <row r="50" ht="14.25" customHeight="1" s="137">
      <c r="C50" s="81" t="n"/>
    </row>
    <row r="51" ht="14.25" customHeight="1" s="137">
      <c r="B51" s="5" t="inlineStr">
        <is>
          <t>Closing Costs</t>
        </is>
      </c>
      <c r="C51" s="88" t="n">
        <v>36984.13</v>
      </c>
    </row>
    <row r="52" ht="14.25" customHeight="1" s="137">
      <c r="C52" s="81" t="n"/>
    </row>
    <row r="53" ht="14.25" customHeight="1" s="137">
      <c r="B53" s="5" t="inlineStr">
        <is>
          <t>2022 Expenses</t>
        </is>
      </c>
    </row>
    <row r="54" ht="14.25" customHeight="1" s="137">
      <c r="B54" s="122" t="inlineStr">
        <is>
          <t>earnest money to seller</t>
        </is>
      </c>
      <c r="C54" s="122" t="n">
        <v>50000</v>
      </c>
    </row>
    <row r="55" ht="14.25" customHeight="1" s="137">
      <c r="B55" s="122" t="inlineStr">
        <is>
          <t>inspection to Bill</t>
        </is>
      </c>
      <c r="C55" s="122" t="n">
        <v>300</v>
      </c>
    </row>
    <row r="56" ht="14.25" customHeight="1" s="137">
      <c r="B56" s="122" t="inlineStr">
        <is>
          <t>deposit to Rocket Mortage, which will be applied to appraisal cost once ordered</t>
        </is>
      </c>
      <c r="C56" s="122" t="n">
        <v>500</v>
      </c>
    </row>
    <row r="57" ht="14.25" customHeight="1" s="137">
      <c r="B57" s="122" t="inlineStr">
        <is>
          <t>electrian estimate</t>
        </is>
      </c>
      <c r="C57" s="122" t="n">
        <v>100</v>
      </c>
    </row>
    <row r="58" ht="14.25" customHeight="1" s="137">
      <c r="B58" s="122" t="inlineStr">
        <is>
          <t>move in fees to HOA</t>
        </is>
      </c>
      <c r="C58" s="122" t="n">
        <v>350</v>
      </c>
    </row>
    <row r="59" ht="14.25" customHeight="1" s="137"/>
    <row r="60" ht="36" customHeight="1" s="137">
      <c r="B60" s="215" t="inlineStr">
        <is>
          <t>2025 (this column) — user cost list LOCKED 2026-09-20, last-year Excel pattern.</t>
        </is>
      </c>
    </row>
    <row r="61" ht="36" customHeight="1" s="137">
      <c r="B61" s="215" t="inlineStr">
        <is>
          <t>Rent — joint 0203 (Delach $1,450 + Ava $500; Joan $1,950 Dec + prepaid Jan). Vacant Oct + half Nov. Half-Nov $975 WAIT 8507.</t>
        </is>
      </c>
    </row>
    <row r="62" ht="48" customHeight="1" s="137">
      <c r="B62" s="215" t="inlineStr">
        <is>
          <t>Mortgage — user $1,226.25/mo. Cash 8507 Jul–Oct $1,226.25 / Nov–Dec $1,177.52 (green). Jan–Jun $1,226.25 yellow WAIT 8507 (not on Monarch). Sch E uses Rocket 1098 interest, not full P+I.</t>
        </is>
      </c>
    </row>
    <row r="63" ht="36" customHeight="1" s="137">
      <c r="B63" s="215" t="inlineStr">
        <is>
          <t>HOA — user $421.53/mo Santa Maria C326. Jun–Dec cash 8507 green. Jan–May $421.53 yellow WAIT 8507.</t>
        </is>
      </c>
    </row>
    <row r="64" ht="48" customHeight="1" s="137">
      <c r="B64" s="215" t="inlineStr">
        <is>
          <t>Insurance — Lemonade = 216 N. Oak Park #1Z (user: 216, not 524). $42.84/mo × 12 = $514.08 (cash $514.00 10/3 Megan Chase). Travelers + Geico = 524 Ferdinand (home / cars), not 216. Not 827 N Grove. Not tax advice.</t>
        </is>
      </c>
    </row>
    <row r="65" ht="36" customHeight="1" s="137">
      <c r="B65" s="215" t="inlineStr">
        <is>
          <t>Interior — Chris Brennan exterminator $150 8/7 (8507 check posted 8/18) INTERIOR Aug. Ace keys $11 12/8 Megan Chase INTERIOR Dec. Same-day Ace $17 not booked.</t>
        </is>
      </c>
    </row>
    <row r="66" ht="36" customHeight="1" s="137">
      <c r="B66" s="215" t="inlineStr">
        <is>
          <t>Interior repair — Joan $675 12/1 8507 Zelle painting + repairs → INTERIOR REPAIR December (2024 used this row for Oak Park painting).</t>
        </is>
      </c>
    </row>
    <row r="67" ht="36" customHeight="1" s="137">
      <c r="B67" s="215" t="inlineStr">
        <is>
          <t>Move-out — Imelda $300 empty-apt. User 9/30; cash 10/1 joint 0203 → MOVE OUT FEE October (same month as 2023/24 $200). Other 2025 Imelda $150s not on 216.</t>
        </is>
      </c>
    </row>
    <row r="68" ht="36" customHeight="1" s="137">
      <c r="B68" s="219" t="inlineStr">
        <is>
          <t>Smoke detector Amazon — still ASK (checklist TBD). No Kidde/First Alert/detector SKU on Monarch/Prime/Sapphire/BoA. EQUIPMENT yellow $0. Not tax advice.</t>
        </is>
      </c>
    </row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1">
    <mergeCell ref="C1:O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ColWidth="14.43" defaultRowHeight="15" customHeight="1"/>
  <cols>
    <col width="28.71" customWidth="1" style="137" min="1" max="1"/>
    <col width="10.86" customWidth="1" style="137" min="2" max="3"/>
    <col width="9.289999999999999" customWidth="1" style="137" min="4" max="4"/>
    <col width="10.86" customWidth="1" style="137" min="5" max="5"/>
    <col width="10.14" customWidth="1" style="137" min="6" max="6"/>
    <col width="11.14" customWidth="1" style="137" min="7" max="8"/>
    <col width="10.86" customWidth="1" style="137" min="9" max="9"/>
    <col width="11.86" customWidth="1" style="137" min="10" max="10"/>
    <col width="10.86" customWidth="1" style="137" min="11" max="11"/>
    <col width="11.14" customWidth="1" style="137" min="12" max="12"/>
    <col width="10.14" customWidth="1" style="137" min="13" max="13"/>
    <col width="11.14" customWidth="1" style="137" min="14" max="14"/>
    <col width="8.710000000000001" customWidth="1" style="137" min="15" max="26"/>
  </cols>
  <sheetData>
    <row r="1" ht="14.25" customHeight="1" s="137">
      <c r="A1" s="82" t="n">
        <v>2023</v>
      </c>
    </row>
    <row r="2" ht="14.25" customHeight="1" s="137">
      <c r="A2" s="12" t="inlineStr">
        <is>
          <t>INCOME</t>
        </is>
      </c>
      <c r="B2" s="83" t="inlineStr">
        <is>
          <t>JAN</t>
        </is>
      </c>
      <c r="C2" s="83" t="inlineStr">
        <is>
          <t>FEB</t>
        </is>
      </c>
      <c r="D2" s="83" t="inlineStr">
        <is>
          <t>MAR</t>
        </is>
      </c>
      <c r="E2" s="83" t="inlineStr">
        <is>
          <t>APR</t>
        </is>
      </c>
      <c r="F2" s="83" t="inlineStr">
        <is>
          <t>MAY</t>
        </is>
      </c>
      <c r="G2" s="83" t="inlineStr">
        <is>
          <t>JUN</t>
        </is>
      </c>
      <c r="H2" s="83" t="inlineStr">
        <is>
          <t>JUL</t>
        </is>
      </c>
      <c r="I2" s="83" t="inlineStr">
        <is>
          <t>AUG</t>
        </is>
      </c>
      <c r="J2" s="83" t="inlineStr">
        <is>
          <t>SEP</t>
        </is>
      </c>
      <c r="K2" s="83" t="inlineStr">
        <is>
          <t>OCT</t>
        </is>
      </c>
      <c r="L2" s="83" t="inlineStr">
        <is>
          <t>NOV</t>
        </is>
      </c>
      <c r="M2" s="83" t="inlineStr">
        <is>
          <t>DEC</t>
        </is>
      </c>
      <c r="N2" s="83" t="inlineStr">
        <is>
          <t>YEARLY</t>
        </is>
      </c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 ht="14.25" customHeight="1" s="137">
      <c r="A3" s="122" t="inlineStr">
        <is>
          <t>Art Sales</t>
        </is>
      </c>
      <c r="B3" s="88" t="n"/>
      <c r="C3" s="88" t="n"/>
      <c r="D3" s="88" t="n"/>
      <c r="E3" s="88" t="n"/>
      <c r="F3" s="88" t="n">
        <v>8135.65</v>
      </c>
      <c r="G3" s="88" t="n">
        <v>11661.5</v>
      </c>
      <c r="H3" s="88" t="n">
        <v>50000</v>
      </c>
      <c r="I3" s="88" t="n"/>
      <c r="J3" s="88" t="n">
        <v>400</v>
      </c>
      <c r="K3" s="88" t="n"/>
      <c r="L3" s="88" t="n">
        <v>10700</v>
      </c>
      <c r="M3" s="88" t="n">
        <v>3040</v>
      </c>
      <c r="N3" s="88">
        <f>SUM(B3:M3)</f>
        <v/>
      </c>
    </row>
    <row r="4" ht="14.25" customHeight="1" s="137">
      <c r="A4" s="122" t="inlineStr">
        <is>
          <t>Consultant</t>
        </is>
      </c>
      <c r="N4" s="122">
        <f>SUM(B4:M4)</f>
        <v/>
      </c>
    </row>
    <row r="5" ht="14.25" customHeight="1" s="137">
      <c r="A5" s="122" t="inlineStr">
        <is>
          <t>Total</t>
        </is>
      </c>
      <c r="B5" s="88">
        <f>SUM(B3:B4)</f>
        <v/>
      </c>
      <c r="C5" s="88">
        <f>SUM(C3:C4)</f>
        <v/>
      </c>
      <c r="D5" s="88">
        <f>SUM(D3:D4)</f>
        <v/>
      </c>
      <c r="E5" s="88">
        <f>SUM(E3:E4)</f>
        <v/>
      </c>
      <c r="F5" s="88">
        <f>SUM(F3:F4)</f>
        <v/>
      </c>
      <c r="G5" s="88">
        <f>SUM(G3:G4)</f>
        <v/>
      </c>
      <c r="H5" s="88">
        <f>SUM(H3:H4)</f>
        <v/>
      </c>
      <c r="I5" s="88">
        <f>SUM(I3:I4)</f>
        <v/>
      </c>
      <c r="J5" s="88">
        <f>SUM(J3:J4)</f>
        <v/>
      </c>
      <c r="K5" s="88">
        <f>SUM(K3:K4)</f>
        <v/>
      </c>
      <c r="L5" s="88">
        <f>SUM(L3:L4)</f>
        <v/>
      </c>
      <c r="M5" s="88">
        <f>SUM(M3:M4)</f>
        <v/>
      </c>
      <c r="N5" s="88">
        <f>SUM(N3:N4)</f>
        <v/>
      </c>
    </row>
    <row r="6" ht="14.25" customHeight="1" s="137">
      <c r="B6" s="88" t="n"/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</row>
    <row r="7" ht="14.25" customHeight="1" s="137">
      <c r="A7" s="85" t="inlineStr">
        <is>
          <t>EXPENSES</t>
        </is>
      </c>
      <c r="B7" s="83" t="inlineStr">
        <is>
          <t>JAN</t>
        </is>
      </c>
      <c r="C7" s="83" t="inlineStr">
        <is>
          <t>FEB</t>
        </is>
      </c>
      <c r="D7" s="83" t="inlineStr">
        <is>
          <t>MAR</t>
        </is>
      </c>
      <c r="E7" s="83" t="inlineStr">
        <is>
          <t>APR</t>
        </is>
      </c>
      <c r="F7" s="83" t="inlineStr">
        <is>
          <t>MAY</t>
        </is>
      </c>
      <c r="G7" s="83" t="inlineStr">
        <is>
          <t>JUN</t>
        </is>
      </c>
      <c r="H7" s="83" t="inlineStr">
        <is>
          <t>JUL</t>
        </is>
      </c>
      <c r="I7" s="83" t="inlineStr">
        <is>
          <t>AUG</t>
        </is>
      </c>
      <c r="J7" s="83" t="inlineStr">
        <is>
          <t>SEP</t>
        </is>
      </c>
      <c r="K7" s="83" t="inlineStr">
        <is>
          <t>OCT</t>
        </is>
      </c>
      <c r="L7" s="83" t="inlineStr">
        <is>
          <t>NOV</t>
        </is>
      </c>
      <c r="M7" s="83" t="inlineStr">
        <is>
          <t>DEC</t>
        </is>
      </c>
      <c r="N7" s="83" t="inlineStr">
        <is>
          <t>YEARLY</t>
        </is>
      </c>
    </row>
    <row r="8" ht="14.25" customHeight="1" s="137">
      <c r="A8" s="122" t="inlineStr">
        <is>
          <t>Supplies (office and operating)</t>
        </is>
      </c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>
        <f>SUM(B8:M8)</f>
        <v/>
      </c>
    </row>
    <row r="9" ht="14.25" customHeight="1" s="137">
      <c r="A9" s="122" t="inlineStr">
        <is>
          <t>Office Construction</t>
        </is>
      </c>
      <c r="B9" s="88" t="n"/>
      <c r="C9" s="88" t="n"/>
      <c r="D9" s="88" t="n"/>
      <c r="E9" s="88" t="n"/>
      <c r="F9" s="88" t="n"/>
      <c r="G9" s="88" t="n"/>
      <c r="H9" s="88" t="n"/>
      <c r="I9" s="88" t="n"/>
      <c r="J9" s="88" t="n">
        <v>13750</v>
      </c>
      <c r="K9" s="88" t="n"/>
      <c r="L9" s="88" t="n"/>
      <c r="M9" s="88" t="n"/>
      <c r="N9" s="88">
        <f>SUM(B9:M9)</f>
        <v/>
      </c>
    </row>
    <row r="10" ht="14.25" customHeight="1" s="137">
      <c r="A10" s="122" t="inlineStr">
        <is>
          <t xml:space="preserve">Office Interior </t>
        </is>
      </c>
      <c r="B10" s="88" t="n"/>
      <c r="C10" s="88" t="n"/>
      <c r="D10" s="88" t="n"/>
      <c r="E10" s="88" t="n"/>
      <c r="F10" s="88" t="n"/>
      <c r="G10" s="88" t="n"/>
      <c r="H10" s="88" t="n"/>
      <c r="I10" s="88" t="n">
        <v>426.52</v>
      </c>
      <c r="J10" s="88" t="n">
        <v>87.98999999999999</v>
      </c>
      <c r="K10" s="88" t="n">
        <v>87.78</v>
      </c>
      <c r="L10" s="88" t="n"/>
      <c r="M10" s="88" t="n"/>
      <c r="N10" s="88">
        <f>SUM(B10:M10)</f>
        <v/>
      </c>
    </row>
    <row r="11" ht="14.25" customHeight="1" s="137">
      <c r="A11" s="122" t="inlineStr">
        <is>
          <t>Office Furniture</t>
        </is>
      </c>
      <c r="B11" s="88" t="n"/>
      <c r="C11" s="88" t="n"/>
      <c r="D11" s="88" t="n"/>
      <c r="E11" s="88" t="n"/>
      <c r="F11" s="88" t="n"/>
      <c r="G11" s="88" t="n"/>
      <c r="H11" s="88" t="n"/>
      <c r="I11" s="88" t="n">
        <v>461</v>
      </c>
      <c r="J11" s="88" t="n"/>
      <c r="K11" s="88" t="n">
        <v>1799.5</v>
      </c>
      <c r="L11" s="88" t="n">
        <v>82.68000000000001</v>
      </c>
      <c r="M11" s="88" t="n"/>
      <c r="N11" s="88">
        <f>SUM(B11:M11)</f>
        <v/>
      </c>
    </row>
    <row r="12" ht="14.25" customHeight="1" s="137">
      <c r="A12" s="122" t="inlineStr">
        <is>
          <t>Repairs and maintenance</t>
        </is>
      </c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>
        <f>SUM(B12:M12)</f>
        <v/>
      </c>
    </row>
    <row r="13" ht="14.25" customHeight="1" s="137">
      <c r="A13" s="122" t="inlineStr">
        <is>
          <t>Advertising</t>
        </is>
      </c>
      <c r="B13" s="88" t="n">
        <v>15</v>
      </c>
      <c r="C13" s="88" t="n">
        <v>15</v>
      </c>
      <c r="D13" s="88" t="n">
        <v>15</v>
      </c>
      <c r="E13" s="88" t="n">
        <v>15</v>
      </c>
      <c r="F13" s="88" t="n">
        <v>15</v>
      </c>
      <c r="G13" s="88" t="n">
        <v>15</v>
      </c>
      <c r="H13" s="88" t="n">
        <v>15</v>
      </c>
      <c r="I13" s="88" t="n">
        <v>15</v>
      </c>
      <c r="J13" s="88" t="n">
        <v>15</v>
      </c>
      <c r="K13" s="88" t="n">
        <v>15</v>
      </c>
      <c r="L13" s="88" t="n">
        <v>15</v>
      </c>
      <c r="M13" s="88" t="n">
        <v>15</v>
      </c>
      <c r="N13" s="88">
        <f>SUM(B13:M13)</f>
        <v/>
      </c>
    </row>
    <row r="14" ht="14.25" customHeight="1" s="137">
      <c r="A14" s="122" t="inlineStr">
        <is>
          <t>Travel, Meals, and Entertainment</t>
        </is>
      </c>
      <c r="B14" s="88" t="n"/>
      <c r="C14" s="88" t="n">
        <v>1185.36</v>
      </c>
      <c r="D14" s="88" t="n"/>
      <c r="E14" s="88" t="n">
        <v>1113.09</v>
      </c>
      <c r="F14" s="88" t="n"/>
      <c r="G14" s="88" t="n"/>
      <c r="H14" s="88" t="n">
        <v>50</v>
      </c>
      <c r="I14" s="88" t="n"/>
      <c r="J14" s="88" t="n">
        <v>1351.31</v>
      </c>
      <c r="K14" s="88" t="n"/>
      <c r="L14" s="88" t="n">
        <v>1283.75</v>
      </c>
      <c r="M14" s="88" t="n"/>
      <c r="N14" s="88">
        <f>SUM(B14:M14)</f>
        <v/>
      </c>
    </row>
    <row r="15" ht="14.25" customHeight="1" s="137">
      <c r="A15" s="122" t="inlineStr">
        <is>
          <t>Accounting and legal</t>
        </is>
      </c>
      <c r="B15" s="88" t="n">
        <v>228</v>
      </c>
      <c r="C15" s="88" t="n">
        <v>20</v>
      </c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>
        <f>SUM(B15:M15)</f>
        <v/>
      </c>
    </row>
    <row r="16" ht="14.25" customHeight="1" s="137">
      <c r="A16" s="122" t="inlineStr">
        <is>
          <t>Cellphone and Internet</t>
        </is>
      </c>
      <c r="B16" s="88" t="n">
        <v>77.45</v>
      </c>
      <c r="C16" s="88" t="n">
        <v>77.45</v>
      </c>
      <c r="D16" s="88" t="n">
        <v>77.45</v>
      </c>
      <c r="E16" s="88" t="n">
        <v>77.45</v>
      </c>
      <c r="F16" s="88" t="n">
        <v>77.45</v>
      </c>
      <c r="G16" s="88" t="n">
        <v>77.45</v>
      </c>
      <c r="H16" s="88" t="n">
        <v>77.45</v>
      </c>
      <c r="I16" s="88" t="n">
        <v>77.45</v>
      </c>
      <c r="J16" s="88" t="n">
        <v>77.45</v>
      </c>
      <c r="K16" s="88" t="n">
        <v>77.45</v>
      </c>
      <c r="L16" s="88" t="n">
        <v>77.45</v>
      </c>
      <c r="M16" s="88" t="n">
        <v>77.45</v>
      </c>
      <c r="N16" s="88">
        <f>SUM(B16:M16)</f>
        <v/>
      </c>
    </row>
    <row r="17" ht="14.25" customHeight="1" s="137">
      <c r="A17" s="122" t="inlineStr">
        <is>
          <t>Software Fees</t>
        </is>
      </c>
      <c r="B17" s="88" t="n">
        <v>53</v>
      </c>
      <c r="C17" s="88" t="n">
        <v>53</v>
      </c>
      <c r="D17" s="88" t="n">
        <v>53</v>
      </c>
      <c r="E17" s="88" t="n">
        <v>53</v>
      </c>
      <c r="F17" s="88" t="n">
        <v>53</v>
      </c>
      <c r="G17" s="88" t="n">
        <v>53</v>
      </c>
      <c r="H17" s="88" t="n">
        <v>53</v>
      </c>
      <c r="I17" s="88" t="n">
        <v>53</v>
      </c>
      <c r="J17" s="88" t="n">
        <v>53</v>
      </c>
      <c r="K17" s="88" t="n">
        <v>53</v>
      </c>
      <c r="L17" s="88" t="n">
        <v>53</v>
      </c>
      <c r="M17" s="88" t="n">
        <v>53</v>
      </c>
      <c r="N17" s="88">
        <f>SUM(B17:M17)</f>
        <v/>
      </c>
    </row>
    <row r="18" ht="14.25" customHeight="1" s="137">
      <c r="A18" s="122" t="inlineStr">
        <is>
          <t>Tech</t>
        </is>
      </c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>
        <v>77.16</v>
      </c>
      <c r="K18" s="88" t="n">
        <v>384.99</v>
      </c>
      <c r="L18" s="88" t="n"/>
      <c r="M18" s="88" t="n"/>
      <c r="N18" s="88">
        <f>SUM(B18:M18)</f>
        <v/>
      </c>
    </row>
    <row r="19" ht="14.25" customHeight="1" s="137">
      <c r="A19" s="122" t="inlineStr">
        <is>
          <t>Art Library</t>
        </is>
      </c>
      <c r="B19" s="88" t="n">
        <v>5025.37</v>
      </c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>
        <f>SUM(B19:M19)</f>
        <v/>
      </c>
    </row>
    <row r="20" ht="14.25" customHeight="1" s="137">
      <c r="A20" s="122" t="inlineStr">
        <is>
          <t>Utilities</t>
        </is>
      </c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>
        <f>SUM(B20:M20)</f>
        <v/>
      </c>
    </row>
    <row r="21" ht="14.25" customHeight="1" s="137">
      <c r="A21" s="122" t="inlineStr">
        <is>
          <t>Insurance</t>
        </is>
      </c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>
        <f>SUM(B21:M21)</f>
        <v/>
      </c>
    </row>
    <row r="22" ht="14.25" customHeight="1" s="137">
      <c r="A22" s="5" t="inlineStr">
        <is>
          <t>TOTAL EXPENSES</t>
        </is>
      </c>
      <c r="B22" s="86">
        <f>SUM(B8:B21)</f>
        <v/>
      </c>
      <c r="C22" s="86">
        <f>SUM(C8:C21)</f>
        <v/>
      </c>
      <c r="D22" s="86">
        <f>SUM(D8:D21)</f>
        <v/>
      </c>
      <c r="E22" s="86">
        <f>SUM(E8:E21)</f>
        <v/>
      </c>
      <c r="F22" s="86">
        <f>SUM(F8:F21)</f>
        <v/>
      </c>
      <c r="G22" s="86">
        <f>SUM(G8:G21)</f>
        <v/>
      </c>
      <c r="H22" s="86">
        <f>SUM(H8:H21)</f>
        <v/>
      </c>
      <c r="I22" s="86">
        <f>SUM(I8:I21)</f>
        <v/>
      </c>
      <c r="J22" s="86">
        <f>SUM(J8:J21)</f>
        <v/>
      </c>
      <c r="K22" s="86">
        <f>SUM(K8:K21)</f>
        <v/>
      </c>
      <c r="L22" s="86">
        <f>SUM(L8:L21)</f>
        <v/>
      </c>
      <c r="M22" s="86">
        <f>SUM(M8:M21)</f>
        <v/>
      </c>
      <c r="N22" s="86">
        <f>SUM(N8:N21)</f>
        <v/>
      </c>
    </row>
    <row r="23" ht="14.25" customHeight="1" s="137"/>
    <row r="24" ht="14.25" customHeight="1" s="137">
      <c r="A24" s="12" t="inlineStr">
        <is>
          <t>YEAR TO DATE LESS EXPENSES</t>
        </is>
      </c>
      <c r="B24" s="87">
        <f>SUM(B5-B22)</f>
        <v/>
      </c>
      <c r="C24" s="87">
        <f>SUM(C5-C22)</f>
        <v/>
      </c>
      <c r="D24" s="87">
        <f>SUM(D5-D22)</f>
        <v/>
      </c>
      <c r="E24" s="87">
        <f>SUM(E5-E22)</f>
        <v/>
      </c>
      <c r="F24" s="87">
        <f>SUM(F5-F22)</f>
        <v/>
      </c>
      <c r="G24" s="87">
        <f>SUM(G5-G22)</f>
        <v/>
      </c>
      <c r="H24" s="87">
        <f>SUM(H5-H22)</f>
        <v/>
      </c>
      <c r="I24" s="87">
        <f>SUM(I5-I22)</f>
        <v/>
      </c>
      <c r="J24" s="87">
        <f>SUM(J5-J22)</f>
        <v/>
      </c>
      <c r="K24" s="87">
        <f>SUM(K5-K22)</f>
        <v/>
      </c>
      <c r="L24" s="87">
        <f>SUM(L5-L22)</f>
        <v/>
      </c>
      <c r="M24" s="87">
        <f>SUM(M5-M22)</f>
        <v/>
      </c>
      <c r="N24" s="87">
        <f>SUM(N5-N22)</f>
        <v/>
      </c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 ht="14.25" customHeight="1" s="137"/>
    <row r="26" ht="14.25" customHeight="1" s="137">
      <c r="A26" s="82" t="n">
        <v>2024</v>
      </c>
    </row>
    <row r="27" ht="14.25" customHeight="1" s="137">
      <c r="A27" s="12" t="inlineStr">
        <is>
          <t>INCOME</t>
        </is>
      </c>
      <c r="B27" s="83" t="inlineStr">
        <is>
          <t>JAN</t>
        </is>
      </c>
      <c r="C27" s="83" t="inlineStr">
        <is>
          <t>FEB</t>
        </is>
      </c>
      <c r="D27" s="83" t="inlineStr">
        <is>
          <t>MAR</t>
        </is>
      </c>
      <c r="E27" s="83" t="inlineStr">
        <is>
          <t>APR</t>
        </is>
      </c>
      <c r="F27" s="83" t="inlineStr">
        <is>
          <t>MAY</t>
        </is>
      </c>
      <c r="G27" s="83" t="inlineStr">
        <is>
          <t>JUN</t>
        </is>
      </c>
      <c r="H27" s="83" t="inlineStr">
        <is>
          <t>JUL</t>
        </is>
      </c>
      <c r="I27" s="83" t="inlineStr">
        <is>
          <t>AUG</t>
        </is>
      </c>
      <c r="J27" s="83" t="inlineStr">
        <is>
          <t>SEP</t>
        </is>
      </c>
      <c r="K27" s="83" t="inlineStr">
        <is>
          <t>OCT</t>
        </is>
      </c>
      <c r="L27" s="83" t="inlineStr">
        <is>
          <t>NOV</t>
        </is>
      </c>
      <c r="M27" s="83" t="inlineStr">
        <is>
          <t>DEC</t>
        </is>
      </c>
      <c r="N27" s="83" t="inlineStr">
        <is>
          <t>YEARLY</t>
        </is>
      </c>
    </row>
    <row r="28" ht="14.25" customHeight="1" s="137">
      <c r="A28" s="122" t="inlineStr">
        <is>
          <t>Art Sales</t>
        </is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>
        <v>26294.06</v>
      </c>
    </row>
    <row r="29" ht="14.25" customHeight="1" s="137">
      <c r="A29" s="122" t="inlineStr">
        <is>
          <t>Consultant</t>
        </is>
      </c>
      <c r="N29" s="122">
        <f>SUM(B29:M29)</f>
        <v/>
      </c>
    </row>
    <row r="30" ht="14.25" customHeight="1" s="137">
      <c r="A30" s="122" t="inlineStr">
        <is>
          <t>Total</t>
        </is>
      </c>
      <c r="B30" s="88">
        <f>SUM(B28:B29)</f>
        <v/>
      </c>
      <c r="C30" s="88">
        <f>SUM(C28:C29)</f>
        <v/>
      </c>
      <c r="D30" s="88">
        <f>SUM(D28:D29)</f>
        <v/>
      </c>
      <c r="E30" s="88">
        <f>SUM(E28:E29)</f>
        <v/>
      </c>
      <c r="F30" s="88">
        <f>SUM(F28:F29)</f>
        <v/>
      </c>
      <c r="G30" s="88">
        <f>SUM(G28:G29)</f>
        <v/>
      </c>
      <c r="H30" s="88">
        <f>SUM(H28:H29)</f>
        <v/>
      </c>
      <c r="I30" s="88">
        <f>SUM(I28:I29)</f>
        <v/>
      </c>
      <c r="J30" s="88">
        <f>SUM(J28:J29)</f>
        <v/>
      </c>
      <c r="K30" s="88">
        <f>SUM(K28:K29)</f>
        <v/>
      </c>
      <c r="L30" s="88">
        <f>SUM(L28:L29)</f>
        <v/>
      </c>
      <c r="M30" s="88">
        <f>SUM(M28:M29)</f>
        <v/>
      </c>
      <c r="N30" s="88">
        <f>SUM(N28:N29)</f>
        <v/>
      </c>
    </row>
    <row r="31" ht="14.25" customHeight="1" s="137"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</row>
    <row r="32" ht="14.25" customHeight="1" s="137">
      <c r="A32" s="85" t="inlineStr">
        <is>
          <t>EXPENSES</t>
        </is>
      </c>
      <c r="B32" s="83" t="inlineStr">
        <is>
          <t>JAN</t>
        </is>
      </c>
      <c r="C32" s="83" t="inlineStr">
        <is>
          <t>FEB</t>
        </is>
      </c>
      <c r="D32" s="83" t="inlineStr">
        <is>
          <t>MAR</t>
        </is>
      </c>
      <c r="E32" s="83" t="inlineStr">
        <is>
          <t>APR</t>
        </is>
      </c>
      <c r="F32" s="83" t="inlineStr">
        <is>
          <t>MAY</t>
        </is>
      </c>
      <c r="G32" s="83" t="inlineStr">
        <is>
          <t>JUN</t>
        </is>
      </c>
      <c r="H32" s="83" t="inlineStr">
        <is>
          <t>JUL</t>
        </is>
      </c>
      <c r="I32" s="83" t="inlineStr">
        <is>
          <t>AUG</t>
        </is>
      </c>
      <c r="J32" s="83" t="inlineStr">
        <is>
          <t>SEP</t>
        </is>
      </c>
      <c r="K32" s="83" t="inlineStr">
        <is>
          <t>OCT</t>
        </is>
      </c>
      <c r="L32" s="83" t="inlineStr">
        <is>
          <t>NOV</t>
        </is>
      </c>
      <c r="M32" s="83" t="inlineStr">
        <is>
          <t>DEC</t>
        </is>
      </c>
      <c r="N32" s="83" t="inlineStr">
        <is>
          <t>YEARLY</t>
        </is>
      </c>
    </row>
    <row r="33" ht="14.25" customHeight="1" s="137">
      <c r="A33" s="122" t="inlineStr">
        <is>
          <t>Supplies (office and operating)</t>
        </is>
      </c>
      <c r="B33" s="88" t="n">
        <v>13.59</v>
      </c>
      <c r="C33" s="88" t="n">
        <v>5.94</v>
      </c>
      <c r="D33" s="88" t="n">
        <v>31.89</v>
      </c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>
        <f>SUM(B33:M33)</f>
        <v/>
      </c>
    </row>
    <row r="34" ht="14.25" customHeight="1" s="137">
      <c r="A34" s="122" t="inlineStr">
        <is>
          <t>Office Construction</t>
        </is>
      </c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>
        <f>SUM(B34:M34)</f>
        <v/>
      </c>
    </row>
    <row r="35" ht="14.25" customHeight="1" s="137">
      <c r="A35" s="122" t="inlineStr">
        <is>
          <t xml:space="preserve">Office Interior </t>
        </is>
      </c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>
        <f>SUM(B35:M35)</f>
        <v/>
      </c>
    </row>
    <row r="36" ht="14.25" customHeight="1" s="137">
      <c r="A36" s="122" t="inlineStr">
        <is>
          <t>Office Furniture</t>
        </is>
      </c>
      <c r="B36" s="88" t="n"/>
      <c r="C36" s="88" t="n"/>
      <c r="D36" s="88" t="n"/>
      <c r="E36" s="88" t="n"/>
      <c r="F36" s="88" t="n"/>
      <c r="G36" s="88" t="n">
        <v>263.98</v>
      </c>
      <c r="H36" s="88" t="n">
        <v>165</v>
      </c>
      <c r="I36" s="88" t="n"/>
      <c r="J36" s="88" t="n"/>
      <c r="K36" s="88" t="n"/>
      <c r="L36" s="88" t="n"/>
      <c r="M36" s="88" t="n"/>
      <c r="N36" s="88">
        <f>SUM(B36:M36)</f>
        <v/>
      </c>
    </row>
    <row r="37" ht="14.25" customHeight="1" s="137">
      <c r="A37" s="122" t="inlineStr">
        <is>
          <t>Repairs and maintenance</t>
        </is>
      </c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>
        <f>SUM(B37:M37)</f>
        <v/>
      </c>
    </row>
    <row r="38" ht="14.25" customHeight="1" s="137">
      <c r="A38" s="122" t="inlineStr">
        <is>
          <t>Advertising</t>
        </is>
      </c>
      <c r="B38" s="88" t="n"/>
      <c r="C38" s="88" t="n"/>
      <c r="D38" s="88" t="n">
        <v>60</v>
      </c>
      <c r="E38" s="88" t="n">
        <v>164.86</v>
      </c>
      <c r="F38" s="88" t="n">
        <v>34.91</v>
      </c>
      <c r="G38" s="88" t="n"/>
      <c r="H38" s="88" t="n"/>
      <c r="I38" s="88" t="n"/>
      <c r="J38" s="88" t="n"/>
      <c r="K38" s="88" t="n"/>
      <c r="L38" s="88" t="n"/>
      <c r="M38" s="88" t="n"/>
      <c r="N38" s="88">
        <f>SUM(B38:M38)</f>
        <v/>
      </c>
    </row>
    <row r="39" ht="14.25" customHeight="1" s="137">
      <c r="A39" s="122" t="inlineStr">
        <is>
          <t>Travel, Meals, and Entertainment</t>
        </is>
      </c>
      <c r="B39" s="88" t="n"/>
      <c r="C39" s="88" t="n">
        <v>1169.05</v>
      </c>
      <c r="D39" s="88" t="n"/>
      <c r="E39" s="88" t="n">
        <v>1613.5</v>
      </c>
      <c r="F39" s="88" t="n"/>
      <c r="G39" s="88" t="n"/>
      <c r="H39" s="88" t="n"/>
      <c r="I39" s="88" t="n"/>
      <c r="J39" s="88" t="n">
        <v>923.42</v>
      </c>
      <c r="K39" s="88" t="n"/>
      <c r="L39" s="88" t="n">
        <v>1059.45</v>
      </c>
      <c r="M39" s="88" t="n"/>
      <c r="N39" s="88">
        <f>SUM(B39:M39)</f>
        <v/>
      </c>
    </row>
    <row r="40" ht="14.25" customHeight="1" s="137">
      <c r="A40" s="122" t="inlineStr">
        <is>
          <t>Accounting and legal</t>
        </is>
      </c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>
        <f>SUM(B40:M40)</f>
        <v/>
      </c>
    </row>
    <row r="41" ht="14.25" customHeight="1" s="137">
      <c r="A41" s="122" t="inlineStr">
        <is>
          <t>Cellphone and Internet</t>
        </is>
      </c>
      <c r="B41" s="88" t="n">
        <v>77.66</v>
      </c>
      <c r="C41" s="88" t="n">
        <v>77.45</v>
      </c>
      <c r="D41" s="88" t="n">
        <v>77.45</v>
      </c>
      <c r="E41" s="88" t="n">
        <v>77.43000000000001</v>
      </c>
      <c r="F41" s="88" t="n">
        <v>77.43000000000001</v>
      </c>
      <c r="G41" s="88" t="n">
        <v>162.86</v>
      </c>
      <c r="H41" s="88" t="n">
        <v>267.46</v>
      </c>
      <c r="I41" s="88" t="n">
        <v>88.54000000000001</v>
      </c>
      <c r="J41" s="88" t="n">
        <v>88.72</v>
      </c>
      <c r="K41" s="88" t="n">
        <v>93.61</v>
      </c>
      <c r="L41" s="88" t="n">
        <v>111.83</v>
      </c>
      <c r="M41" s="88" t="n">
        <v>106.67</v>
      </c>
      <c r="N41" s="88">
        <f>SUM(B41:M41)</f>
        <v/>
      </c>
    </row>
    <row r="42" ht="14.25" customHeight="1" s="137">
      <c r="A42" s="122" t="inlineStr">
        <is>
          <t>Software Fees</t>
        </is>
      </c>
      <c r="B42" s="88" t="n">
        <v>30</v>
      </c>
      <c r="C42" s="88" t="n">
        <v>30</v>
      </c>
      <c r="D42" s="88" t="n">
        <v>30</v>
      </c>
      <c r="E42" s="88" t="n">
        <v>30</v>
      </c>
      <c r="F42" s="88" t="n">
        <v>30</v>
      </c>
      <c r="G42" s="88" t="n">
        <v>30</v>
      </c>
      <c r="H42" s="88" t="n">
        <v>30</v>
      </c>
      <c r="I42" s="88" t="n">
        <v>30</v>
      </c>
      <c r="J42" s="88" t="n">
        <v>30</v>
      </c>
      <c r="K42" s="88" t="n">
        <v>50</v>
      </c>
      <c r="L42" s="88" t="n">
        <v>50</v>
      </c>
      <c r="M42" s="88" t="n">
        <v>50</v>
      </c>
      <c r="N42" s="88">
        <f>SUM(B42:M42)</f>
        <v/>
      </c>
    </row>
    <row r="43" ht="14.25" customHeight="1" s="137">
      <c r="A43" s="122" t="inlineStr">
        <is>
          <t>Tech</t>
        </is>
      </c>
      <c r="B43" s="88" t="n"/>
      <c r="C43" s="88" t="n"/>
      <c r="D43" s="88" t="n"/>
      <c r="E43" s="88" t="n">
        <v>20</v>
      </c>
      <c r="F43" s="88" t="n">
        <v>192</v>
      </c>
      <c r="G43" s="88" t="n"/>
      <c r="H43" s="88" t="n"/>
      <c r="I43" s="88" t="n"/>
      <c r="J43" s="88" t="n"/>
      <c r="K43" s="88" t="n"/>
      <c r="L43" s="88" t="n">
        <v>628.59</v>
      </c>
      <c r="M43" s="88" t="n"/>
      <c r="N43" s="88">
        <f>SUM(B43:M43)</f>
        <v/>
      </c>
    </row>
    <row r="44" ht="14.25" customHeight="1" s="137">
      <c r="A44" s="122" t="inlineStr">
        <is>
          <t>Consultant Fees</t>
        </is>
      </c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>
        <v>316.5</v>
      </c>
      <c r="K44" s="88" t="n"/>
      <c r="L44" s="88" t="n"/>
      <c r="M44" s="88" t="n"/>
      <c r="N44" s="88">
        <f>SUM(B44:M44)</f>
        <v/>
      </c>
    </row>
    <row r="45" ht="14.25" customHeight="1" s="137">
      <c r="A45" s="122" t="inlineStr">
        <is>
          <t>Art Library</t>
        </is>
      </c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>
        <v>197.44</v>
      </c>
      <c r="N45" s="88">
        <f>SUM(B45:M45)</f>
        <v/>
      </c>
    </row>
    <row r="46" ht="14.25" customHeight="1" s="137">
      <c r="A46" s="122" t="inlineStr">
        <is>
          <t>Utilities</t>
        </is>
      </c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>
        <f>SUM(B46:M46)</f>
        <v/>
      </c>
    </row>
    <row r="47" ht="14.25" customHeight="1" s="137">
      <c r="A47" s="122" t="inlineStr">
        <is>
          <t>Insurance</t>
        </is>
      </c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>
        <f>SUM(B47:M47)</f>
        <v/>
      </c>
    </row>
    <row r="48" ht="14.25" customHeight="1" s="137">
      <c r="A48" s="5" t="inlineStr">
        <is>
          <t>TOTAL EXPENSES</t>
        </is>
      </c>
      <c r="B48" s="86">
        <f>SUM(B33:B47)</f>
        <v/>
      </c>
      <c r="C48" s="86">
        <f>SUM(C33:C47)</f>
        <v/>
      </c>
      <c r="D48" s="86">
        <f>SUM(D33:D47)</f>
        <v/>
      </c>
      <c r="E48" s="86">
        <f>SUM(E33:E47)</f>
        <v/>
      </c>
      <c r="F48" s="86">
        <f>SUM(F33:F47)</f>
        <v/>
      </c>
      <c r="G48" s="86">
        <f>SUM(G33:G47)</f>
        <v/>
      </c>
      <c r="H48" s="86">
        <f>SUM(H33:H47)</f>
        <v/>
      </c>
      <c r="I48" s="86">
        <f>SUM(I33:I47)</f>
        <v/>
      </c>
      <c r="J48" s="86">
        <f>SUM(J33:J47)</f>
        <v/>
      </c>
      <c r="K48" s="86">
        <f>SUM(K33:K47)</f>
        <v/>
      </c>
      <c r="L48" s="86">
        <f>SUM(L33:L47)</f>
        <v/>
      </c>
      <c r="M48" s="86">
        <f>SUM(M33:M47)</f>
        <v/>
      </c>
      <c r="N48" s="86">
        <f>SUM(N33:N47)</f>
        <v/>
      </c>
    </row>
    <row r="49" ht="14.25" customHeight="1" s="137"/>
    <row r="50" ht="14.25" customHeight="1" s="137">
      <c r="A50" s="12" t="inlineStr">
        <is>
          <t>YEAR TO DATE LESS EXPENSES</t>
        </is>
      </c>
      <c r="B50" s="87">
        <f>SUM(B30-B48)</f>
        <v/>
      </c>
      <c r="C50" s="87">
        <f>SUM(C30-C48)</f>
        <v/>
      </c>
      <c r="D50" s="87">
        <f>SUM(D30-D48)</f>
        <v/>
      </c>
      <c r="E50" s="87">
        <f>SUM(E30-E48)</f>
        <v/>
      </c>
      <c r="F50" s="87">
        <f>SUM(F30-F48)</f>
        <v/>
      </c>
      <c r="G50" s="87">
        <f>SUM(G30-G48)</f>
        <v/>
      </c>
      <c r="H50" s="87">
        <f>SUM(H30-H48)</f>
        <v/>
      </c>
      <c r="I50" s="87">
        <f>SUM(I30-I48)</f>
        <v/>
      </c>
      <c r="J50" s="87">
        <f>SUM(J30-J48)</f>
        <v/>
      </c>
      <c r="K50" s="87">
        <f>SUM(K30-K48)</f>
        <v/>
      </c>
      <c r="L50" s="87">
        <f>SUM(L30-L48)</f>
        <v/>
      </c>
      <c r="M50" s="87">
        <f>SUM(M30-M48)</f>
        <v/>
      </c>
      <c r="N50" s="87">
        <f>SUM(N30-N48)</f>
        <v/>
      </c>
    </row>
    <row r="51" ht="14.25" customHeight="1" s="137">
      <c r="A51" s="151" t="n">
        <v>2025</v>
      </c>
    </row>
    <row r="52" ht="14.25" customHeight="1" s="137">
      <c r="A52" s="12" t="inlineStr">
        <is>
          <t>INCOME</t>
        </is>
      </c>
      <c r="B52" s="83" t="inlineStr">
        <is>
          <t>JAN</t>
        </is>
      </c>
      <c r="C52" s="83" t="inlineStr">
        <is>
          <t>FEB</t>
        </is>
      </c>
      <c r="D52" s="83" t="inlineStr">
        <is>
          <t>MAR</t>
        </is>
      </c>
      <c r="E52" s="83" t="inlineStr">
        <is>
          <t>APR</t>
        </is>
      </c>
      <c r="F52" s="83" t="inlineStr">
        <is>
          <t>MAY</t>
        </is>
      </c>
      <c r="G52" s="83" t="inlineStr">
        <is>
          <t>JUN</t>
        </is>
      </c>
      <c r="H52" s="83" t="inlineStr">
        <is>
          <t>JUL</t>
        </is>
      </c>
      <c r="I52" s="83" t="inlineStr">
        <is>
          <t>AUG</t>
        </is>
      </c>
      <c r="J52" s="83" t="inlineStr">
        <is>
          <t>SEP</t>
        </is>
      </c>
      <c r="K52" s="83" t="inlineStr">
        <is>
          <t>OCT</t>
        </is>
      </c>
      <c r="L52" s="83" t="inlineStr">
        <is>
          <t>NOV</t>
        </is>
      </c>
      <c r="M52" s="83" t="inlineStr">
        <is>
          <t>DEC</t>
        </is>
      </c>
      <c r="N52" s="83" t="inlineStr">
        <is>
          <t>YEARLY</t>
        </is>
      </c>
    </row>
    <row r="53" ht="14.25" customHeight="1" s="137">
      <c r="A53" s="122" t="inlineStr">
        <is>
          <t>Art Sales</t>
        </is>
      </c>
      <c r="B53" s="192" t="n">
        <v>14000</v>
      </c>
      <c r="C53" s="192" t="n">
        <v>136000</v>
      </c>
      <c r="D53" s="179" t="n">
        <v>0</v>
      </c>
      <c r="E53" s="179" t="n">
        <v>0</v>
      </c>
      <c r="F53" s="179" t="n">
        <v>0</v>
      </c>
      <c r="G53" s="179" t="n">
        <v>0</v>
      </c>
      <c r="H53" s="179" t="n">
        <v>0</v>
      </c>
      <c r="I53" s="179" t="n">
        <v>0</v>
      </c>
      <c r="J53" s="179" t="n">
        <v>0</v>
      </c>
      <c r="K53" s="179" t="n">
        <v>0</v>
      </c>
      <c r="L53" s="179" t="n">
        <v>0</v>
      </c>
      <c r="M53" s="179" t="n">
        <v>0</v>
      </c>
      <c r="N53" s="88">
        <f>SUM(B53:M53)</f>
        <v/>
      </c>
    </row>
    <row r="54" ht="14.25" customHeight="1" s="137">
      <c r="A54" s="122" t="inlineStr">
        <is>
          <t>Consultant</t>
        </is>
      </c>
      <c r="B54" s="179" t="n">
        <v>0</v>
      </c>
      <c r="C54" s="179" t="n">
        <v>0</v>
      </c>
      <c r="D54" s="179" t="n">
        <v>0</v>
      </c>
      <c r="E54" s="179" t="n">
        <v>0</v>
      </c>
      <c r="F54" s="179" t="n">
        <v>0</v>
      </c>
      <c r="G54" s="192" t="n">
        <v>13595</v>
      </c>
      <c r="H54" s="179" t="n">
        <v>0</v>
      </c>
      <c r="I54" s="179" t="n">
        <v>0</v>
      </c>
      <c r="J54" s="179" t="n">
        <v>0</v>
      </c>
      <c r="K54" s="179" t="n">
        <v>0</v>
      </c>
      <c r="L54" s="179" t="n">
        <v>0</v>
      </c>
      <c r="M54" s="179" t="n">
        <v>0</v>
      </c>
      <c r="N54" s="193">
        <f>SUM(B54:M54)</f>
        <v/>
      </c>
    </row>
    <row r="55" ht="14.25" customHeight="1" s="137">
      <c r="A55" s="122" t="inlineStr">
        <is>
          <t>Total</t>
        </is>
      </c>
      <c r="B55" s="88">
        <f>SUM(B53:B54)</f>
        <v/>
      </c>
      <c r="C55" s="88">
        <f>SUM(C53:C54)</f>
        <v/>
      </c>
      <c r="D55" s="88">
        <f>SUM(D53:D54)</f>
        <v/>
      </c>
      <c r="E55" s="88">
        <f>SUM(E53:E54)</f>
        <v/>
      </c>
      <c r="F55" s="88">
        <f>SUM(F53:F54)</f>
        <v/>
      </c>
      <c r="G55" s="88">
        <f>SUM(G53:G54)</f>
        <v/>
      </c>
      <c r="H55" s="88">
        <f>SUM(H53:H54)</f>
        <v/>
      </c>
      <c r="I55" s="88">
        <f>SUM(I53:I54)</f>
        <v/>
      </c>
      <c r="J55" s="88">
        <f>SUM(J53:J54)</f>
        <v/>
      </c>
      <c r="K55" s="88">
        <f>SUM(K53:K54)</f>
        <v/>
      </c>
      <c r="L55" s="88">
        <f>SUM(L53:L54)</f>
        <v/>
      </c>
      <c r="M55" s="88">
        <f>SUM(M53:M54)</f>
        <v/>
      </c>
      <c r="N55" s="88">
        <f>SUM(N53:N54)</f>
        <v/>
      </c>
    </row>
    <row r="56" ht="14.25" customHeight="1" s="137"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</row>
    <row r="57" ht="14.25" customHeight="1" s="137">
      <c r="A57" s="85" t="inlineStr">
        <is>
          <t>EXPENSES</t>
        </is>
      </c>
      <c r="B57" s="83" t="inlineStr">
        <is>
          <t>JAN</t>
        </is>
      </c>
      <c r="C57" s="83" t="inlineStr">
        <is>
          <t>FEB</t>
        </is>
      </c>
      <c r="D57" s="83" t="inlineStr">
        <is>
          <t>MAR</t>
        </is>
      </c>
      <c r="E57" s="83" t="inlineStr">
        <is>
          <t>APR</t>
        </is>
      </c>
      <c r="F57" s="83" t="inlineStr">
        <is>
          <t>MAY</t>
        </is>
      </c>
      <c r="G57" s="83" t="inlineStr">
        <is>
          <t>JUN</t>
        </is>
      </c>
      <c r="H57" s="83" t="inlineStr">
        <is>
          <t>JUL</t>
        </is>
      </c>
      <c r="I57" s="83" t="inlineStr">
        <is>
          <t>AUG</t>
        </is>
      </c>
      <c r="J57" s="83" t="inlineStr">
        <is>
          <t>SEP</t>
        </is>
      </c>
      <c r="K57" s="83" t="inlineStr">
        <is>
          <t>OCT</t>
        </is>
      </c>
      <c r="L57" s="83" t="inlineStr">
        <is>
          <t>NOV</t>
        </is>
      </c>
      <c r="M57" s="83" t="inlineStr">
        <is>
          <t>DEC</t>
        </is>
      </c>
      <c r="N57" s="83" t="inlineStr">
        <is>
          <t>YEARLY</t>
        </is>
      </c>
    </row>
    <row r="58" ht="14.25" customHeight="1" s="137">
      <c r="A58" s="122" t="inlineStr">
        <is>
          <t>Supplies (office and operating)</t>
        </is>
      </c>
      <c r="B58" s="194" t="n">
        <v>0</v>
      </c>
      <c r="C58" s="194" t="n">
        <v>0</v>
      </c>
      <c r="D58" s="194" t="n">
        <v>0</v>
      </c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>
        <f>SUM(B58:M58)</f>
        <v/>
      </c>
    </row>
    <row r="59" ht="14.25" customHeight="1" s="137">
      <c r="A59" s="122" t="inlineStr">
        <is>
          <t>Office Construction</t>
        </is>
      </c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>
        <f>SUM(B59:M59)</f>
        <v/>
      </c>
    </row>
    <row r="60" ht="14.25" customHeight="1" s="137">
      <c r="A60" s="122" t="inlineStr">
        <is>
          <t xml:space="preserve">Office Interior </t>
        </is>
      </c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>
        <f>SUM(B60:M60)</f>
        <v/>
      </c>
    </row>
    <row r="61" ht="14.25" customHeight="1" s="137">
      <c r="A61" s="122" t="inlineStr">
        <is>
          <t>Office Furniture</t>
        </is>
      </c>
      <c r="B61" s="88" t="n"/>
      <c r="C61" s="88" t="n"/>
      <c r="D61" s="88" t="n"/>
      <c r="E61" s="88" t="n"/>
      <c r="F61" s="88" t="n"/>
      <c r="G61" s="194" t="n">
        <v>0</v>
      </c>
      <c r="H61" s="194" t="n">
        <v>0</v>
      </c>
      <c r="I61" s="88" t="n"/>
      <c r="J61" s="88" t="n"/>
      <c r="K61" s="88" t="n"/>
      <c r="L61" s="88" t="n"/>
      <c r="M61" s="88" t="n"/>
      <c r="N61" s="88">
        <f>SUM(B61:M61)</f>
        <v/>
      </c>
    </row>
    <row r="62" ht="14.25" customHeight="1" s="137">
      <c r="A62" s="122" t="inlineStr">
        <is>
          <t>Repairs and maintenance</t>
        </is>
      </c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>
        <f>SUM(B62:M62)</f>
        <v/>
      </c>
    </row>
    <row r="63" ht="14.25" customHeight="1" s="137">
      <c r="A63" s="122" t="inlineStr">
        <is>
          <t>Advertising</t>
        </is>
      </c>
      <c r="B63" s="88" t="n">
        <v>0</v>
      </c>
      <c r="C63" s="88" t="n">
        <v>0</v>
      </c>
      <c r="D63" s="152" t="n">
        <v>755.98</v>
      </c>
      <c r="E63" s="88" t="n">
        <v>0</v>
      </c>
      <c r="F63" s="152" t="n">
        <v>199</v>
      </c>
      <c r="G63" s="88" t="n">
        <v>0</v>
      </c>
      <c r="H63" s="88" t="n">
        <v>0</v>
      </c>
      <c r="I63" s="88" t="n">
        <v>0</v>
      </c>
      <c r="J63" s="88" t="n">
        <v>0</v>
      </c>
      <c r="K63" s="88" t="n">
        <v>0</v>
      </c>
      <c r="L63" s="88" t="n">
        <v>0</v>
      </c>
      <c r="M63" s="88" t="n">
        <v>0</v>
      </c>
      <c r="N63" s="88">
        <f>SUM(B63:M63)</f>
        <v/>
      </c>
    </row>
    <row r="64" ht="14.25" customHeight="1" s="137">
      <c r="A64" s="122" t="inlineStr">
        <is>
          <t>Travel, Meals, and Entertainment</t>
        </is>
      </c>
      <c r="B64" s="88" t="n">
        <v>0</v>
      </c>
      <c r="C64" s="152" t="n">
        <v>20</v>
      </c>
      <c r="D64" s="88" t="n">
        <v>0</v>
      </c>
      <c r="E64" s="88" t="n">
        <v>0</v>
      </c>
      <c r="F64" s="152" t="n">
        <v>20</v>
      </c>
      <c r="G64" s="88" t="n">
        <v>0</v>
      </c>
      <c r="H64" s="152" t="n">
        <v>20</v>
      </c>
      <c r="I64" s="152" t="n">
        <v>20</v>
      </c>
      <c r="J64" s="88" t="n">
        <v>0</v>
      </c>
      <c r="K64" s="152" t="n">
        <v>20</v>
      </c>
      <c r="L64" s="152" t="n">
        <v>53</v>
      </c>
      <c r="M64" s="88" t="n">
        <v>0</v>
      </c>
      <c r="N64" s="88">
        <f>SUM(B64:M64)</f>
        <v/>
      </c>
    </row>
    <row r="65" ht="14.25" customHeight="1" s="137">
      <c r="A65" s="122" t="inlineStr">
        <is>
          <t>Accounting and legal</t>
        </is>
      </c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>
        <f>SUM(B65:M65)</f>
        <v/>
      </c>
    </row>
    <row r="66" ht="14.25" customHeight="1" s="137">
      <c r="A66" s="122" t="inlineStr">
        <is>
          <t>Cellphone and Internet</t>
        </is>
      </c>
      <c r="B66" s="152" t="n">
        <v>51.12</v>
      </c>
      <c r="C66" s="152" t="n">
        <v>93.26000000000001</v>
      </c>
      <c r="D66" s="152" t="n">
        <v>98.26000000000001</v>
      </c>
      <c r="E66" s="152" t="n">
        <v>98.26000000000001</v>
      </c>
      <c r="F66" s="152" t="n">
        <v>98.26000000000001</v>
      </c>
      <c r="G66" s="152" t="n">
        <v>98.26000000000001</v>
      </c>
      <c r="H66" s="152" t="n">
        <v>98.23</v>
      </c>
      <c r="I66" s="152" t="n">
        <v>98.34</v>
      </c>
      <c r="J66" s="152" t="n">
        <v>98.34</v>
      </c>
      <c r="K66" s="152" t="n">
        <v>98.39</v>
      </c>
      <c r="L66" s="152" t="n">
        <v>98.39</v>
      </c>
      <c r="M66" s="152" t="n">
        <v>97.91</v>
      </c>
      <c r="N66" s="88">
        <f>SUM(B66:M66)</f>
        <v/>
      </c>
    </row>
    <row r="67" ht="14.25" customHeight="1" s="137">
      <c r="A67" s="122" t="inlineStr">
        <is>
          <t>Software Fees</t>
        </is>
      </c>
      <c r="B67" s="152" t="n">
        <v>22.17</v>
      </c>
      <c r="C67" s="152" t="n">
        <v>22.17</v>
      </c>
      <c r="D67" s="152" t="n">
        <v>22.17</v>
      </c>
      <c r="E67" s="152" t="n">
        <v>22.17</v>
      </c>
      <c r="F67" s="152" t="n">
        <v>22.17</v>
      </c>
      <c r="G67" s="152" t="n">
        <v>22.17</v>
      </c>
      <c r="H67" s="152" t="n">
        <v>22.17</v>
      </c>
      <c r="I67" s="152" t="n">
        <v>2.17</v>
      </c>
      <c r="J67" s="152" t="n">
        <v>57.17</v>
      </c>
      <c r="K67" s="152" t="n">
        <v>37.17</v>
      </c>
      <c r="L67" s="152" t="n">
        <v>17.17</v>
      </c>
      <c r="M67" s="152" t="n">
        <v>57.17</v>
      </c>
      <c r="N67" s="88">
        <f>SUM(B67:M67)</f>
        <v/>
      </c>
    </row>
    <row r="68" ht="14.25" customHeight="1" s="137">
      <c r="A68" s="122" t="inlineStr">
        <is>
          <t>Tech</t>
        </is>
      </c>
      <c r="B68" s="88" t="n">
        <v>0</v>
      </c>
      <c r="C68" s="88" t="n">
        <v>0</v>
      </c>
      <c r="D68" s="88" t="n">
        <v>0</v>
      </c>
      <c r="E68" s="152" t="n">
        <v>20</v>
      </c>
      <c r="F68" s="152" t="n">
        <v>192</v>
      </c>
      <c r="G68" s="88" t="n">
        <v>0</v>
      </c>
      <c r="H68" s="88" t="n">
        <v>0</v>
      </c>
      <c r="I68" s="88" t="n">
        <v>0</v>
      </c>
      <c r="J68" s="88" t="n">
        <v>0</v>
      </c>
      <c r="K68" s="88" t="n">
        <v>0</v>
      </c>
      <c r="L68" s="88" t="n">
        <v>0</v>
      </c>
      <c r="M68" s="88" t="n">
        <v>0</v>
      </c>
      <c r="N68" s="88">
        <f>SUM(B68:M68)</f>
        <v/>
      </c>
    </row>
    <row r="69" ht="14.25" customHeight="1" s="137">
      <c r="A69" s="122" t="inlineStr">
        <is>
          <t>Consultant Fees</t>
        </is>
      </c>
      <c r="B69" s="179" t="n">
        <v>0</v>
      </c>
      <c r="C69" s="179" t="n">
        <v>0</v>
      </c>
      <c r="D69" s="179" t="n">
        <v>0</v>
      </c>
      <c r="E69" s="179" t="n">
        <v>0</v>
      </c>
      <c r="F69" s="179" t="n">
        <v>0</v>
      </c>
      <c r="G69" s="179" t="n">
        <v>0</v>
      </c>
      <c r="H69" s="192" t="n">
        <v>334.17</v>
      </c>
      <c r="I69" s="179" t="n">
        <v>0</v>
      </c>
      <c r="J69" s="179" t="n">
        <v>0</v>
      </c>
      <c r="K69" s="192" t="n">
        <v>658.63</v>
      </c>
      <c r="L69" s="179" t="n">
        <v>0</v>
      </c>
      <c r="M69" s="179" t="n">
        <v>0</v>
      </c>
      <c r="N69" s="88">
        <f>SUM(B69:M69)</f>
        <v/>
      </c>
    </row>
    <row r="70" ht="14.25" customHeight="1" s="137">
      <c r="A70" s="122" t="inlineStr">
        <is>
          <t>Art Library</t>
        </is>
      </c>
      <c r="B70" s="152" t="n">
        <v>153.44</v>
      </c>
      <c r="C70" s="152" t="n">
        <v>78.47</v>
      </c>
      <c r="D70" s="88" t="n">
        <v>0</v>
      </c>
      <c r="E70" s="152" t="n">
        <v>63.69</v>
      </c>
      <c r="F70" s="88" t="n">
        <v>0</v>
      </c>
      <c r="G70" s="88" t="n">
        <v>0</v>
      </c>
      <c r="H70" s="88" t="n">
        <v>0</v>
      </c>
      <c r="I70" s="88" t="n">
        <v>0</v>
      </c>
      <c r="J70" s="88" t="n">
        <v>0</v>
      </c>
      <c r="K70" s="88" t="n">
        <v>0</v>
      </c>
      <c r="L70" s="88" t="n">
        <v>0</v>
      </c>
      <c r="M70" s="88" t="n">
        <v>0</v>
      </c>
      <c r="N70" s="88">
        <f>SUM(B70:M70)</f>
        <v/>
      </c>
    </row>
    <row r="71" ht="14.25" customHeight="1" s="137">
      <c r="A71" s="122" t="inlineStr">
        <is>
          <t>Utilities</t>
        </is>
      </c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>
        <f>SUM(B71:M71)</f>
        <v/>
      </c>
    </row>
    <row r="72" ht="14.25" customHeight="1" s="137">
      <c r="A72" s="122" t="inlineStr">
        <is>
          <t>Insurance</t>
        </is>
      </c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>
        <f>SUM(B72:M72)</f>
        <v/>
      </c>
    </row>
    <row r="73" ht="14.25" customHeight="1" s="137">
      <c r="A73" s="5" t="inlineStr">
        <is>
          <t>TOTAL EXPENSES</t>
        </is>
      </c>
      <c r="B73" s="86">
        <f>SUM(B58:B72)</f>
        <v/>
      </c>
      <c r="C73" s="86">
        <f>SUM(C58:C72)</f>
        <v/>
      </c>
      <c r="D73" s="86">
        <f>SUM(D58:D72)</f>
        <v/>
      </c>
      <c r="E73" s="86">
        <f>SUM(E58:E72)</f>
        <v/>
      </c>
      <c r="F73" s="86">
        <f>SUM(F58:F72)</f>
        <v/>
      </c>
      <c r="G73" s="86">
        <f>SUM(G58:G72)</f>
        <v/>
      </c>
      <c r="H73" s="86">
        <f>SUM(H58:H72)</f>
        <v/>
      </c>
      <c r="I73" s="86">
        <f>SUM(I58:I72)</f>
        <v/>
      </c>
      <c r="J73" s="86">
        <f>SUM(J58:J72)</f>
        <v/>
      </c>
      <c r="K73" s="86">
        <f>SUM(K58:K72)</f>
        <v/>
      </c>
      <c r="L73" s="86">
        <f>SUM(L58:L72)</f>
        <v/>
      </c>
      <c r="M73" s="86">
        <f>SUM(M58:M72)</f>
        <v/>
      </c>
      <c r="N73" s="86">
        <f>SUM(N58:N72)</f>
        <v/>
      </c>
    </row>
    <row r="74" ht="14.25" customHeight="1" s="137"/>
    <row r="75" ht="72" customHeight="1" s="137">
      <c r="A75" s="182" t="inlineStr">
        <is>
          <t>2025 Mercury 2026-09-20: Art Sales = MATCHED/LOCKED cash (Berk $14,000 Jan + Berk $30,000 / mosaics $105,000 / Aquinas books $1,000 Feb = $150,000). Consultant June $13,595 = David Aaron Limited LOCKED (user: consultant fee, not a sale). Consultant Fees July $334.17 + October $658.63 = Wise expertise write-ups LOCKED ($992.80). EOEB remainder $130,270.00 and L5 $87,396.32 MIXED PATTERN CONFIRMED (art sales + advisory/consultant) — invoice-level split still ASK; not dumped onto Consultant or Art Sales. Koziol/Ariadne $150,000 LOCKED pass-through — not P&amp;L. Coinbase is Investments, not this tab. Newstar $23,581 is Art Sales COGS, not operating expense. Dec Wise $565.75 reimbursed — not on Consultant Fees. Aquinas books Cost TBD — cash on Art Sales, not in I8. GCM 1099 is personal. Not tax advice.</t>
        </is>
      </c>
    </row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26:N26"/>
    <mergeCell ref="A75:N76"/>
    <mergeCell ref="A1:N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ColWidth="14.43" defaultRowHeight="15" customHeight="1"/>
  <cols>
    <col width="45.14" customWidth="1" style="137" min="1" max="1"/>
    <col width="17.29" customWidth="1" style="137" min="2" max="2"/>
    <col width="19.14" customWidth="1" style="137" min="3" max="3"/>
    <col width="21.57" customWidth="1" style="137" min="4" max="4"/>
    <col width="8.710000000000001" customWidth="1" style="137" min="5" max="26"/>
  </cols>
  <sheetData>
    <row r="1" ht="14.25" customHeight="1" s="137">
      <c r="A1" s="89" t="inlineStr">
        <is>
          <t>Book</t>
        </is>
      </c>
      <c r="B1" s="89" t="inlineStr">
        <is>
          <t>From</t>
        </is>
      </c>
      <c r="C1" s="90" t="inlineStr">
        <is>
          <t>Purchase Price</t>
        </is>
      </c>
      <c r="D1" s="91" t="inlineStr">
        <is>
          <t xml:space="preserve">Purchase Date </t>
        </is>
      </c>
      <c r="E1" s="5" t="inlineStr">
        <is>
          <t>Method</t>
        </is>
      </c>
    </row>
    <row r="2" ht="14.25" customHeight="1" s="137">
      <c r="A2" s="122" t="inlineStr">
        <is>
          <t>A Collection of Pre Columbian Auction Catalogues and Art Refrence Books</t>
        </is>
      </c>
      <c r="B2" s="122" t="inlineStr">
        <is>
          <t>N. Fagin</t>
        </is>
      </c>
      <c r="C2" s="88" t="n">
        <v>669.21</v>
      </c>
      <c r="D2" s="92" t="n">
        <v>44767</v>
      </c>
      <c r="E2" s="122" t="inlineStr">
        <is>
          <t xml:space="preserve">Check </t>
        </is>
      </c>
    </row>
    <row r="3" ht="14.25" customHeight="1" s="137">
      <c r="A3" s="122" t="inlineStr">
        <is>
          <t>A Collection of Numismatic Journals</t>
        </is>
      </c>
      <c r="B3" s="122" t="inlineStr">
        <is>
          <t>John Meyes</t>
        </is>
      </c>
      <c r="C3" s="88" t="n">
        <v>200</v>
      </c>
      <c r="D3" s="92" t="n">
        <v>44839</v>
      </c>
      <c r="E3" s="122" t="inlineStr">
        <is>
          <t xml:space="preserve">Check </t>
        </is>
      </c>
    </row>
    <row r="4" ht="14.25" customHeight="1" s="137">
      <c r="A4" s="122" t="inlineStr">
        <is>
          <t xml:space="preserve">A Collection of Joel Malter Catalogues </t>
        </is>
      </c>
      <c r="B4" s="122" t="inlineStr">
        <is>
          <t>M. Malter</t>
        </is>
      </c>
      <c r="C4" s="88" t="n">
        <v>301.46</v>
      </c>
      <c r="D4" s="92" t="n">
        <v>44634</v>
      </c>
      <c r="E4" s="122" t="inlineStr">
        <is>
          <t xml:space="preserve">Check </t>
        </is>
      </c>
    </row>
    <row r="5" ht="14.25" customHeight="1" s="137">
      <c r="A5" s="122" t="inlineStr">
        <is>
          <t>A Collection of Antiquities Catalogues</t>
        </is>
      </c>
      <c r="B5" s="122" t="inlineStr">
        <is>
          <t>C. Murphy</t>
        </is>
      </c>
      <c r="C5" s="88" t="n">
        <v>700</v>
      </c>
      <c r="D5" s="92" t="n">
        <v>44519</v>
      </c>
      <c r="E5" s="122" t="inlineStr">
        <is>
          <t xml:space="preserve">Check </t>
        </is>
      </c>
    </row>
    <row r="6" ht="14.25" customHeight="1" s="137">
      <c r="A6" s="122" t="inlineStr">
        <is>
          <t>The Beverley Collection of Gems at Alnwick Castle (The Philip Wilson Gems and Jewellery Series)</t>
        </is>
      </c>
      <c r="B6" s="122" t="inlineStr">
        <is>
          <t>Abebooks</t>
        </is>
      </c>
      <c r="C6" s="88" t="n">
        <v>30.05</v>
      </c>
      <c r="D6" s="92" t="n">
        <v>44905</v>
      </c>
      <c r="E6" s="122" t="inlineStr">
        <is>
          <t>Credit Card</t>
        </is>
      </c>
    </row>
    <row r="7" ht="14.25" customHeight="1" s="137">
      <c r="A7" s="122" t="inlineStr">
        <is>
          <t>Masterpieces in Miniature The Philip Wilson Gems and Jewellery Series Engraved Gems from Prehistory to the Present</t>
        </is>
      </c>
      <c r="B7" s="122" t="inlineStr">
        <is>
          <t>Abebooks</t>
        </is>
      </c>
      <c r="C7" s="88" t="n">
        <v>50.37</v>
      </c>
      <c r="D7" s="92" t="n">
        <v>44905</v>
      </c>
      <c r="E7" s="122" t="inlineStr">
        <is>
          <t>Credit Card</t>
        </is>
      </c>
    </row>
    <row r="8" ht="14.25" customHeight="1" s="137">
      <c r="A8" s="122" t="inlineStr">
        <is>
          <t>The First Treatise on Museums Samuel Quiccheberg's Inscriptiones, 1565 Texts Documents Paperback BIBLIOTHECA PAEDIATRICA REF KARGER</t>
        </is>
      </c>
      <c r="B8" s="122" t="inlineStr">
        <is>
          <t>Abebooks</t>
        </is>
      </c>
      <c r="C8" s="88" t="n">
        <v>30.64</v>
      </c>
      <c r="D8" s="92" t="n">
        <v>44812</v>
      </c>
      <c r="E8" s="122" t="inlineStr">
        <is>
          <t>Credit Card</t>
        </is>
      </c>
    </row>
    <row r="9" ht="14.25" customHeight="1" s="137">
      <c r="A9" s="122" t="inlineStr">
        <is>
          <t>Greek Gems and Finger Rings: Early Bronze to Late Classical</t>
        </is>
      </c>
      <c r="B9" s="122" t="inlineStr">
        <is>
          <t>Abebooks</t>
        </is>
      </c>
      <c r="C9" s="88" t="n">
        <v>16.22</v>
      </c>
      <c r="D9" s="92" t="n">
        <v>44796</v>
      </c>
      <c r="E9" s="122" t="inlineStr">
        <is>
          <t>Credit Card</t>
        </is>
      </c>
    </row>
    <row r="10" ht="14.25" customHeight="1" s="137">
      <c r="A10" s="122" t="inlineStr">
        <is>
          <t>The Maya Book of the Dead: The Ceramic Codex</t>
        </is>
      </c>
      <c r="B10" s="122" t="inlineStr">
        <is>
          <t>Abebooks</t>
        </is>
      </c>
      <c r="C10" s="88" t="n">
        <v>73.3</v>
      </c>
      <c r="D10" s="92" t="n">
        <v>44782</v>
      </c>
      <c r="E10" s="122" t="inlineStr">
        <is>
          <t>Credit Card</t>
        </is>
      </c>
    </row>
    <row r="11" ht="14.25" customHeight="1" s="137">
      <c r="A11" s="122" t="inlineStr">
        <is>
          <t>21 Masterpieces of Pre-Columbian Sculpture</t>
        </is>
      </c>
      <c r="B11" s="122" t="inlineStr">
        <is>
          <t>Abebooks</t>
        </is>
      </c>
      <c r="C11" s="88" t="n">
        <v>79.69</v>
      </c>
      <c r="D11" s="92" t="n">
        <v>44782</v>
      </c>
      <c r="E11" s="122" t="inlineStr">
        <is>
          <t>Credit Card</t>
        </is>
      </c>
    </row>
    <row r="12" ht="14.25" customHeight="1" s="137">
      <c r="A12" s="122" t="inlineStr">
        <is>
          <t>TABLEAUX ANCIENS DES XVIe, XVIIe, XVIIIe ET XIXe SIECLES. OBJETS D'ARTS, SIEGES ET MEUBLES DES xviiE, XVIIIe ET XIXe SIECLES</t>
        </is>
      </c>
      <c r="B12" s="122" t="inlineStr">
        <is>
          <t>Abebooks</t>
        </is>
      </c>
      <c r="C12" s="88" t="n">
        <v>24.47</v>
      </c>
      <c r="D12" s="92" t="n">
        <v>44782</v>
      </c>
      <c r="E12" s="122" t="inlineStr">
        <is>
          <t>Credit Card</t>
        </is>
      </c>
    </row>
    <row r="13" ht="14.25" customHeight="1" s="137">
      <c r="A13" s="122" t="inlineStr">
        <is>
          <t>Ladders to Heaven: Art Treasures from Lands of the Bible</t>
        </is>
      </c>
      <c r="B13" s="122" t="inlineStr">
        <is>
          <t>Abebooks</t>
        </is>
      </c>
      <c r="C13" s="88" t="n">
        <v>10.97</v>
      </c>
      <c r="D13" s="92" t="n">
        <v>37336</v>
      </c>
      <c r="E13" s="122" t="inlineStr">
        <is>
          <t>Credit Card</t>
        </is>
      </c>
    </row>
    <row r="14" ht="14.25" customHeight="1" s="137">
      <c r="A14" s="122" t="inlineStr">
        <is>
          <t>Palladion Antike Kunst Katalog 1976</t>
        </is>
      </c>
      <c r="B14" s="122" t="inlineStr">
        <is>
          <t>Abebooks</t>
        </is>
      </c>
      <c r="C14" s="88" t="n">
        <v>24.44</v>
      </c>
      <c r="D14" s="92" t="n">
        <v>44641</v>
      </c>
      <c r="E14" s="122" t="inlineStr">
        <is>
          <t>Credit Card</t>
        </is>
      </c>
    </row>
    <row r="15" ht="14.25" customHeight="1" s="137">
      <c r="A15" s="122" t="inlineStr">
        <is>
          <t>Gifts of the Nile: Ancient Egyptian Faience</t>
        </is>
      </c>
      <c r="B15" s="122" t="inlineStr">
        <is>
          <t>Abebooks</t>
        </is>
      </c>
      <c r="C15" s="88" t="n">
        <v>13.84</v>
      </c>
      <c r="D15" s="92" t="n">
        <v>44622</v>
      </c>
      <c r="E15" s="122" t="inlineStr">
        <is>
          <t>Credit Card</t>
        </is>
      </c>
    </row>
    <row r="16" ht="14.25" customHeight="1" s="137">
      <c r="A16" s="122" t="inlineStr">
        <is>
          <t>She - An Exhibition at Cordier &amp; Ekstrom NY 1970</t>
        </is>
      </c>
      <c r="B16" s="122" t="inlineStr">
        <is>
          <t>Abebooks</t>
        </is>
      </c>
      <c r="C16" s="88" t="n">
        <v>36.07</v>
      </c>
      <c r="D16" s="92" t="n">
        <v>44825</v>
      </c>
      <c r="E16" s="122" t="inlineStr">
        <is>
          <t>Credit Card</t>
        </is>
      </c>
    </row>
    <row r="17" ht="14.25" customHeight="1" s="137">
      <c r="A17" s="122" t="inlineStr">
        <is>
          <t>Antuqua Auction Catalog's 7 volumes see photos LOT G4</t>
        </is>
      </c>
      <c r="B17" s="122" t="inlineStr">
        <is>
          <t>ebay</t>
        </is>
      </c>
      <c r="C17" s="93" t="n">
        <v>23.1</v>
      </c>
      <c r="D17" s="92" t="n">
        <v>44918</v>
      </c>
      <c r="E17" s="122" t="inlineStr">
        <is>
          <t>Credit Card</t>
        </is>
      </c>
    </row>
    <row r="18" ht="14.25" customHeight="1" s="137">
      <c r="A18" s="122" t="inlineStr">
        <is>
          <t>Kunst Und Handwerk German Auction Catalog(in german)LOT G15</t>
        </is>
      </c>
      <c r="B18" s="122" t="inlineStr">
        <is>
          <t>ebay</t>
        </is>
      </c>
      <c r="C18" s="93" t="n">
        <v>0</v>
      </c>
      <c r="D18" s="92" t="n">
        <v>44917</v>
      </c>
      <c r="E18" s="122" t="inlineStr">
        <is>
          <t>Credit Card</t>
        </is>
      </c>
    </row>
    <row r="19" ht="14.25" customHeight="1" s="137">
      <c r="A19" s="122" t="inlineStr">
        <is>
          <t>Numismatic &amp; Ancient Art Gallery NAAG Auction Catalog from 1991 LOT G12</t>
        </is>
      </c>
      <c r="B19" s="122" t="inlineStr">
        <is>
          <t>ebay</t>
        </is>
      </c>
      <c r="C19" s="93" t="n">
        <v>0</v>
      </c>
      <c r="D19" s="92" t="n">
        <v>44917</v>
      </c>
      <c r="E19" s="122" t="inlineStr">
        <is>
          <t>Credit Card</t>
        </is>
      </c>
    </row>
    <row r="20" ht="14.25" customHeight="1" s="137">
      <c r="A20" s="122" t="inlineStr">
        <is>
          <t>Antike Kunstobjekte Auction Catalog's from Germany (in german) LOT G17</t>
        </is>
      </c>
      <c r="B20" s="122" t="inlineStr">
        <is>
          <t>ebay</t>
        </is>
      </c>
      <c r="C20" s="93" t="n">
        <v>0</v>
      </c>
      <c r="D20" s="92" t="n">
        <v>44917</v>
      </c>
      <c r="E20" s="122" t="inlineStr">
        <is>
          <t>Credit Card</t>
        </is>
      </c>
    </row>
    <row r="21" ht="14.25" customHeight="1" s="137">
      <c r="A21" s="122" t="inlineStr">
        <is>
          <t>Ancient Art and Antiquities Alex Malloy 1973 Catalogue; Art; Quality Packaging</t>
        </is>
      </c>
      <c r="B21" s="122" t="inlineStr">
        <is>
          <t>ebay</t>
        </is>
      </c>
      <c r="C21" s="93" t="n">
        <v>25.48</v>
      </c>
      <c r="D21" s="92" t="n">
        <v>44910</v>
      </c>
      <c r="E21" s="122" t="inlineStr">
        <is>
          <t>Credit Card</t>
        </is>
      </c>
    </row>
    <row r="22" ht="14.25" customHeight="1" s="137">
      <c r="A22" s="122" t="inlineStr">
        <is>
          <t>Vintage Alex G. Malloy 1978 Ancient Art &amp; Antiquities Catalogue Scarce</t>
        </is>
      </c>
      <c r="B22" s="122" t="inlineStr">
        <is>
          <t>ebay</t>
        </is>
      </c>
      <c r="C22" s="93" t="n">
        <v>0</v>
      </c>
      <c r="D22" s="92" t="n">
        <v>44908</v>
      </c>
      <c r="E22" s="122" t="inlineStr">
        <is>
          <t>Credit Card</t>
        </is>
      </c>
    </row>
    <row r="23" ht="14.25" customHeight="1" s="137">
      <c r="A23" s="122" t="inlineStr">
        <is>
          <t>Power Tools The Stone Age and Bronze Age in North Europe Exhibition Catalogue</t>
        </is>
      </c>
      <c r="B23" s="122" t="inlineStr">
        <is>
          <t>ebay</t>
        </is>
      </c>
      <c r="C23" s="93" t="n">
        <v>82.64</v>
      </c>
      <c r="D23" s="92" t="n">
        <v>44908</v>
      </c>
      <c r="E23" s="122" t="inlineStr">
        <is>
          <t>Credit Card</t>
        </is>
      </c>
    </row>
    <row r="24" ht="14.25" customHeight="1" s="137">
      <c r="A24" s="122" t="inlineStr">
        <is>
          <t>1906 Illustrated Catalogue of Antiquities and Casts of Ancient Sculpture</t>
        </is>
      </c>
      <c r="B24" s="122" t="inlineStr">
        <is>
          <t>ebay</t>
        </is>
      </c>
      <c r="C24" s="93" t="n">
        <v>13.16</v>
      </c>
      <c r="D24" s="92" t="n">
        <v>44903</v>
      </c>
      <c r="E24" s="122" t="inlineStr">
        <is>
          <t>Credit Card</t>
        </is>
      </c>
    </row>
    <row r="25" ht="14.25" customHeight="1" s="137">
      <c r="A25" s="122" t="inlineStr">
        <is>
          <t>Frank L Kovacs Ancient Coins &amp; Antiquities Mail Bid Sale XIV October 16, 1998</t>
        </is>
      </c>
      <c r="B25" s="122" t="inlineStr">
        <is>
          <t>ebay</t>
        </is>
      </c>
      <c r="C25" s="93" t="n">
        <v>15.79</v>
      </c>
      <c r="D25" s="92" t="n">
        <v>44901</v>
      </c>
      <c r="E25" s="122" t="inlineStr">
        <is>
          <t>Credit Card</t>
        </is>
      </c>
    </row>
    <row r="26" ht="14.25" customHeight="1" s="137">
      <c r="A26" s="122" t="inlineStr">
        <is>
          <t>The MAYA Fourth Edition Fully Revised Used Very Good Condition As Is Nice/ Clean</t>
        </is>
      </c>
      <c r="B26" s="122" t="inlineStr">
        <is>
          <t>ebay</t>
        </is>
      </c>
      <c r="C26" s="93" t="n">
        <v>10.08</v>
      </c>
      <c r="D26" s="92" t="n">
        <v>44782</v>
      </c>
      <c r="E26" s="122" t="inlineStr">
        <is>
          <t>Credit Card</t>
        </is>
      </c>
    </row>
    <row r="27" ht="14.25" customHeight="1" s="137">
      <c r="A27" s="122" t="inlineStr">
        <is>
          <t>Teotihuacan: Art from the City of the Gods - Paperback - GOOD</t>
        </is>
      </c>
      <c r="B27" s="122" t="inlineStr">
        <is>
          <t>ebay</t>
        </is>
      </c>
      <c r="C27" s="93" t="n">
        <v>10.23</v>
      </c>
      <c r="D27" s="92" t="n">
        <v>44779</v>
      </c>
      <c r="E27" s="122" t="inlineStr">
        <is>
          <t>Credit Card</t>
        </is>
      </c>
    </row>
    <row r="28" ht="14.25" customHeight="1" s="137">
      <c r="A28" s="122" t="inlineStr">
        <is>
          <t>Arte Primitivo The Millicent Wylly Estate Ancient Art Auction Catalog 1998</t>
        </is>
      </c>
      <c r="B28" s="122" t="inlineStr">
        <is>
          <t>ebay</t>
        </is>
      </c>
      <c r="C28" s="93" t="n">
        <v>17.73</v>
      </c>
      <c r="D28" s="92" t="n">
        <v>44778</v>
      </c>
      <c r="E28" s="122" t="inlineStr">
        <is>
          <t>Credit Card</t>
        </is>
      </c>
    </row>
    <row r="29" ht="14.25" customHeight="1" s="137">
      <c r="A29" s="122" t="inlineStr">
        <is>
          <t xml:space="preserve">Gorny &amp; Mosch Auction #268.2019 Munich Ancient Art.Like New .(60) </t>
        </is>
      </c>
      <c r="B29" s="122" t="inlineStr">
        <is>
          <t>ebay</t>
        </is>
      </c>
      <c r="C29" s="93" t="n">
        <v>14.91</v>
      </c>
      <c r="D29" s="92" t="n">
        <v>44778</v>
      </c>
      <c r="E29" s="122" t="inlineStr">
        <is>
          <t>Credit Card</t>
        </is>
      </c>
    </row>
    <row r="30" ht="14.25" customHeight="1" s="137">
      <c r="A30" s="122" t="inlineStr">
        <is>
          <t>1967 MANGA GRECIA ANCIENT ART OF THE MEDITERRANEAN EXHIBIT PROGRAM - J 3801</t>
        </is>
      </c>
      <c r="B30" s="122" t="inlineStr">
        <is>
          <t>ebay</t>
        </is>
      </c>
      <c r="C30" s="93" t="n">
        <v>25.84</v>
      </c>
      <c r="D30" s="92" t="n">
        <v>44777</v>
      </c>
      <c r="E30" s="122" t="inlineStr">
        <is>
          <t>Credit Card</t>
        </is>
      </c>
    </row>
    <row r="31" ht="14.25" customHeight="1" s="137">
      <c r="A31" s="122" t="inlineStr">
        <is>
          <t>1971 Michel Dumez-Onof, London W.I., Art Booklet Catalog "Ancient Works of Art"</t>
        </is>
      </c>
      <c r="B31" s="122" t="inlineStr">
        <is>
          <t>ebay</t>
        </is>
      </c>
      <c r="C31" s="93" t="n">
        <v>42.9</v>
      </c>
      <c r="D31" s="92" t="n">
        <v>44777</v>
      </c>
      <c r="E31" s="122" t="inlineStr">
        <is>
          <t>Credit Card</t>
        </is>
      </c>
    </row>
    <row r="32" ht="14.25" customHeight="1" s="137">
      <c r="A32" s="122" t="inlineStr">
        <is>
          <t>Hans Schulman Ancient Art Roman Greek Cycladic Vintage Auction Coin Catalog</t>
        </is>
      </c>
      <c r="B32" s="122" t="inlineStr">
        <is>
          <t>ebay</t>
        </is>
      </c>
      <c r="C32" s="93" t="n">
        <v>20.79</v>
      </c>
      <c r="D32" s="92" t="n">
        <v>44776</v>
      </c>
      <c r="E32" s="122" t="inlineStr">
        <is>
          <t>Credit Card</t>
        </is>
      </c>
    </row>
    <row r="33" ht="14.25" customHeight="1" s="137">
      <c r="A33" s="122" t="inlineStr">
        <is>
          <t>Deities Dignitaries in Ancient Egyptian Art L'Ibis Gallery NYC 1989 Catalog</t>
        </is>
      </c>
      <c r="B33" s="122" t="inlineStr">
        <is>
          <t>ebay</t>
        </is>
      </c>
      <c r="C33" s="93" t="n">
        <v>14.03</v>
      </c>
      <c r="D33" s="92" t="n">
        <v>44774</v>
      </c>
      <c r="E33" s="122" t="inlineStr">
        <is>
          <t>Credit Card</t>
        </is>
      </c>
    </row>
    <row r="34" ht="14.25" customHeight="1" s="137">
      <c r="A34" s="122" t="inlineStr">
        <is>
          <t>HERITAGE Antiquities Greek Egypt Mesopotamia Seals Native American Catalog 2008</t>
        </is>
      </c>
      <c r="B34" s="122" t="inlineStr">
        <is>
          <t>ebay</t>
        </is>
      </c>
      <c r="C34" s="93" t="n">
        <v>9.85</v>
      </c>
      <c r="D34" s="92" t="n">
        <v>44755</v>
      </c>
      <c r="E34" s="122" t="inlineStr">
        <is>
          <t>Credit Card</t>
        </is>
      </c>
    </row>
    <row r="35" ht="14.25" customHeight="1" s="137">
      <c r="A35" s="122" t="inlineStr">
        <is>
          <t xml:space="preserve">Sotheby's New York - Antiquitues, Pre-Columbian, Ethnographic, &amp; Later Works </t>
        </is>
      </c>
      <c r="B35" s="122" t="inlineStr">
        <is>
          <t>ebay</t>
        </is>
      </c>
      <c r="C35" s="93" t="n">
        <v>12.08</v>
      </c>
      <c r="D35" s="92" t="n">
        <v>44755</v>
      </c>
      <c r="E35" s="122" t="inlineStr">
        <is>
          <t>Credit Card</t>
        </is>
      </c>
    </row>
    <row r="36" ht="14.25" customHeight="1" s="137">
      <c r="A36" s="122" t="inlineStr">
        <is>
          <t>Wealth of The Ancient World, Nelson Bunker Hunt Collection￼, Art &amp; Coins 1983 HC</t>
        </is>
      </c>
      <c r="B36" s="122" t="inlineStr">
        <is>
          <t>ebay</t>
        </is>
      </c>
      <c r="C36" s="93" t="n">
        <v>16.54</v>
      </c>
      <c r="D36" s="92" t="n">
        <v>44642</v>
      </c>
      <c r="E36" s="122" t="inlineStr">
        <is>
          <t>Credit Card</t>
        </is>
      </c>
    </row>
    <row r="37" ht="14.25" customHeight="1" s="137">
      <c r="A37" s="122" t="inlineStr">
        <is>
          <t>50 Figures From A Site In Veracruz Kerr, Justin Merrin Gallery 1970</t>
        </is>
      </c>
      <c r="B37" s="122" t="inlineStr">
        <is>
          <t>ebay</t>
        </is>
      </c>
      <c r="C37" s="93" t="n">
        <v>13.2</v>
      </c>
      <c r="D37" s="92" t="n">
        <v>44636</v>
      </c>
      <c r="E37" s="122" t="inlineStr">
        <is>
          <t>Credit Card</t>
        </is>
      </c>
    </row>
    <row r="38" ht="14.25" customHeight="1" s="137">
      <c r="A38" s="122" t="inlineStr">
        <is>
          <t>Vintage Alex G. Malloy 1978 Ancient Art &amp; Antiquities Catalogue Scarce, Like New</t>
        </is>
      </c>
      <c r="B38" s="122" t="inlineStr">
        <is>
          <t>ebay</t>
        </is>
      </c>
      <c r="C38" s="93" t="n">
        <v>47.38</v>
      </c>
      <c r="D38" s="92" t="n">
        <v>44635</v>
      </c>
      <c r="E38" s="122" t="inlineStr">
        <is>
          <t>Credit Card</t>
        </is>
      </c>
    </row>
    <row r="39" ht="14.25" customHeight="1" s="137">
      <c r="A39" s="122" t="inlineStr">
        <is>
          <t>SUMMA GALLERIES Catalog 3 1977  Ancient Art Ancient Vases Sculptures-Staplebound</t>
        </is>
      </c>
      <c r="B39" s="122" t="inlineStr">
        <is>
          <t>ebay</t>
        </is>
      </c>
      <c r="C39" s="93" t="n">
        <v>47.38</v>
      </c>
      <c r="D39" s="92" t="n">
        <v>44635</v>
      </c>
      <c r="E39" s="122" t="inlineStr">
        <is>
          <t>Credit Card</t>
        </is>
      </c>
    </row>
    <row r="40" ht="14.25" customHeight="1" s="137">
      <c r="A40" s="122" t="inlineStr">
        <is>
          <t>Vintage Alex G. Malloy 1973 Ancient Art &amp; Antiquities Catalogue Scarce, Like New</t>
        </is>
      </c>
      <c r="B40" s="122" t="inlineStr">
        <is>
          <t>ebay</t>
        </is>
      </c>
      <c r="C40" s="93" t="n">
        <v>47.38</v>
      </c>
      <c r="D40" s="92" t="n">
        <v>44635</v>
      </c>
      <c r="E40" s="122" t="inlineStr">
        <is>
          <t>Credit Card</t>
        </is>
      </c>
    </row>
    <row r="41" ht="14.25" customHeight="1" s="137">
      <c r="A41" s="122" t="inlineStr">
        <is>
          <t>Vintage Alex G. Malloy 1978 Ancient Art &amp; Antiquities Catalogue Scarce, Like New</t>
        </is>
      </c>
      <c r="B41" s="122" t="inlineStr">
        <is>
          <t>ebay</t>
        </is>
      </c>
      <c r="C41" s="93" t="n">
        <v>47.38</v>
      </c>
      <c r="D41" s="92" t="n">
        <v>44635</v>
      </c>
      <c r="E41" s="122" t="inlineStr">
        <is>
          <t>Credit Card</t>
        </is>
      </c>
    </row>
    <row r="42" ht="14.25" customHeight="1" s="137">
      <c r="A42" s="122" t="inlineStr">
        <is>
          <t>Vintage Alex G. Malloy 1977 Ancient Art &amp; Antiquities Catalogue Scarce, Like New</t>
        </is>
      </c>
      <c r="B42" s="122" t="inlineStr">
        <is>
          <t>ebay</t>
        </is>
      </c>
      <c r="C42" s="93" t="n">
        <v>47.38</v>
      </c>
      <c r="D42" s="92" t="n">
        <v>44635</v>
      </c>
      <c r="E42" s="122" t="inlineStr">
        <is>
          <t>Credit Card</t>
        </is>
      </c>
    </row>
    <row r="43" ht="14.25" customHeight="1" s="137">
      <c r="A43" s="122" t="inlineStr">
        <is>
          <t>Vintage Alex G. Malloy 1974 Ancient Art &amp; Antiquities Catalogue Scarce, Like New</t>
        </is>
      </c>
      <c r="B43" s="122" t="inlineStr">
        <is>
          <t>ebay</t>
        </is>
      </c>
      <c r="C43" s="93" t="n">
        <v>47.38</v>
      </c>
      <c r="D43" s="92" t="n">
        <v>44635</v>
      </c>
      <c r="E43" s="122" t="inlineStr">
        <is>
          <t>Credit Card</t>
        </is>
      </c>
    </row>
    <row r="44" ht="14.25" customHeight="1" s="137">
      <c r="A44" s="122" t="inlineStr">
        <is>
          <t>Vintage Alex G. Malloy 1974 Ancient Art &amp; Antiquities Catalogue Scarce, Like New</t>
        </is>
      </c>
      <c r="B44" s="122" t="inlineStr">
        <is>
          <t>ebay</t>
        </is>
      </c>
      <c r="C44" s="93" t="n">
        <v>47.38</v>
      </c>
      <c r="D44" s="92" t="n">
        <v>44635</v>
      </c>
      <c r="E44" s="122" t="inlineStr">
        <is>
          <t>Credit Card</t>
        </is>
      </c>
    </row>
    <row r="45" ht="14.25" customHeight="1" s="137">
      <c r="A45" s="122" t="inlineStr">
        <is>
          <t>Art of the Ancient World Catalog Volume XV 2004 Royal Athena Galleries NY PPB</t>
        </is>
      </c>
      <c r="B45" s="122" t="inlineStr">
        <is>
          <t>ebay</t>
        </is>
      </c>
      <c r="C45" s="93" t="n">
        <v>21.03</v>
      </c>
      <c r="D45" s="92" t="n">
        <v>44635</v>
      </c>
      <c r="E45" s="122" t="inlineStr">
        <is>
          <t>Credit Card</t>
        </is>
      </c>
    </row>
    <row r="46" ht="14.25" customHeight="1" s="137">
      <c r="A46" s="122" t="inlineStr">
        <is>
          <t>SUMMA GALLERIES Auction Catalog 1976  Ancient Art Ancient Vases Sculptures Book</t>
        </is>
      </c>
      <c r="B46" s="122" t="inlineStr">
        <is>
          <t>ebay</t>
        </is>
      </c>
      <c r="C46" s="93" t="n">
        <v>22</v>
      </c>
      <c r="D46" s="92" t="n">
        <v>44634</v>
      </c>
      <c r="E46" s="122" t="inlineStr">
        <is>
          <t>Credit Card</t>
        </is>
      </c>
    </row>
    <row r="47" ht="14.25" customHeight="1" s="137">
      <c r="A47" s="122" t="inlineStr">
        <is>
          <t>Ancient Bronzes Ceramics and Seals  The Nasli M  Heeramaneck Collecti</t>
        </is>
      </c>
      <c r="B47" s="122" t="inlineStr">
        <is>
          <t>ebay</t>
        </is>
      </c>
      <c r="C47" s="93" t="n">
        <v>6.38</v>
      </c>
      <c r="D47" s="92" t="n">
        <v>44634</v>
      </c>
      <c r="E47" s="122" t="inlineStr">
        <is>
          <t>Credit Card</t>
        </is>
      </c>
    </row>
    <row r="48" ht="14.25" customHeight="1" s="137">
      <c r="A48" s="122" t="inlineStr">
        <is>
          <t>HTF 1965 Illustrated Catalog Jerome Eisenberg Art Ancient World Chicago +Pricing</t>
        </is>
      </c>
      <c r="B48" s="122" t="inlineStr">
        <is>
          <t>ebay</t>
        </is>
      </c>
      <c r="C48" s="93" t="n">
        <v>20.7</v>
      </c>
      <c r="D48" s="92" t="n">
        <v>44626</v>
      </c>
      <c r="E48" s="122" t="inlineStr">
        <is>
          <t>Credit Card</t>
        </is>
      </c>
    </row>
    <row r="49" ht="14.25" customHeight="1" s="137">
      <c r="A49" s="122" t="inlineStr">
        <is>
          <t xml:space="preserve"> Art Of The Ancient World Volume II, Dec. 1966 Eisenberg, Jerome M New York</t>
        </is>
      </c>
      <c r="B49" s="122" t="inlineStr">
        <is>
          <t>ebay</t>
        </is>
      </c>
      <c r="C49" s="93" t="n">
        <v>11</v>
      </c>
      <c r="D49" s="92" t="n">
        <v>44626</v>
      </c>
      <c r="E49" s="122" t="inlineStr">
        <is>
          <t>Credit Card</t>
        </is>
      </c>
    </row>
    <row r="50" ht="14.25" customHeight="1" s="137">
      <c r="A50" s="122" t="inlineStr">
        <is>
          <t>Royal Portraits and the Hellenistic Kingdoms (1999, paperback)</t>
        </is>
      </c>
      <c r="B50" s="122" t="inlineStr">
        <is>
          <t>ebay</t>
        </is>
      </c>
      <c r="C50" s="93" t="n">
        <v>20</v>
      </c>
      <c r="D50" s="92" t="n">
        <v>44626</v>
      </c>
      <c r="E50" s="122" t="inlineStr">
        <is>
          <t>Credit Card</t>
        </is>
      </c>
    </row>
    <row r="51" ht="14.25" customHeight="1" s="137">
      <c r="A51" s="122" t="inlineStr">
        <is>
          <t>Amenhotep III: Egypt's Radiant Pharaoh</t>
        </is>
      </c>
      <c r="B51" s="122" t="inlineStr">
        <is>
          <t>Amazon</t>
        </is>
      </c>
      <c r="C51" s="93" t="n">
        <v>36.71</v>
      </c>
      <c r="D51" s="92" t="n">
        <v>44621</v>
      </c>
      <c r="E51" s="122" t="inlineStr">
        <is>
          <t>Credit Card</t>
        </is>
      </c>
    </row>
    <row r="52" ht="14.25" customHeight="1" s="137">
      <c r="A52" s="122" t="inlineStr">
        <is>
          <t>ART PRECOLOMBIEN : COLLECTION LILIANE ET MICHEL DURAND-DESSERT.</t>
        </is>
      </c>
      <c r="B52" s="122" t="inlineStr">
        <is>
          <t xml:space="preserve">Amazon </t>
        </is>
      </c>
      <c r="C52" s="93" t="n">
        <v>40.13</v>
      </c>
      <c r="D52" s="92" t="n">
        <v>44754</v>
      </c>
      <c r="E52" s="122" t="inlineStr">
        <is>
          <t>Credit Card</t>
        </is>
      </c>
    </row>
    <row r="53" ht="14.25" customHeight="1" s="137">
      <c r="A53" s="122" t="inlineStr">
        <is>
          <t>Ten Centuries That Shaped the West: Greek and Roman Art in Texas Collections.</t>
        </is>
      </c>
      <c r="B53" s="94" t="inlineStr">
        <is>
          <t xml:space="preserve">Amazon </t>
        </is>
      </c>
      <c r="C53" s="93" t="n">
        <v>9.460000000000001</v>
      </c>
      <c r="D53" s="92" t="n">
        <v>44763</v>
      </c>
      <c r="E53" s="122" t="inlineStr">
        <is>
          <t>Credit Card</t>
        </is>
      </c>
    </row>
    <row r="54" ht="14.25" customHeight="1" s="137">
      <c r="A54" s="122" t="inlineStr">
        <is>
          <t>Cabinets of Curiosities</t>
        </is>
      </c>
      <c r="B54" s="94" t="inlineStr">
        <is>
          <t xml:space="preserve">Amazon </t>
        </is>
      </c>
      <c r="C54" s="93" t="n">
        <v>26.35</v>
      </c>
      <c r="D54" s="92" t="n">
        <v>44811</v>
      </c>
      <c r="E54" s="122" t="inlineStr">
        <is>
          <t>Credit Card</t>
        </is>
      </c>
    </row>
    <row r="55" ht="14.25" customHeight="1" s="137">
      <c r="A55" s="122" t="inlineStr">
        <is>
          <t>The Content family collection of ancient cameos</t>
        </is>
      </c>
      <c r="B55" s="94" t="inlineStr">
        <is>
          <t xml:space="preserve">Amazon </t>
        </is>
      </c>
      <c r="C55" s="93" t="n">
        <v>50.49</v>
      </c>
      <c r="D55" s="92" t="n">
        <v>44905</v>
      </c>
      <c r="E55" s="122" t="inlineStr">
        <is>
          <t>Credit Card</t>
        </is>
      </c>
    </row>
    <row r="56" ht="14.25" customHeight="1" s="137">
      <c r="A56" s="122" t="inlineStr">
        <is>
          <t>100 Werke Antiker Kleinkunst Katalog 1</t>
        </is>
      </c>
      <c r="B56" s="94" t="inlineStr">
        <is>
          <t>Abebooks</t>
        </is>
      </c>
      <c r="C56" s="93" t="n">
        <v>18.06</v>
      </c>
      <c r="D56" s="92" t="n">
        <v>44919</v>
      </c>
      <c r="E56" s="122" t="inlineStr">
        <is>
          <t>Credit Card</t>
        </is>
      </c>
    </row>
    <row r="57" ht="14.25" customHeight="1" s="137">
      <c r="A57" s="95" t="inlineStr">
        <is>
          <t>Total</t>
        </is>
      </c>
      <c r="B57" s="95" t="n"/>
      <c r="C57" s="96">
        <f>SUM(C2:C56)</f>
        <v/>
      </c>
      <c r="D57" s="97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</row>
    <row r="58" ht="14.25" customHeight="1" s="137">
      <c r="C58" s="88" t="n"/>
      <c r="D58" s="92" t="n"/>
    </row>
    <row r="59" ht="14.25" customHeight="1" s="137">
      <c r="A59" s="89" t="n">
        <v>2023</v>
      </c>
      <c r="C59" s="88" t="n"/>
      <c r="D59" s="92" t="n"/>
    </row>
    <row r="60" ht="14.25" customHeight="1" s="137">
      <c r="A60" s="122" t="inlineStr">
        <is>
          <t>A Catalogue of Engraved Gems in the British Museum: Department of Greek and Roman Antiquities</t>
        </is>
      </c>
      <c r="B60" s="94" t="inlineStr">
        <is>
          <t>Abebooks</t>
        </is>
      </c>
      <c r="C60" s="93" t="n">
        <v>5.37</v>
      </c>
      <c r="D60" s="92" t="n">
        <v>44563</v>
      </c>
      <c r="E60" s="122" t="inlineStr">
        <is>
          <t>Credit Card</t>
        </is>
      </c>
    </row>
    <row r="61" ht="14.25" customHeight="1" s="137">
      <c r="A61" s="122" t="inlineStr">
        <is>
          <t>Cyclinder Seals</t>
        </is>
      </c>
      <c r="B61" s="122" t="inlineStr">
        <is>
          <t>Ebay</t>
        </is>
      </c>
      <c r="C61" s="88" t="n">
        <v>20</v>
      </c>
      <c r="D61" s="92" t="n"/>
      <c r="E61" s="122" t="inlineStr">
        <is>
          <t>Credit Card</t>
        </is>
      </c>
    </row>
    <row r="62" ht="14.25" customHeight="1" s="137">
      <c r="A62" s="99" t="inlineStr">
        <is>
          <t>A Collection of Auction and Dealer Catalogues</t>
        </is>
      </c>
      <c r="B62" s="99" t="inlineStr">
        <is>
          <t>Forge&amp;Lynch</t>
        </is>
      </c>
      <c r="C62" s="100" t="n">
        <v>5000</v>
      </c>
      <c r="D62" s="101" t="n"/>
      <c r="E62" s="99" t="inlineStr">
        <is>
          <t>Wire</t>
        </is>
      </c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4.25" customHeight="1" s="137">
      <c r="A63" s="5" t="inlineStr">
        <is>
          <t>Total</t>
        </is>
      </c>
      <c r="B63" s="5" t="n"/>
      <c r="C63" s="86" t="n">
        <v>5025.37</v>
      </c>
      <c r="D63" s="92" t="n"/>
    </row>
    <row r="64" ht="14.25" customHeight="1" s="137">
      <c r="C64" s="88" t="n"/>
      <c r="D64" s="92" t="n"/>
    </row>
    <row r="65" ht="14.25" customHeight="1" s="137">
      <c r="A65" s="89" t="n">
        <v>2024</v>
      </c>
      <c r="C65" s="88" t="n"/>
      <c r="D65" s="92" t="n"/>
    </row>
    <row r="66" ht="14.25" customHeight="1" s="137">
      <c r="A66" s="122" t="inlineStr">
        <is>
          <t>Lost Cities of the Mayas:</t>
        </is>
      </c>
      <c r="B66" s="122" t="inlineStr">
        <is>
          <t>Abebooks</t>
        </is>
      </c>
      <c r="C66" s="88" t="n">
        <v>65.56</v>
      </c>
      <c r="D66" s="92" t="n"/>
      <c r="E66" s="122" t="inlineStr">
        <is>
          <t>Credit Card</t>
        </is>
      </c>
    </row>
    <row r="67" ht="14.25" customHeight="1" s="137">
      <c r="A67" s="102" t="inlineStr">
        <is>
          <t>Renaissance Jewels and Jeweled Objects, from the Melvin Gutman Collection</t>
        </is>
      </c>
      <c r="B67" s="122" t="inlineStr">
        <is>
          <t>Abebooks</t>
        </is>
      </c>
      <c r="C67" s="88" t="n">
        <v>25.23</v>
      </c>
      <c r="D67" s="92" t="n"/>
      <c r="E67" s="122" t="inlineStr">
        <is>
          <t>Credit Card</t>
        </is>
      </c>
    </row>
    <row r="68" ht="14.25" customHeight="1" s="137">
      <c r="A68" s="102" t="inlineStr">
        <is>
          <t>Christie's Catalogue Northwick Park</t>
        </is>
      </c>
      <c r="B68" s="122" t="inlineStr">
        <is>
          <t>Ebay</t>
        </is>
      </c>
      <c r="C68" s="88" t="n">
        <v>28.55</v>
      </c>
      <c r="D68" s="92" t="n">
        <v>45654</v>
      </c>
      <c r="E68" s="122" t="inlineStr">
        <is>
          <t>Credit Card</t>
        </is>
      </c>
    </row>
    <row r="69" ht="14.25" customHeight="1" s="137">
      <c r="A69" s="102" t="inlineStr">
        <is>
          <t>Harmer Rooke 1986</t>
        </is>
      </c>
      <c r="B69" s="122" t="inlineStr">
        <is>
          <t>Ebay</t>
        </is>
      </c>
      <c r="C69" s="88" t="n">
        <v>11.69</v>
      </c>
      <c r="D69" s="92" t="n">
        <v>45546</v>
      </c>
      <c r="E69" s="122" t="inlineStr">
        <is>
          <t>Credit Card</t>
        </is>
      </c>
    </row>
    <row r="70" ht="14.25" customHeight="1" s="137">
      <c r="A70" s="102" t="inlineStr">
        <is>
          <t>Grimani Palace Flyer</t>
        </is>
      </c>
      <c r="B70" s="122" t="inlineStr">
        <is>
          <t>Ebay</t>
        </is>
      </c>
      <c r="C70" s="88" t="n">
        <v>16.91</v>
      </c>
      <c r="D70" s="92" t="n">
        <v>45442</v>
      </c>
      <c r="E70" s="122" t="inlineStr">
        <is>
          <t>Credit Card</t>
        </is>
      </c>
    </row>
    <row r="71" ht="14.25" customHeight="1" s="137">
      <c r="A71" s="102" t="inlineStr">
        <is>
          <t>CoC Book</t>
        </is>
      </c>
      <c r="B71" s="122" t="inlineStr">
        <is>
          <t>Amazon</t>
        </is>
      </c>
      <c r="C71" s="88" t="n">
        <v>49.5</v>
      </c>
      <c r="D71" s="92" t="n"/>
      <c r="E71" s="122" t="inlineStr">
        <is>
          <t>Credit Card</t>
        </is>
      </c>
    </row>
    <row r="72" ht="14.25" customHeight="1" s="137">
      <c r="A72" s="95" t="inlineStr">
        <is>
          <t>Total</t>
        </is>
      </c>
      <c r="B72" s="95" t="n"/>
      <c r="C72" s="96">
        <f>SUM(C66:C71)</f>
        <v/>
      </c>
      <c r="D72" s="97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</row>
    <row r="73" ht="14.25" customHeight="1" s="137">
      <c r="C73" s="88" t="n"/>
      <c r="D73" s="92" t="n"/>
    </row>
    <row r="74" ht="14.25" customHeight="1" s="137">
      <c r="A74" s="89" t="n">
        <v>2025</v>
      </c>
      <c r="C74" s="88" t="n"/>
      <c r="D74" s="92" t="n"/>
    </row>
    <row r="75" ht="14.25" customHeight="1" s="137">
      <c r="A75" s="122" t="inlineStr">
        <is>
          <t>Jewelry Books</t>
        </is>
      </c>
      <c r="B75" s="122" t="inlineStr">
        <is>
          <t>Fred Schultz Library</t>
        </is>
      </c>
      <c r="C75" s="103" t="n">
        <v>1000</v>
      </c>
      <c r="D75" s="92" t="n">
        <v>45664</v>
      </c>
      <c r="E75" s="122" t="inlineStr">
        <is>
          <t>Wire</t>
        </is>
      </c>
    </row>
    <row r="76" ht="14.25" customHeight="1" s="137">
      <c r="C76" s="88" t="n"/>
      <c r="D76" s="92" t="n"/>
    </row>
    <row r="77" ht="14.25" customHeight="1" s="137">
      <c r="C77" s="88" t="n"/>
      <c r="D77" s="92" t="n"/>
    </row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ColWidth="14.43" defaultRowHeight="15" customHeight="1"/>
  <cols>
    <col width="47.86" customWidth="1" style="137" min="1" max="1"/>
    <col width="20.57" customWidth="1" style="137" min="2" max="2"/>
    <col width="19.57" customWidth="1" style="137" min="3" max="3"/>
    <col width="16.57" customWidth="1" style="137" min="4" max="4"/>
    <col width="19.14" customWidth="1" style="137" min="5" max="5"/>
    <col width="17.43" customWidth="1" style="137" min="6" max="6"/>
    <col width="24.86" customWidth="1" style="137" min="7" max="7"/>
    <col width="16.14" customWidth="1" style="137" min="8" max="8"/>
    <col width="13.57" customWidth="1" style="137" min="9" max="9"/>
    <col width="19.43" customWidth="1" style="137" min="10" max="10"/>
    <col width="8.710000000000001" customWidth="1" style="137" min="11" max="26"/>
  </cols>
  <sheetData>
    <row r="1" ht="14.25" customHeight="1" s="137">
      <c r="B1" s="104" t="n"/>
      <c r="C1" s="88" t="n"/>
      <c r="F1" s="88" t="n"/>
      <c r="I1" s="105" t="n"/>
    </row>
    <row r="2" ht="14.25" customHeight="1" s="137">
      <c r="A2" s="106" t="inlineStr">
        <is>
          <t>Sales 2022</t>
        </is>
      </c>
      <c r="B2" s="106" t="n"/>
      <c r="C2" s="106" t="n"/>
      <c r="D2" s="106" t="n"/>
      <c r="E2" s="106" t="n"/>
      <c r="F2" s="106" t="n"/>
      <c r="G2" s="106" t="n"/>
      <c r="H2" s="106" t="n"/>
      <c r="I2" s="105" t="n"/>
    </row>
    <row r="3" ht="14.25" customHeight="1" s="137">
      <c r="A3" s="89" t="inlineStr">
        <is>
          <t>Object</t>
        </is>
      </c>
      <c r="B3" s="107" t="inlineStr">
        <is>
          <t>From</t>
        </is>
      </c>
      <c r="C3" s="90" t="inlineStr">
        <is>
          <t>Cost</t>
        </is>
      </c>
      <c r="D3" s="89" t="inlineStr">
        <is>
          <t xml:space="preserve">Purchase Date </t>
        </is>
      </c>
      <c r="E3" s="89" t="inlineStr">
        <is>
          <t>To</t>
        </is>
      </c>
      <c r="F3" s="90" t="inlineStr">
        <is>
          <t>Sale Price</t>
        </is>
      </c>
      <c r="G3" s="89" t="inlineStr">
        <is>
          <t>Sale Date</t>
        </is>
      </c>
      <c r="H3" s="89" t="inlineStr">
        <is>
          <t>Net Income</t>
        </is>
      </c>
      <c r="I3" s="108" t="inlineStr">
        <is>
          <t>ROI (%)</t>
        </is>
      </c>
      <c r="J3" s="89" t="inlineStr">
        <is>
          <t xml:space="preserve">Days in Inventory </t>
        </is>
      </c>
    </row>
    <row r="4" ht="14.25" customHeight="1" s="137">
      <c r="A4" s="122" t="inlineStr">
        <is>
          <t>An Ashanti Wood Fertility Figure</t>
        </is>
      </c>
      <c r="B4" s="104" t="inlineStr">
        <is>
          <t>Live Auctioneers</t>
        </is>
      </c>
      <c r="C4" s="88" t="n">
        <v>450</v>
      </c>
      <c r="D4" s="92" t="n">
        <v>44344</v>
      </c>
      <c r="E4" s="122" t="inlineStr">
        <is>
          <t>Hindman</t>
        </is>
      </c>
      <c r="F4" s="88" t="n">
        <v>500</v>
      </c>
      <c r="G4" s="92" t="n">
        <v>44755</v>
      </c>
      <c r="H4" s="88">
        <f>SUM(F4-C4)</f>
        <v/>
      </c>
      <c r="I4" s="105">
        <f>H4/C4</f>
        <v/>
      </c>
      <c r="J4" s="122">
        <f>G4-D4</f>
        <v/>
      </c>
    </row>
    <row r="5" ht="14.25" customHeight="1" s="137">
      <c r="A5" s="122" t="inlineStr">
        <is>
          <t>A Large Maya Hardstone Celt</t>
        </is>
      </c>
      <c r="B5" s="104" t="inlineStr">
        <is>
          <t>Live Auctioneers</t>
        </is>
      </c>
      <c r="C5" s="88" t="n">
        <v>906.37</v>
      </c>
      <c r="D5" s="92" t="n">
        <v>44535</v>
      </c>
      <c r="E5" s="122" t="inlineStr">
        <is>
          <t>Hindman</t>
        </is>
      </c>
      <c r="F5" s="88" t="n">
        <v>1000</v>
      </c>
      <c r="G5" s="92" t="n">
        <v>44755</v>
      </c>
      <c r="H5" s="88">
        <f>SUM(F5-C5)</f>
        <v/>
      </c>
      <c r="I5" s="105">
        <f>H5/C5</f>
        <v/>
      </c>
      <c r="J5" s="122">
        <f>G5-D5</f>
        <v/>
      </c>
    </row>
    <row r="6" ht="14.25" customHeight="1" s="137">
      <c r="A6" s="122" t="inlineStr">
        <is>
          <t>A Mezcala Stone Figure</t>
        </is>
      </c>
      <c r="B6" s="104" t="inlineStr">
        <is>
          <t>Live Auctioneers</t>
        </is>
      </c>
      <c r="C6" s="109" t="n">
        <v>239</v>
      </c>
      <c r="D6" s="92" t="n">
        <v>44548</v>
      </c>
      <c r="E6" s="122" t="inlineStr">
        <is>
          <t>Hindman</t>
        </is>
      </c>
      <c r="F6" s="88" t="n">
        <v>400</v>
      </c>
      <c r="G6" s="92" t="n">
        <v>44755</v>
      </c>
      <c r="H6" s="88">
        <f>SUM(F6-C6)</f>
        <v/>
      </c>
      <c r="I6" s="105">
        <f>H6/C6</f>
        <v/>
      </c>
      <c r="J6" s="122">
        <f>G6-D6</f>
        <v/>
      </c>
    </row>
    <row r="7" ht="14.25" customHeight="1" s="137">
      <c r="A7" s="122" t="inlineStr">
        <is>
          <t>A Veracruz Sonriente Figure</t>
        </is>
      </c>
      <c r="B7" s="104" t="inlineStr">
        <is>
          <t>Live Auctioneers</t>
        </is>
      </c>
      <c r="C7" s="88" t="n">
        <v>900</v>
      </c>
      <c r="D7" s="92" t="n">
        <v>44569</v>
      </c>
      <c r="E7" s="122" t="inlineStr">
        <is>
          <t>Hindman</t>
        </is>
      </c>
      <c r="F7" s="88" t="n">
        <v>1100</v>
      </c>
      <c r="G7" s="92" t="n">
        <v>44755</v>
      </c>
      <c r="H7" s="88">
        <f>SUM(F7-C7)</f>
        <v/>
      </c>
      <c r="I7" s="105">
        <f>H7/C7</f>
        <v/>
      </c>
      <c r="J7" s="122">
        <f>G7-D7</f>
        <v/>
      </c>
    </row>
    <row r="8" ht="14.25" customHeight="1" s="137">
      <c r="A8" s="122" t="inlineStr">
        <is>
          <t>A Tairona Metal Tumbaga</t>
        </is>
      </c>
      <c r="B8" s="104" t="inlineStr">
        <is>
          <t>Live Auctioneers</t>
        </is>
      </c>
      <c r="C8" s="88" t="n">
        <v>172</v>
      </c>
      <c r="D8" s="92" t="n">
        <v>44569</v>
      </c>
      <c r="E8" s="122" t="inlineStr">
        <is>
          <t>Hindman</t>
        </is>
      </c>
      <c r="F8" s="88" t="n">
        <v>375</v>
      </c>
      <c r="G8" s="92" t="n">
        <v>44755</v>
      </c>
      <c r="H8" s="88">
        <f>SUM(F8-C8)</f>
        <v/>
      </c>
      <c r="I8" s="105">
        <f>H8/C8</f>
        <v/>
      </c>
      <c r="J8" s="122">
        <f>G8-D8</f>
        <v/>
      </c>
    </row>
    <row r="9" ht="14.25" customHeight="1" s="137">
      <c r="A9" s="122" t="inlineStr">
        <is>
          <t>Four Thracian Gilt-Silver Double Eagle Plaques</t>
        </is>
      </c>
      <c r="B9" s="104" t="inlineStr">
        <is>
          <t>Hindman</t>
        </is>
      </c>
      <c r="C9" s="88" t="n">
        <v>400</v>
      </c>
      <c r="D9" s="92" t="n">
        <v>44343</v>
      </c>
      <c r="E9" s="122" t="inlineStr">
        <is>
          <t>Hindman</t>
        </is>
      </c>
      <c r="F9" s="88" t="n">
        <v>500</v>
      </c>
      <c r="G9" s="92" t="n">
        <v>44877</v>
      </c>
      <c r="H9" s="88">
        <f>SUM(F9-C9)</f>
        <v/>
      </c>
      <c r="I9" s="105">
        <f>H9/C9</f>
        <v/>
      </c>
      <c r="J9" s="122">
        <f>G9-D9</f>
        <v/>
      </c>
    </row>
    <row r="10" ht="14.25" customHeight="1" s="137">
      <c r="A10" s="122" t="inlineStr">
        <is>
          <t>A Thracian Gilt-Silver Tondo of a Female Bust</t>
        </is>
      </c>
      <c r="B10" s="104" t="inlineStr">
        <is>
          <t>Hindman</t>
        </is>
      </c>
      <c r="C10" s="88" t="n">
        <v>375</v>
      </c>
      <c r="D10" s="92" t="n">
        <v>44343</v>
      </c>
      <c r="E10" s="122" t="inlineStr">
        <is>
          <t>Hindman</t>
        </is>
      </c>
      <c r="F10" s="88" t="n">
        <v>700</v>
      </c>
      <c r="G10" s="92" t="n">
        <v>44877</v>
      </c>
      <c r="H10" s="88">
        <f>SUM(F10-C10)</f>
        <v/>
      </c>
      <c r="I10" s="105">
        <f>H10/C10</f>
        <v/>
      </c>
      <c r="J10" s="122">
        <f>G10-D10</f>
        <v/>
      </c>
    </row>
    <row r="11" ht="14.25" customHeight="1" s="137">
      <c r="A11" s="122" t="inlineStr">
        <is>
          <t>A Pair of Canosan Painted Pottery Oinochoai</t>
        </is>
      </c>
      <c r="B11" s="104" t="inlineStr">
        <is>
          <t>Hindman</t>
        </is>
      </c>
      <c r="C11" s="88" t="n">
        <v>6250</v>
      </c>
      <c r="D11" s="92" t="n">
        <v>44343</v>
      </c>
      <c r="E11" s="92" t="inlineStr">
        <is>
          <t>Hindman</t>
        </is>
      </c>
      <c r="F11" s="88" t="n">
        <v>15000</v>
      </c>
      <c r="G11" s="92" t="n">
        <v>44877</v>
      </c>
      <c r="H11" s="88">
        <f>SUM(F11-C11)</f>
        <v/>
      </c>
      <c r="I11" s="105">
        <f>H11/C11</f>
        <v/>
      </c>
      <c r="J11" s="122">
        <f>G11-D11</f>
        <v/>
      </c>
    </row>
    <row r="12" ht="14.25" customHeight="1" s="137">
      <c r="A12" s="122" t="inlineStr">
        <is>
          <t xml:space="preserve">Thirteen Saharan Stone Bracelets and Discoidals </t>
        </is>
      </c>
      <c r="B12" s="104" t="inlineStr">
        <is>
          <t>Amyas Naegele</t>
        </is>
      </c>
      <c r="C12" s="88" t="n">
        <v>6100</v>
      </c>
      <c r="D12" s="92" t="n">
        <v>44692</v>
      </c>
      <c r="E12" s="122" t="inlineStr">
        <is>
          <t>Aquinas Hobor</t>
        </is>
      </c>
      <c r="F12" s="88" t="n">
        <v>8000</v>
      </c>
      <c r="G12" s="92" t="n">
        <v>44908</v>
      </c>
      <c r="H12" s="88">
        <f>SUM(F12-C12)</f>
        <v/>
      </c>
      <c r="I12" s="105">
        <f>H12/C12</f>
        <v/>
      </c>
      <c r="J12" s="122">
        <f>G12-D12</f>
        <v/>
      </c>
    </row>
    <row r="13" ht="14.25" customHeight="1" s="137">
      <c r="A13" s="122" t="inlineStr">
        <is>
          <t>A Greek Style Bronze Corinthian Helmet</t>
        </is>
      </c>
      <c r="B13" s="104" t="inlineStr">
        <is>
          <t>EBay</t>
        </is>
      </c>
      <c r="C13" s="88" t="n">
        <v>5250.97</v>
      </c>
      <c r="D13" s="92" t="n">
        <v>44895</v>
      </c>
      <c r="E13" s="122" t="inlineStr">
        <is>
          <t>Marco Mercanti</t>
        </is>
      </c>
      <c r="F13" s="88" t="n">
        <v>9000</v>
      </c>
      <c r="G13" s="92" t="n">
        <v>44908</v>
      </c>
      <c r="H13" s="88">
        <f>SUM(F13-C13)</f>
        <v/>
      </c>
      <c r="I13" s="105">
        <f>H13/C13</f>
        <v/>
      </c>
      <c r="J13" s="122">
        <f>G13-D13</f>
        <v/>
      </c>
    </row>
    <row r="14" ht="14.25" customHeight="1" s="137">
      <c r="A14" s="5" t="inlineStr">
        <is>
          <t>Total</t>
        </is>
      </c>
      <c r="B14" s="104" t="n"/>
      <c r="C14" s="86">
        <f>SUM(C4:C13)</f>
        <v/>
      </c>
      <c r="D14" s="92" t="n"/>
      <c r="F14" s="86">
        <f>SUM(F4:F13)</f>
        <v/>
      </c>
      <c r="G14" s="92" t="n"/>
      <c r="H14" s="110">
        <f>SUM(H4:H13)</f>
        <v/>
      </c>
      <c r="I14" s="105">
        <f>H14/C14</f>
        <v/>
      </c>
      <c r="J14" s="111">
        <f>AVERAGE(J4:J13)</f>
        <v/>
      </c>
    </row>
    <row r="15" ht="14.25" customHeight="1" s="137">
      <c r="A15" s="106" t="inlineStr">
        <is>
          <t>Sales 2023</t>
        </is>
      </c>
      <c r="B15" s="106" t="n"/>
      <c r="C15" s="106" t="n"/>
      <c r="D15" s="106" t="n"/>
      <c r="E15" s="106" t="n"/>
      <c r="F15" s="106" t="n"/>
      <c r="G15" s="106" t="n"/>
      <c r="H15" s="106" t="n"/>
      <c r="I15" s="105" t="n"/>
    </row>
    <row r="16" ht="14.25" customHeight="1" s="137">
      <c r="A16" s="89" t="inlineStr">
        <is>
          <t>Object</t>
        </is>
      </c>
      <c r="B16" s="107" t="inlineStr">
        <is>
          <t>From</t>
        </is>
      </c>
      <c r="C16" s="90" t="inlineStr">
        <is>
          <t>Cost</t>
        </is>
      </c>
      <c r="D16" s="89" t="inlineStr">
        <is>
          <t xml:space="preserve">Purchase Date </t>
        </is>
      </c>
      <c r="E16" s="89" t="inlineStr">
        <is>
          <t>To</t>
        </is>
      </c>
      <c r="F16" s="90" t="inlineStr">
        <is>
          <t>Sale Price</t>
        </is>
      </c>
      <c r="G16" s="89" t="inlineStr">
        <is>
          <t>Sale Date</t>
        </is>
      </c>
      <c r="H16" s="89" t="inlineStr">
        <is>
          <t>Net Income</t>
        </is>
      </c>
      <c r="I16" s="105" t="n"/>
    </row>
    <row r="17" ht="14.25" customHeight="1" s="137">
      <c r="A17" s="122" t="inlineStr">
        <is>
          <t>Greek Bronze Cheek Pieces</t>
        </is>
      </c>
      <c r="B17" s="104" t="inlineStr">
        <is>
          <t>eBay</t>
        </is>
      </c>
      <c r="C17" s="88" t="n">
        <v>2870.43</v>
      </c>
      <c r="D17" s="92" t="n">
        <v>44918</v>
      </c>
      <c r="E17" s="122" t="inlineStr">
        <is>
          <t>Hindman</t>
        </is>
      </c>
      <c r="F17" s="88" t="n">
        <v>8500</v>
      </c>
      <c r="G17" s="92" t="n">
        <v>45071</v>
      </c>
      <c r="H17" s="88">
        <f>SUM(F17-C17)</f>
        <v/>
      </c>
      <c r="I17" s="105">
        <f>H17/C17</f>
        <v/>
      </c>
      <c r="J17" s="122">
        <f>G17-D17</f>
        <v/>
      </c>
    </row>
    <row r="18" ht="14.25" customHeight="1" s="137">
      <c r="A18" s="122" t="inlineStr">
        <is>
          <t>Egyptian Neolithic Flint Tools (2)</t>
        </is>
      </c>
      <c r="B18" s="104" t="inlineStr">
        <is>
          <t>Arte Primitivo</t>
        </is>
      </c>
      <c r="C18" s="88" t="n">
        <v>392.14</v>
      </c>
      <c r="D18" s="92" t="n">
        <v>44908</v>
      </c>
      <c r="E18" s="122" t="inlineStr">
        <is>
          <t>Hindman</t>
        </is>
      </c>
      <c r="F18" s="88" t="n">
        <v>2500</v>
      </c>
      <c r="G18" s="92" t="n">
        <v>45071</v>
      </c>
      <c r="H18" s="88">
        <f>SUM(F18-C18)</f>
        <v/>
      </c>
      <c r="I18" s="105">
        <f>H18/C18</f>
        <v/>
      </c>
      <c r="J18" s="122">
        <f>G18-D18</f>
        <v/>
      </c>
    </row>
    <row r="19" ht="14.25" customHeight="1" s="137">
      <c r="A19" s="122" t="inlineStr">
        <is>
          <t>Apulian Red Figure Fragment</t>
        </is>
      </c>
      <c r="B19" s="104" t="inlineStr">
        <is>
          <t>Aaron Berk</t>
        </is>
      </c>
      <c r="C19" s="88" t="n">
        <v>750</v>
      </c>
      <c r="D19" s="92" t="n">
        <v>44718</v>
      </c>
      <c r="E19" s="122" t="inlineStr">
        <is>
          <t>Hindman</t>
        </is>
      </c>
      <c r="F19" s="88" t="n">
        <v>600</v>
      </c>
      <c r="G19" s="92" t="n">
        <v>45071</v>
      </c>
      <c r="H19" s="88">
        <f>SUM(F19-C19)</f>
        <v/>
      </c>
      <c r="I19" s="105">
        <f>H19/C19</f>
        <v/>
      </c>
      <c r="J19" s="122">
        <f>G19-D19</f>
        <v/>
      </c>
    </row>
    <row r="20" ht="14.25" customHeight="1" s="137">
      <c r="A20" s="122" t="inlineStr">
        <is>
          <t>A Roman-Style Rock Crystal Amphoriskos</t>
        </is>
      </c>
      <c r="B20" s="104" t="inlineStr">
        <is>
          <t>Live Auctioneers</t>
        </is>
      </c>
      <c r="C20" s="88" t="n">
        <v>1351.78</v>
      </c>
      <c r="D20" s="92" t="n">
        <v>44770</v>
      </c>
      <c r="E20" s="122" t="inlineStr">
        <is>
          <t>Hindman</t>
        </is>
      </c>
      <c r="F20" s="88" t="n">
        <v>1900</v>
      </c>
      <c r="G20" s="92" t="n">
        <v>45071</v>
      </c>
      <c r="H20" s="88">
        <f>SUM(F20-C20)</f>
        <v/>
      </c>
      <c r="I20" s="105">
        <f>H20/C20</f>
        <v/>
      </c>
      <c r="J20" s="122">
        <f>G20-D20</f>
        <v/>
      </c>
    </row>
    <row r="21" ht="14.25" customHeight="1" s="137">
      <c r="A21" s="5" t="inlineStr">
        <is>
          <t>A Roman Mosaic</t>
        </is>
      </c>
      <c r="B21" s="104" t="inlineStr">
        <is>
          <t>ebay</t>
        </is>
      </c>
      <c r="C21" s="88" t="n">
        <v>3938</v>
      </c>
      <c r="D21" s="92" t="n">
        <v>45087</v>
      </c>
      <c r="E21" s="122" t="inlineStr">
        <is>
          <t>Aaron Berk</t>
        </is>
      </c>
      <c r="F21" s="88" t="n">
        <v>8500</v>
      </c>
      <c r="G21" s="92" t="n">
        <v>45099</v>
      </c>
      <c r="H21" s="88">
        <f>SUM(F21-C21)</f>
        <v/>
      </c>
      <c r="I21" s="105">
        <f>H21/C21</f>
        <v/>
      </c>
      <c r="J21" s="122">
        <f>G21-D21</f>
        <v/>
      </c>
    </row>
    <row r="22" ht="14.25" customHeight="1" s="137">
      <c r="A22" s="122" t="inlineStr">
        <is>
          <t>Pre-Columbian Jade Earspools</t>
        </is>
      </c>
      <c r="B22" s="104" t="inlineStr">
        <is>
          <t>Live Auctioneers</t>
        </is>
      </c>
      <c r="C22" s="88" t="n">
        <v>233</v>
      </c>
      <c r="D22" s="92" t="n">
        <v>45086</v>
      </c>
      <c r="E22" s="122" t="inlineStr">
        <is>
          <t>Aaron Berk</t>
        </is>
      </c>
      <c r="F22" s="88" t="n">
        <v>500</v>
      </c>
      <c r="G22" s="92" t="n">
        <v>45099</v>
      </c>
      <c r="H22" s="88">
        <f>SUM(F22-C22)</f>
        <v/>
      </c>
      <c r="I22" s="105">
        <f>H22/C22</f>
        <v/>
      </c>
      <c r="J22" s="122">
        <f>G22-D22</f>
        <v/>
      </c>
    </row>
    <row r="23" ht="14.25" customHeight="1" s="137">
      <c r="A23" s="122" t="inlineStr">
        <is>
          <t>Teo Alabaster Mask</t>
        </is>
      </c>
      <c r="B23" s="104" t="inlineStr">
        <is>
          <t>Live Auctioneers</t>
        </is>
      </c>
      <c r="C23" s="88" t="n">
        <v>701.5</v>
      </c>
      <c r="D23" s="92" t="n">
        <v>45086</v>
      </c>
      <c r="E23" s="122" t="inlineStr">
        <is>
          <t>Aaron Berk</t>
        </is>
      </c>
      <c r="F23" s="88" t="n">
        <v>2000</v>
      </c>
      <c r="G23" s="92" t="n">
        <v>45099</v>
      </c>
      <c r="H23" s="88">
        <f>SUM(F23-C23)</f>
        <v/>
      </c>
      <c r="I23" s="105">
        <f>H23/C23</f>
        <v/>
      </c>
      <c r="J23" s="122">
        <f>G23-D23</f>
        <v/>
      </c>
    </row>
    <row r="24" ht="14.25" customHeight="1" s="137">
      <c r="A24" s="122" t="inlineStr">
        <is>
          <t>Mezcala Stone Temple</t>
        </is>
      </c>
      <c r="B24" s="104" t="inlineStr">
        <is>
          <t>Live Auctioneers</t>
        </is>
      </c>
      <c r="C24" s="88" t="n">
        <v>233</v>
      </c>
      <c r="D24" s="92" t="n">
        <v>45086</v>
      </c>
      <c r="E24" s="122" t="inlineStr">
        <is>
          <t>Aaron Berk</t>
        </is>
      </c>
      <c r="F24" s="88" t="n">
        <v>500</v>
      </c>
      <c r="G24" s="92" t="n">
        <v>45099</v>
      </c>
      <c r="H24" s="88">
        <f>SUM(F24-C24)</f>
        <v/>
      </c>
      <c r="I24" s="105">
        <f>H24/C24</f>
        <v/>
      </c>
      <c r="J24" s="122">
        <f>G24-D24</f>
        <v/>
      </c>
    </row>
    <row r="25" ht="14.25" customHeight="1" s="137">
      <c r="A25" s="122" t="inlineStr">
        <is>
          <t>Mezcala Stone Figure</t>
        </is>
      </c>
      <c r="B25" s="104" t="inlineStr">
        <is>
          <t>Live Auctioneers</t>
        </is>
      </c>
      <c r="C25" s="88" t="n">
        <v>233</v>
      </c>
      <c r="D25" s="92" t="n">
        <v>45086</v>
      </c>
      <c r="E25" s="122" t="inlineStr">
        <is>
          <t>Aaron Berk</t>
        </is>
      </c>
      <c r="F25" s="88" t="n">
        <v>500</v>
      </c>
      <c r="G25" s="92" t="n">
        <v>45099</v>
      </c>
      <c r="H25" s="88">
        <f>SUM(F25-C25)</f>
        <v/>
      </c>
      <c r="I25" s="105">
        <f>H25/C25</f>
        <v/>
      </c>
      <c r="J25" s="122">
        <f>G25-D25</f>
        <v/>
      </c>
    </row>
    <row r="26" ht="14.25" customHeight="1" s="137">
      <c r="A26" s="122" t="inlineStr">
        <is>
          <t>GREEK BRONZE HELMET OF PHRYGIAN TYPE</t>
        </is>
      </c>
      <c r="B26" s="104" t="inlineStr">
        <is>
          <t>ebay</t>
        </is>
      </c>
      <c r="C26" s="88" t="n">
        <v>2000</v>
      </c>
      <c r="D26" s="92" t="n">
        <v>44918</v>
      </c>
      <c r="E26" s="122" t="inlineStr">
        <is>
          <t>Aaron Berk</t>
        </is>
      </c>
      <c r="F26" s="88" t="n">
        <v>7000</v>
      </c>
      <c r="G26" s="92" t="n">
        <v>45099</v>
      </c>
      <c r="H26" s="88">
        <f>SUM(F26-C26)</f>
        <v/>
      </c>
      <c r="I26" s="105">
        <f>H26/C26</f>
        <v/>
      </c>
      <c r="J26" s="122">
        <f>G26-D26</f>
        <v/>
      </c>
    </row>
    <row r="27" ht="14.25" customHeight="1" s="137">
      <c r="A27" s="122" t="inlineStr">
        <is>
          <t>Bactrian Style Stone Votive</t>
        </is>
      </c>
      <c r="B27" s="104" t="inlineStr">
        <is>
          <t>ebay</t>
        </is>
      </c>
      <c r="C27" s="88" t="n">
        <v>990</v>
      </c>
      <c r="D27" s="92" t="n">
        <v>44918</v>
      </c>
      <c r="E27" s="122" t="inlineStr">
        <is>
          <t>Aaron Berk</t>
        </is>
      </c>
      <c r="F27" s="88" t="n">
        <v>1000</v>
      </c>
      <c r="G27" s="92" t="n">
        <v>45099</v>
      </c>
      <c r="H27" s="88">
        <f>SUM(F27-C27)</f>
        <v/>
      </c>
      <c r="I27" s="105">
        <f>H27/C27</f>
        <v/>
      </c>
      <c r="J27" s="122">
        <f>G27-D27</f>
        <v/>
      </c>
    </row>
    <row r="28" ht="14.25" customHeight="1" s="137">
      <c r="A28" s="122" t="inlineStr">
        <is>
          <t>A Roman Bronze Knife</t>
        </is>
      </c>
      <c r="B28" s="104" t="inlineStr">
        <is>
          <t>Ebay</t>
        </is>
      </c>
      <c r="C28" s="103" t="n">
        <v>110</v>
      </c>
      <c r="D28" s="92" t="n">
        <v>44988</v>
      </c>
      <c r="E28" s="122" t="inlineStr">
        <is>
          <t>Gift</t>
        </is>
      </c>
      <c r="F28" s="88" t="n">
        <v>100</v>
      </c>
      <c r="G28" s="92" t="n">
        <v>45097</v>
      </c>
      <c r="H28" s="88">
        <f>SUM(F28-C28)</f>
        <v/>
      </c>
      <c r="I28" s="105">
        <f>H28/C28</f>
        <v/>
      </c>
      <c r="J28" s="122">
        <f>G28-D28</f>
        <v/>
      </c>
    </row>
    <row r="29" ht="14.25" customHeight="1" s="137">
      <c r="A29" s="122" t="inlineStr">
        <is>
          <t>Collection of Cylinder Seals</t>
        </is>
      </c>
      <c r="B29" s="104" t="inlineStr">
        <is>
          <t>Erdal Dere</t>
        </is>
      </c>
      <c r="C29" s="103" t="n">
        <v>360000</v>
      </c>
      <c r="D29" s="92" t="n">
        <v>45135</v>
      </c>
      <c r="E29" s="122" t="inlineStr">
        <is>
          <t>Aaron Berk</t>
        </is>
      </c>
      <c r="F29" s="88" t="n">
        <v>410000</v>
      </c>
      <c r="G29" s="92" t="n">
        <v>45135</v>
      </c>
      <c r="H29" s="88">
        <f>SUM(F29-C29)</f>
        <v/>
      </c>
      <c r="I29" s="105">
        <f>H29/C29</f>
        <v/>
      </c>
      <c r="J29" s="122">
        <f>G29-D29</f>
        <v/>
      </c>
    </row>
    <row r="30" ht="14.25" customHeight="1" s="137">
      <c r="A30" s="122" t="inlineStr">
        <is>
          <t>An Egyptian Cylinder Seal</t>
        </is>
      </c>
      <c r="B30" s="104" t="inlineStr">
        <is>
          <t>Erdal Dere</t>
        </is>
      </c>
      <c r="C30" s="103" t="n">
        <v>3600</v>
      </c>
      <c r="D30" s="92" t="n">
        <v>45191</v>
      </c>
      <c r="E30" s="122" t="inlineStr">
        <is>
          <t>Aaron Berk</t>
        </is>
      </c>
      <c r="F30" s="88" t="n">
        <v>4000</v>
      </c>
      <c r="G30" s="92" t="n">
        <v>45192</v>
      </c>
      <c r="H30" s="88">
        <f>SUM(F30-C30)</f>
        <v/>
      </c>
      <c r="I30" s="105">
        <f>H30/C30</f>
        <v/>
      </c>
      <c r="J30" s="122">
        <f>G30-D30</f>
        <v/>
      </c>
    </row>
    <row r="31" ht="14.25" customHeight="1" s="137">
      <c r="A31" s="122" t="inlineStr">
        <is>
          <t>A Collection of Tablets</t>
        </is>
      </c>
      <c r="B31" s="104" t="inlineStr">
        <is>
          <t>Danny Anavian</t>
        </is>
      </c>
      <c r="C31" s="103" t="n">
        <v>45000</v>
      </c>
      <c r="D31" s="92" t="n">
        <v>45237</v>
      </c>
      <c r="E31" s="122" t="inlineStr">
        <is>
          <t>Aaron Berk</t>
        </is>
      </c>
      <c r="F31" s="103" t="n">
        <v>55000</v>
      </c>
      <c r="G31" s="92" t="n">
        <v>45244</v>
      </c>
      <c r="H31" s="88">
        <f>SUM(F31-C31)</f>
        <v/>
      </c>
      <c r="I31" s="105">
        <f>H31/C31</f>
        <v/>
      </c>
      <c r="J31" s="122">
        <f>G31-D31</f>
        <v/>
      </c>
    </row>
    <row r="32" ht="14.25" customHeight="1" s="137">
      <c r="A32" s="122" t="inlineStr">
        <is>
          <t>A Gold Coin</t>
        </is>
      </c>
      <c r="B32" s="104" t="inlineStr">
        <is>
          <t>Erdal Dere</t>
        </is>
      </c>
      <c r="C32" s="103" t="n">
        <v>4000</v>
      </c>
      <c r="D32" s="92" t="n">
        <v>45246</v>
      </c>
      <c r="E32" s="122" t="inlineStr">
        <is>
          <t>Felix Brejente</t>
        </is>
      </c>
      <c r="F32" s="88" t="n">
        <v>4700</v>
      </c>
      <c r="G32" s="92" t="n">
        <v>45246</v>
      </c>
      <c r="H32" s="88">
        <f>SUM(F32-C32)</f>
        <v/>
      </c>
      <c r="I32" s="105">
        <f>H32/C32</f>
        <v/>
      </c>
      <c r="J32" s="122">
        <f>G32-D32</f>
        <v/>
      </c>
    </row>
    <row r="33" ht="14.25" customHeight="1" s="137">
      <c r="A33" s="122" t="inlineStr">
        <is>
          <t>Bactrian Chlorite Vessel</t>
        </is>
      </c>
      <c r="B33" s="104" t="inlineStr">
        <is>
          <t>Ebay</t>
        </is>
      </c>
      <c r="C33" s="88" t="n">
        <v>10</v>
      </c>
      <c r="D33" s="92" t="n">
        <v>44895</v>
      </c>
      <c r="E33" s="105" t="inlineStr">
        <is>
          <t>Hindman</t>
        </is>
      </c>
      <c r="F33" s="88" t="n">
        <v>2000</v>
      </c>
      <c r="G33" s="92" t="n">
        <v>45265</v>
      </c>
      <c r="H33" s="88">
        <f>SUM(F33-C33)</f>
        <v/>
      </c>
      <c r="I33" s="105">
        <f>H33/C33</f>
        <v/>
      </c>
      <c r="J33" s="122">
        <f>G33-D33</f>
        <v/>
      </c>
    </row>
    <row r="34" ht="14.25" customHeight="1" s="137">
      <c r="A34" s="122" t="inlineStr">
        <is>
          <t>An Egyptian Limestone Head of Hathor</t>
        </is>
      </c>
      <c r="B34" s="104" t="inlineStr">
        <is>
          <t>Ebay</t>
        </is>
      </c>
      <c r="C34" s="88" t="n">
        <v>50</v>
      </c>
      <c r="D34" s="92" t="n">
        <v>44911</v>
      </c>
      <c r="E34" s="122" t="inlineStr">
        <is>
          <t>Harlan J. Berk</t>
        </is>
      </c>
      <c r="F34" s="88" t="n">
        <v>1000</v>
      </c>
      <c r="G34" s="92" t="n">
        <v>45261</v>
      </c>
      <c r="H34" s="88">
        <f>SUM(F34-C34)</f>
        <v/>
      </c>
      <c r="I34" s="105">
        <f>H34/C34</f>
        <v/>
      </c>
      <c r="J34" s="122">
        <f>G34-D34</f>
        <v/>
      </c>
    </row>
    <row r="35" ht="14.25" customHeight="1" s="137">
      <c r="A35" s="122" t="inlineStr">
        <is>
          <t>Native America Banner Stone (Butterfly)</t>
        </is>
      </c>
      <c r="B35" s="104" t="inlineStr">
        <is>
          <t>Amyas Naegele</t>
        </is>
      </c>
      <c r="C35" s="88" t="n">
        <v>50</v>
      </c>
      <c r="D35" s="92" t="n">
        <v>44911</v>
      </c>
      <c r="E35" s="122" t="inlineStr">
        <is>
          <t>Harlan J. Berk</t>
        </is>
      </c>
      <c r="F35" s="88" t="n">
        <v>100</v>
      </c>
      <c r="G35" s="92" t="n">
        <v>45261</v>
      </c>
      <c r="H35" s="88">
        <f>SUM(F35-C35)</f>
        <v/>
      </c>
      <c r="I35" s="105">
        <f>H35/C35</f>
        <v/>
      </c>
      <c r="J35" s="122">
        <f>G35-D35</f>
        <v/>
      </c>
    </row>
    <row r="36" ht="14.25" customHeight="1" s="137">
      <c r="A36" s="122" t="inlineStr">
        <is>
          <t>Native America Banner Stone (Anthro)</t>
        </is>
      </c>
      <c r="B36" s="104" t="inlineStr">
        <is>
          <t>Amyas Naegele</t>
        </is>
      </c>
      <c r="C36" s="88" t="n">
        <v>50</v>
      </c>
      <c r="D36" s="92" t="n">
        <v>44911</v>
      </c>
      <c r="E36" s="122" t="inlineStr">
        <is>
          <t>Harlan J. Berk</t>
        </is>
      </c>
      <c r="F36" s="88" t="n">
        <v>100</v>
      </c>
      <c r="G36" s="92" t="n">
        <v>45261</v>
      </c>
      <c r="H36" s="88">
        <f>SUM(F36-C36)</f>
        <v/>
      </c>
      <c r="I36" s="105">
        <f>H36/C36</f>
        <v/>
      </c>
      <c r="J36" s="122">
        <f>G36-D36</f>
        <v/>
      </c>
    </row>
    <row r="37" ht="14.25" customHeight="1" s="137">
      <c r="A37" s="5" t="inlineStr">
        <is>
          <t>Total</t>
        </is>
      </c>
      <c r="B37" s="104" t="n"/>
      <c r="C37" s="86">
        <f>SUM(C17:C36)</f>
        <v/>
      </c>
      <c r="D37" s="92" t="n"/>
      <c r="F37" s="86">
        <f>SUM(F17:F36)</f>
        <v/>
      </c>
      <c r="G37" s="92" t="n"/>
      <c r="H37" s="110">
        <f>SUM(H17:H36)</f>
        <v/>
      </c>
      <c r="I37" s="105">
        <f>H37/C37</f>
        <v/>
      </c>
      <c r="J37" s="111">
        <f>AVERAGE(J17:J36)</f>
        <v/>
      </c>
    </row>
    <row r="38" ht="14.25" customHeight="1" s="137">
      <c r="A38" s="106" t="inlineStr">
        <is>
          <t>Sales 2024</t>
        </is>
      </c>
      <c r="B38" s="106" t="n"/>
      <c r="C38" s="106" t="n"/>
      <c r="D38" s="106" t="n"/>
      <c r="E38" s="106" t="n"/>
      <c r="F38" s="106" t="n"/>
      <c r="G38" s="106" t="n"/>
      <c r="H38" s="106" t="n"/>
      <c r="I38" s="105" t="n"/>
    </row>
    <row r="39" ht="14.25" customHeight="1" s="137">
      <c r="A39" s="89" t="inlineStr">
        <is>
          <t>Object</t>
        </is>
      </c>
      <c r="B39" s="107" t="inlineStr">
        <is>
          <t>From</t>
        </is>
      </c>
      <c r="C39" s="90" t="inlineStr">
        <is>
          <t>Cost</t>
        </is>
      </c>
      <c r="D39" s="89" t="inlineStr">
        <is>
          <t xml:space="preserve">Purchase Date </t>
        </is>
      </c>
      <c r="E39" s="89" t="inlineStr">
        <is>
          <t>To</t>
        </is>
      </c>
      <c r="F39" s="90" t="inlineStr">
        <is>
          <t>Sale Price</t>
        </is>
      </c>
      <c r="G39" s="89" t="inlineStr">
        <is>
          <t>Sale Date</t>
        </is>
      </c>
      <c r="H39" s="89" t="inlineStr">
        <is>
          <t>Net Income</t>
        </is>
      </c>
      <c r="I39" s="105" t="n"/>
    </row>
    <row r="40" ht="14.25" customHeight="1" s="137">
      <c r="A40" s="122" t="inlineStr">
        <is>
          <t>A Valdivian Stone Votive Axe</t>
        </is>
      </c>
      <c r="B40" s="104" t="inlineStr">
        <is>
          <t>Arte Primitivo</t>
        </is>
      </c>
      <c r="C40" s="103" t="n">
        <v>470</v>
      </c>
      <c r="D40" s="92" t="n">
        <v>45196</v>
      </c>
      <c r="E40" s="122" t="inlineStr">
        <is>
          <t>Hindman</t>
        </is>
      </c>
      <c r="F40" s="88" t="n">
        <v>600</v>
      </c>
      <c r="G40" s="92" t="n">
        <v>45000</v>
      </c>
      <c r="H40" s="88">
        <f>SUM(F40-C40)</f>
        <v/>
      </c>
      <c r="I40" s="105">
        <f>H40/C40</f>
        <v/>
      </c>
    </row>
    <row r="41" ht="14.25" customHeight="1" s="137">
      <c r="A41" s="122" t="inlineStr">
        <is>
          <t>A Roman Marble Leg</t>
        </is>
      </c>
      <c r="B41" s="104" t="inlineStr">
        <is>
          <t>Harlan J. Berk</t>
        </is>
      </c>
      <c r="C41" s="103" t="n">
        <v>2500</v>
      </c>
      <c r="D41" s="92" t="n">
        <v>45379</v>
      </c>
      <c r="E41" s="122" t="inlineStr">
        <is>
          <t>WhiteCube</t>
        </is>
      </c>
      <c r="F41" s="88" t="n">
        <v>2982</v>
      </c>
      <c r="G41" s="92" t="n">
        <v>45379</v>
      </c>
      <c r="H41" s="88">
        <f>SUM(F41-C41)</f>
        <v/>
      </c>
      <c r="I41" s="105">
        <f>H41/C41</f>
        <v/>
      </c>
    </row>
    <row r="42" ht="14.25" customHeight="1" s="137">
      <c r="A42" s="122" t="inlineStr">
        <is>
          <t>Sword 10th Century Viking</t>
        </is>
      </c>
      <c r="B42" s="104" t="inlineStr">
        <is>
          <t>Zevantiques</t>
        </is>
      </c>
      <c r="C42" s="103" t="n">
        <v>1416.99</v>
      </c>
      <c r="D42" s="92" t="n">
        <v>45311</v>
      </c>
      <c r="E42" s="122" t="inlineStr">
        <is>
          <t>Harlan J. Berk</t>
        </is>
      </c>
      <c r="F42" s="88" t="n">
        <v>6500</v>
      </c>
      <c r="G42" s="92" t="n">
        <v>45448</v>
      </c>
      <c r="H42" s="88">
        <f>SUM(F42-C42)</f>
        <v/>
      </c>
      <c r="I42" s="105">
        <f>H42/C42</f>
        <v/>
      </c>
    </row>
    <row r="43" ht="14.25" customHeight="1" s="137">
      <c r="A43" s="122" t="inlineStr">
        <is>
          <t>A Collection of Cylinder Seal</t>
        </is>
      </c>
      <c r="B43" s="104" t="inlineStr">
        <is>
          <t>Erdal Dere</t>
        </is>
      </c>
      <c r="C43" s="103" t="n">
        <v>33000</v>
      </c>
      <c r="D43" s="92" t="n">
        <v>45468</v>
      </c>
      <c r="E43" s="122" t="inlineStr">
        <is>
          <t>Harlan J. Berk</t>
        </is>
      </c>
      <c r="F43" s="88" t="n">
        <v>36000</v>
      </c>
      <c r="G43" s="92" t="n">
        <v>45468</v>
      </c>
      <c r="H43" s="88">
        <f>SUM(F43-C43)</f>
        <v/>
      </c>
      <c r="I43" s="105" t="n"/>
    </row>
    <row r="44" ht="14.25" customHeight="1" s="137">
      <c r="A44" s="122" t="inlineStr">
        <is>
          <t>A Roman Glass Beaker</t>
        </is>
      </c>
      <c r="B44" s="104" t="inlineStr">
        <is>
          <t>Erdal Dere</t>
        </is>
      </c>
      <c r="C44" s="103" t="n">
        <v>25000</v>
      </c>
      <c r="D44" s="92" t="n">
        <v>45408</v>
      </c>
      <c r="E44" s="122" t="inlineStr">
        <is>
          <t>Erdal Dere</t>
        </is>
      </c>
      <c r="F44" s="88" t="n">
        <v>37500</v>
      </c>
      <c r="G44" s="92" t="n">
        <v>45656</v>
      </c>
      <c r="H44" s="88">
        <f>SUM(F44-C44)</f>
        <v/>
      </c>
      <c r="I44" s="105">
        <f>H44/C44</f>
        <v/>
      </c>
    </row>
    <row r="45" ht="14.25" customHeight="1" s="137">
      <c r="A45" s="122" t="inlineStr">
        <is>
          <t>An Egyptian Limestone Head of a Pharaoh</t>
        </is>
      </c>
      <c r="B45" s="104" t="inlineStr">
        <is>
          <t>Live Auctioneers</t>
        </is>
      </c>
      <c r="C45" s="103" t="n">
        <v>1885.96</v>
      </c>
      <c r="D45" s="92" t="n">
        <v>45414</v>
      </c>
      <c r="E45" s="122" t="inlineStr">
        <is>
          <t>Harlan J. Berk</t>
        </is>
      </c>
      <c r="F45" s="88" t="n">
        <v>5500</v>
      </c>
      <c r="G45" s="92" t="n">
        <v>45621</v>
      </c>
      <c r="H45" s="88">
        <f>SUM(F45-C45)</f>
        <v/>
      </c>
      <c r="I45" s="105">
        <f>H45/C45</f>
        <v/>
      </c>
    </row>
    <row r="46" ht="14.25" customHeight="1" s="137">
      <c r="A46" s="122" t="inlineStr">
        <is>
          <t>Indus Valley Vessels</t>
        </is>
      </c>
      <c r="B46" s="104" t="inlineStr">
        <is>
          <t>Ebay</t>
        </is>
      </c>
      <c r="C46" s="88" t="n">
        <v>214.99</v>
      </c>
      <c r="D46" s="92" t="n">
        <v>45345</v>
      </c>
      <c r="E46" s="122" t="inlineStr">
        <is>
          <t>Hindman</t>
        </is>
      </c>
      <c r="F46" s="88" t="n">
        <v>1700</v>
      </c>
      <c r="G46" s="92" t="n">
        <v>45435</v>
      </c>
      <c r="H46" s="88">
        <f>SUM(F46-C46)</f>
        <v/>
      </c>
      <c r="I46" s="105">
        <f>H46/C46</f>
        <v/>
      </c>
    </row>
    <row r="47" ht="14.25" customHeight="1" s="137">
      <c r="A47" s="5" t="inlineStr">
        <is>
          <t>Total</t>
        </is>
      </c>
      <c r="B47" s="104" t="n"/>
      <c r="C47" s="112">
        <f>SUM(C40:C46)</f>
        <v/>
      </c>
      <c r="D47" s="92" t="n"/>
      <c r="F47" s="86">
        <f>SUM(F40:F46)</f>
        <v/>
      </c>
      <c r="G47" s="92" t="n"/>
      <c r="H47" s="110">
        <f>SUM(H40:H46)</f>
        <v/>
      </c>
      <c r="I47" s="105">
        <f>H47/C47</f>
        <v/>
      </c>
      <c r="J47" s="111">
        <f>AVERAGE(J26:J46)</f>
        <v/>
      </c>
    </row>
    <row r="48" ht="14.25" customHeight="1" s="137">
      <c r="B48" s="104" t="n"/>
      <c r="C48" s="88" t="n"/>
      <c r="F48" s="88" t="n"/>
      <c r="I48" s="105" t="n"/>
    </row>
    <row r="49" ht="14.25" customHeight="1" s="137">
      <c r="A49" s="106" t="inlineStr">
        <is>
          <t>Sales 2025</t>
        </is>
      </c>
      <c r="B49" s="106" t="n"/>
      <c r="C49" s="106" t="n"/>
      <c r="D49" s="106" t="n"/>
      <c r="E49" s="106" t="n"/>
      <c r="F49" s="106" t="n"/>
      <c r="G49" s="106" t="n"/>
      <c r="H49" s="106" t="n"/>
      <c r="I49" s="105" t="n"/>
    </row>
    <row r="50" ht="14.25" customHeight="1" s="137">
      <c r="A50" s="89" t="inlineStr">
        <is>
          <t>Object</t>
        </is>
      </c>
      <c r="B50" s="107" t="inlineStr">
        <is>
          <t>From</t>
        </is>
      </c>
      <c r="C50" s="90" t="inlineStr">
        <is>
          <t>Cost</t>
        </is>
      </c>
      <c r="D50" s="89" t="inlineStr">
        <is>
          <t xml:space="preserve">Purchase Date </t>
        </is>
      </c>
      <c r="E50" s="89" t="inlineStr">
        <is>
          <t>To</t>
        </is>
      </c>
      <c r="F50" s="90" t="inlineStr">
        <is>
          <t>Sale Price</t>
        </is>
      </c>
      <c r="G50" s="89" t="inlineStr">
        <is>
          <t>Sale Date</t>
        </is>
      </c>
      <c r="H50" s="89" t="inlineStr">
        <is>
          <t>Net Income</t>
        </is>
      </c>
      <c r="I50" s="105" t="n"/>
    </row>
    <row r="51" ht="14.25" customHeight="1" s="137">
      <c r="A51" s="113" t="inlineStr">
        <is>
          <t>A Group of 10 Engraved Gems</t>
        </is>
      </c>
      <c r="B51" s="104" t="inlineStr">
        <is>
          <t>Erdal Dere</t>
        </is>
      </c>
      <c r="C51" s="114" t="n">
        <v>1000</v>
      </c>
      <c r="D51" s="113" t="n"/>
      <c r="E51" s="113" t="inlineStr">
        <is>
          <t>Harlan J. Berk</t>
        </is>
      </c>
      <c r="F51" s="114" t="n"/>
      <c r="G51" s="115" t="n">
        <v>45695</v>
      </c>
      <c r="H51" s="113">
        <f>IF(OR(F51="",C51=""),"",F51-C51)</f>
        <v/>
      </c>
      <c r="I51" s="105">
        <f>IF(OR(H51="",C51=0),"",H51/C51)</f>
        <v/>
      </c>
    </row>
    <row r="52" ht="14.25" customHeight="1" s="137">
      <c r="A52" s="113" t="inlineStr">
        <is>
          <t>A Greek Amber(?) Ram's Head Protome</t>
        </is>
      </c>
      <c r="B52" s="104" t="inlineStr">
        <is>
          <t>Erdal Dere</t>
        </is>
      </c>
      <c r="C52" s="114" t="n">
        <v>300</v>
      </c>
      <c r="D52" s="113" t="n"/>
      <c r="E52" s="113" t="inlineStr">
        <is>
          <t>Harlan J. Berk</t>
        </is>
      </c>
      <c r="F52" s="114" t="n"/>
      <c r="G52" s="115" t="n">
        <v>45695</v>
      </c>
      <c r="H52" s="113">
        <f>IF(OR(F52="",C52=""),"",F52-C52)</f>
        <v/>
      </c>
      <c r="I52" s="105">
        <f>IF(OR(H52="",C52=0),"",H52/C52)</f>
        <v/>
      </c>
    </row>
    <row r="53" ht="14.25" customHeight="1" s="137">
      <c r="A53" s="113" t="inlineStr">
        <is>
          <t>A Stone Cylinder Seal</t>
        </is>
      </c>
      <c r="B53" s="104" t="inlineStr">
        <is>
          <t>Estate Sale</t>
        </is>
      </c>
      <c r="C53" s="114" t="n">
        <v>300</v>
      </c>
      <c r="D53" s="113" t="n"/>
      <c r="E53" s="113" t="inlineStr">
        <is>
          <t>Harlan J. Berk</t>
        </is>
      </c>
      <c r="F53" s="114" t="n"/>
      <c r="G53" s="115" t="n">
        <v>45695</v>
      </c>
      <c r="H53" s="113">
        <f>IF(OR(F53="",C53=""),"",F53-C53)</f>
        <v/>
      </c>
      <c r="I53" s="105">
        <f>IF(OR(H53="",C53=0),"",H53/C53)</f>
        <v/>
      </c>
    </row>
    <row r="54" ht="14.25" customHeight="1" s="137">
      <c r="A54" s="113" t="inlineStr">
        <is>
          <t>Commission on Cypriot Head</t>
        </is>
      </c>
      <c r="B54" s="104" t="inlineStr">
        <is>
          <t>Asher Edelman</t>
        </is>
      </c>
      <c r="C54" s="88" t="n">
        <v>1000</v>
      </c>
      <c r="D54" s="113" t="n"/>
      <c r="E54" s="113" t="inlineStr">
        <is>
          <t>Harlan J. Berk</t>
        </is>
      </c>
      <c r="F54" s="114" t="n"/>
      <c r="G54" s="115" t="n">
        <v>45695</v>
      </c>
      <c r="H54" s="113">
        <f>IF(OR(F54="",C54=""),"",F54-C54)</f>
        <v/>
      </c>
      <c r="I54" s="105">
        <f>IF(OR(H54="",C54=0),"",H54/C54)</f>
        <v/>
      </c>
    </row>
    <row r="55" ht="14.25" customHeight="1" s="137">
      <c r="A55" s="113" t="inlineStr">
        <is>
          <t>Commission on Seal Collection</t>
        </is>
      </c>
      <c r="B55" s="104" t="inlineStr">
        <is>
          <t>Erdal Dere</t>
        </is>
      </c>
      <c r="C55" s="114" t="n">
        <v>1000</v>
      </c>
      <c r="D55" s="113" t="n"/>
      <c r="E55" s="113" t="inlineStr">
        <is>
          <t>Harlan J. Berk</t>
        </is>
      </c>
      <c r="F55" s="114" t="n"/>
      <c r="G55" s="115" t="n">
        <v>45695</v>
      </c>
      <c r="H55" s="113">
        <f>IF(OR(F55="",C55=""),"",F55-C55)</f>
        <v/>
      </c>
      <c r="I55" s="105">
        <f>IF(OR(H55="",C55=0),"",H55/C55)</f>
        <v/>
      </c>
    </row>
    <row r="56" ht="14.25" customHeight="1" s="137">
      <c r="A56" s="113" t="inlineStr">
        <is>
          <t>Scythian Faience Horse Plaque</t>
        </is>
      </c>
      <c r="B56" s="104" t="inlineStr">
        <is>
          <t>Estate Sale</t>
        </is>
      </c>
      <c r="C56" s="114" t="n">
        <v>1000</v>
      </c>
      <c r="D56" s="113" t="n"/>
      <c r="E56" s="113" t="inlineStr">
        <is>
          <t>Harlan J. Berk</t>
        </is>
      </c>
      <c r="F56" s="114" t="n"/>
      <c r="G56" s="115" t="n">
        <v>45695</v>
      </c>
      <c r="H56" s="113">
        <f>IF(OR(F56="",C56=""),"",F56-C56)</f>
        <v/>
      </c>
      <c r="I56" s="105">
        <f>IF(OR(H56="",C56=0),"",H56/C56)</f>
        <v/>
      </c>
    </row>
    <row r="57" ht="14.25" customHeight="1" s="137">
      <c r="A57" s="113" t="inlineStr">
        <is>
          <t>Syro-Hittite Terracotta Figure</t>
        </is>
      </c>
      <c r="B57" s="104" t="inlineStr">
        <is>
          <t>Estate Sale</t>
        </is>
      </c>
      <c r="C57" s="114" t="n">
        <v>600</v>
      </c>
      <c r="D57" s="113" t="n"/>
      <c r="E57" s="113" t="inlineStr">
        <is>
          <t>Harlan J. Berk</t>
        </is>
      </c>
      <c r="F57" s="114" t="n"/>
      <c r="G57" s="115" t="n">
        <v>45695</v>
      </c>
      <c r="H57" s="113">
        <f>IF(OR(F57="",C57=""),"",F57-C57)</f>
        <v/>
      </c>
      <c r="I57" s="105">
        <f>IF(OR(H57="",C57=0),"",H57/C57)</f>
        <v/>
      </c>
    </row>
    <row r="58" ht="14.25" customHeight="1" s="137">
      <c r="A58" s="113" t="inlineStr">
        <is>
          <t>A Group of 6 Roman Oil Lamps</t>
        </is>
      </c>
      <c r="B58" s="104" t="inlineStr">
        <is>
          <t>Estate Sale</t>
        </is>
      </c>
      <c r="C58" s="114" t="n">
        <v>600</v>
      </c>
      <c r="D58" s="113" t="n"/>
      <c r="E58" s="113" t="inlineStr">
        <is>
          <t>Harlan J. Berk</t>
        </is>
      </c>
      <c r="F58" s="114" t="n"/>
      <c r="G58" s="115" t="n">
        <v>45695</v>
      </c>
      <c r="H58" s="113">
        <f>IF(OR(F58="",C58=""),"",F58-C58)</f>
        <v/>
      </c>
      <c r="I58" s="105">
        <f>IF(OR(H58="",C58=0),"",H58/C58)</f>
        <v/>
      </c>
    </row>
    <row r="59" ht="14.25" customHeight="1" s="137">
      <c r="A59" s="113" t="inlineStr">
        <is>
          <t>A Cypriot Limestine Head</t>
        </is>
      </c>
      <c r="B59" s="104" t="inlineStr">
        <is>
          <t>Estate Sale</t>
        </is>
      </c>
      <c r="C59" s="114" t="n">
        <v>1000</v>
      </c>
      <c r="D59" s="113" t="n"/>
      <c r="E59" s="113" t="inlineStr">
        <is>
          <t>Harlan J. Berk</t>
        </is>
      </c>
      <c r="F59" s="114" t="n"/>
      <c r="G59" s="115" t="n">
        <v>45695</v>
      </c>
      <c r="H59" s="113">
        <f>IF(OR(F59="",C59=""),"",F59-C59)</f>
        <v/>
      </c>
      <c r="I59" s="105">
        <f>IF(OR(H59="",C59=0),"",H59/C59)</f>
        <v/>
      </c>
    </row>
    <row r="60" ht="14.25" customHeight="1" s="137">
      <c r="A60" s="113" t="inlineStr">
        <is>
          <t>A Roman Marble Torso</t>
        </is>
      </c>
      <c r="B60" s="104" t="inlineStr">
        <is>
          <t>William Pearlstein</t>
        </is>
      </c>
      <c r="C60" s="114" t="n">
        <v>4000</v>
      </c>
      <c r="D60" s="113" t="n"/>
      <c r="E60" s="113" t="inlineStr">
        <is>
          <t>Harlan J. Berk</t>
        </is>
      </c>
      <c r="F60" s="114" t="n"/>
      <c r="G60" s="115" t="n">
        <v>45695</v>
      </c>
      <c r="H60" s="113">
        <f>IF(OR(F60="",C60=""),"",F60-C60)</f>
        <v/>
      </c>
      <c r="I60" s="105">
        <f>IF(OR(H60="",C60=0),"",H60/C60)</f>
        <v/>
      </c>
    </row>
    <row r="61" ht="14.25" customHeight="1" s="137">
      <c r="A61" s="113" t="inlineStr">
        <is>
          <t>Cypriot Bichrome Juglet</t>
        </is>
      </c>
      <c r="B61" s="104" t="inlineStr">
        <is>
          <t>Live Auctioneers</t>
        </is>
      </c>
      <c r="C61" s="114" t="n">
        <v>600</v>
      </c>
      <c r="D61" s="113" t="n"/>
      <c r="E61" s="113" t="inlineStr">
        <is>
          <t>Harlan J. Berk</t>
        </is>
      </c>
      <c r="F61" s="114" t="n"/>
      <c r="G61" s="115" t="n">
        <v>45695</v>
      </c>
      <c r="H61" s="113">
        <f>IF(OR(F61="",C61=""),"",F61-C61)</f>
        <v/>
      </c>
      <c r="I61" s="105">
        <f>IF(OR(H61="",C61=0),"",H61/C61)</f>
        <v/>
      </c>
    </row>
    <row r="62" ht="14.25" customHeight="1" s="137">
      <c r="A62" s="122" t="inlineStr">
        <is>
          <t>An Attic Black-Figured Fragment</t>
        </is>
      </c>
      <c r="B62" s="116" t="inlineStr">
        <is>
          <t>Hindman</t>
        </is>
      </c>
      <c r="C62" s="88" t="n">
        <v>334.44</v>
      </c>
      <c r="D62" s="92" t="n">
        <v>45071</v>
      </c>
      <c r="E62" s="105" t="inlineStr">
        <is>
          <t>Harlan J. Berk</t>
        </is>
      </c>
      <c r="G62" s="115" t="n">
        <v>45695</v>
      </c>
      <c r="H62" s="0">
        <f>IF(OR(F62="",C62=""),"",F62-C62)</f>
        <v/>
      </c>
      <c r="I62" s="0">
        <f>IF(OR(H62="",C62=0),"",H62/C62)</f>
        <v/>
      </c>
    </row>
    <row r="63" ht="14.25" customHeight="1" s="137">
      <c r="A63" s="122" t="inlineStr">
        <is>
          <t>A Luristan Bronze Ibex</t>
        </is>
      </c>
      <c r="B63" s="116" t="inlineStr">
        <is>
          <t>Hindman</t>
        </is>
      </c>
      <c r="C63" s="88" t="n">
        <v>234.44</v>
      </c>
      <c r="D63" s="92" t="n">
        <v>45071</v>
      </c>
      <c r="E63" s="105" t="inlineStr">
        <is>
          <t>Harlan J. Berk</t>
        </is>
      </c>
      <c r="G63" s="115" t="n">
        <v>45695</v>
      </c>
      <c r="H63" s="0">
        <f>IF(OR(F63="",C63=""),"",F63-C63)</f>
        <v/>
      </c>
      <c r="I63" s="0">
        <f>IF(OR(H63="",C63=0),"",H63/C63)</f>
        <v/>
      </c>
    </row>
    <row r="64" ht="14.25" customHeight="1" s="137">
      <c r="A64" s="122" t="inlineStr">
        <is>
          <t>An Egyptian Swivel Ring with Scarab</t>
        </is>
      </c>
      <c r="B64" s="116" t="inlineStr">
        <is>
          <t>Live Auctioneers</t>
        </is>
      </c>
      <c r="C64" s="88" t="n">
        <v>2228.76</v>
      </c>
      <c r="D64" s="92" t="n"/>
      <c r="E64" s="105" t="inlineStr">
        <is>
          <t>Harlan J. Berk</t>
        </is>
      </c>
      <c r="G64" s="115" t="n">
        <v>45695</v>
      </c>
      <c r="H64" s="0">
        <f>IF(OR(F64="",C64=""),"",F64-C64)</f>
        <v/>
      </c>
      <c r="I64" s="0">
        <f>IF(OR(H64="",C64=0),"",H64/C64)</f>
        <v/>
      </c>
    </row>
    <row r="65" ht="14.25" customHeight="1" s="137">
      <c r="A65" s="122" t="inlineStr">
        <is>
          <t>A Canosan Terracotta Horse</t>
        </is>
      </c>
      <c r="B65" s="116" t="inlineStr">
        <is>
          <t>Hindman</t>
        </is>
      </c>
      <c r="C65" s="88" t="n">
        <v>1000</v>
      </c>
      <c r="D65" s="92" t="n"/>
      <c r="E65" s="105" t="inlineStr">
        <is>
          <t>Harlan J. Berk</t>
        </is>
      </c>
      <c r="G65" s="115" t="n">
        <v>45695</v>
      </c>
      <c r="H65" s="0">
        <f>IF(OR(F65="",C65=""),"",F65-C65)</f>
        <v/>
      </c>
      <c r="I65" s="0">
        <f>IF(OR(H65="",C65=0),"",H65/C65)</f>
        <v/>
      </c>
    </row>
    <row r="66" ht="14.25" customHeight="1" s="137">
      <c r="A66" s="122" t="inlineStr">
        <is>
          <t>An Attic Black-Figured Column-Krater</t>
        </is>
      </c>
      <c r="B66" s="104" t="inlineStr">
        <is>
          <t>Antiquarium/Benningson</t>
        </is>
      </c>
      <c r="C66" s="103" t="n">
        <v>4500</v>
      </c>
      <c r="D66" s="92" t="n">
        <v>45275</v>
      </c>
      <c r="E66" s="122" t="inlineStr">
        <is>
          <t>Harlan J. Berk</t>
        </is>
      </c>
      <c r="F66" s="88" t="n"/>
      <c r="G66" s="115" t="n">
        <v>45695</v>
      </c>
      <c r="H66" s="0">
        <f>IF(OR(F66="",C66=""),"",F66-C66)</f>
        <v/>
      </c>
      <c r="I66" s="105">
        <f>IF(OR(H66="",C66=0),"",H66/C66)</f>
        <v/>
      </c>
    </row>
    <row r="67" ht="14.25" customHeight="1" s="137">
      <c r="A67" s="122" t="inlineStr">
        <is>
          <t>Roman Marble Base with Foot</t>
        </is>
      </c>
      <c r="B67" s="104" t="inlineStr">
        <is>
          <t>Arte Primitivo</t>
        </is>
      </c>
      <c r="C67" s="103" t="n">
        <v>500</v>
      </c>
      <c r="D67" s="92" t="n"/>
      <c r="E67" s="122" t="inlineStr">
        <is>
          <t>Harlan J. Berk</t>
        </is>
      </c>
      <c r="F67" s="88" t="n"/>
      <c r="G67" s="115" t="n">
        <v>45695</v>
      </c>
      <c r="H67" s="0">
        <f>IF(OR(F67="",C67=""),"",F67-C67)</f>
        <v/>
      </c>
      <c r="I67" s="105">
        <f>IF(OR(H67="",C67=0),"",H67/C67)</f>
        <v/>
      </c>
    </row>
    <row r="68" ht="14.25" customHeight="1" s="137">
      <c r="A68" s="122" t="inlineStr">
        <is>
          <t>Neolithic Flint Celt</t>
        </is>
      </c>
      <c r="B68" s="104" t="inlineStr">
        <is>
          <t>Arte Primitivo</t>
        </is>
      </c>
      <c r="C68" s="88" t="n">
        <v>195.78</v>
      </c>
      <c r="D68" s="92" t="n">
        <v>44908</v>
      </c>
      <c r="E68" s="122" t="inlineStr">
        <is>
          <t>Harlan J. Berk</t>
        </is>
      </c>
      <c r="F68" s="88" t="n"/>
      <c r="G68" s="115" t="n">
        <v>45695</v>
      </c>
      <c r="H68" s="0">
        <f>IF(OR(F68="",C68=""),"",F68-C68)</f>
        <v/>
      </c>
      <c r="I68" s="105">
        <f>IF(OR(H68="",C68=0),"",H68/C68)</f>
        <v/>
      </c>
    </row>
    <row r="69" ht="14.25" customHeight="1" s="137">
      <c r="A69" s="122" t="inlineStr">
        <is>
          <t>Neolithic Danish Chert Adze</t>
        </is>
      </c>
      <c r="B69" s="104" t="inlineStr">
        <is>
          <t>Live Auctioneers</t>
        </is>
      </c>
      <c r="C69" s="88" t="n">
        <v>311.25</v>
      </c>
      <c r="D69" s="92" t="n">
        <v>44284</v>
      </c>
      <c r="E69" s="122" t="inlineStr">
        <is>
          <t>Harlan J. Berk</t>
        </is>
      </c>
      <c r="F69" s="88" t="n"/>
      <c r="G69" s="115" t="n">
        <v>45695</v>
      </c>
      <c r="H69" s="0">
        <f>IF(OR(F69="",C69=""),"",F69-C69)</f>
        <v/>
      </c>
      <c r="I69" s="105">
        <f>IF(OR(H69="",C69=0),"",H69/C69)</f>
        <v/>
      </c>
    </row>
    <row r="70" ht="14.25" customHeight="1" s="137">
      <c r="A70" s="122" t="inlineStr">
        <is>
          <t>Three Lots from Lithics Sale</t>
        </is>
      </c>
      <c r="B70" s="104" t="inlineStr">
        <is>
          <t>Hindman</t>
        </is>
      </c>
      <c r="C70" s="103" t="n">
        <v>2240.27</v>
      </c>
      <c r="D70" s="92" t="n">
        <v>45356</v>
      </c>
      <c r="E70" s="122" t="inlineStr">
        <is>
          <t>Harlan J. Berk</t>
        </is>
      </c>
      <c r="F70" s="88" t="n"/>
      <c r="G70" s="115" t="n">
        <v>45695</v>
      </c>
      <c r="H70" s="0">
        <f>IF(OR(F70="",C70=""),"",F70-C70)</f>
        <v/>
      </c>
      <c r="I70" s="105">
        <f>IF(OR(H70="",C70=0),"",H70/C70)</f>
        <v/>
      </c>
    </row>
    <row r="71" ht="14.25" customHeight="1" s="137">
      <c r="B71" s="104" t="n"/>
      <c r="C71" s="88">
        <f>SUM(C51:C70)</f>
        <v/>
      </c>
      <c r="D71" s="92" t="n"/>
      <c r="F71" s="195" t="n">
        <v>30000</v>
      </c>
      <c r="G71" s="196" t="n">
        <v>45695</v>
      </c>
      <c r="H71" s="88">
        <f>F71-C71</f>
        <v/>
      </c>
      <c r="I71" s="105" t="n"/>
    </row>
    <row r="72" ht="14.25" customHeight="1" s="137">
      <c r="B72" s="104" t="n"/>
      <c r="C72" s="88" t="n"/>
      <c r="D72" s="92" t="n"/>
      <c r="F72" s="88" t="n"/>
      <c r="G72" s="115" t="n"/>
      <c r="H72" s="88">
        <f>SUM(F72-C72)</f>
        <v/>
      </c>
      <c r="I72" s="105" t="n"/>
    </row>
    <row r="73" ht="14.25" customHeight="1" s="137">
      <c r="A73" s="113" t="inlineStr">
        <is>
          <t>A Collection of Seals</t>
        </is>
      </c>
      <c r="B73" s="104" t="inlineStr">
        <is>
          <t>Erdal Dere</t>
        </is>
      </c>
      <c r="C73" s="197" t="n">
        <v>13000</v>
      </c>
      <c r="D73" s="198" t="n">
        <v>45665</v>
      </c>
      <c r="E73" s="113" t="inlineStr">
        <is>
          <t>Harlan J. Berk</t>
        </is>
      </c>
      <c r="F73" s="197" t="n">
        <v>14000</v>
      </c>
      <c r="G73" s="198" t="n">
        <v>45667</v>
      </c>
      <c r="H73" s="88">
        <f>SUM(F73-C73)</f>
        <v/>
      </c>
      <c r="I73" s="105" t="n"/>
    </row>
    <row r="74" ht="14.25" customHeight="1" s="137">
      <c r="A74" s="113" t="inlineStr">
        <is>
          <t>Three Ancient Mosaics</t>
        </is>
      </c>
      <c r="B74" s="104" t="inlineStr">
        <is>
          <t>Jamal Rifai and Antiquarium</t>
        </is>
      </c>
      <c r="C74" s="197" t="n">
        <v>90000</v>
      </c>
      <c r="D74" s="115" t="n">
        <v>45709</v>
      </c>
      <c r="E74" s="113" t="inlineStr">
        <is>
          <t>Jonathan Yantis</t>
        </is>
      </c>
      <c r="F74" s="197" t="n">
        <v>105000</v>
      </c>
      <c r="G74" s="115" t="n">
        <v>45709</v>
      </c>
      <c r="H74" s="88">
        <f>SUM(F74-C74)</f>
        <v/>
      </c>
      <c r="I74" s="105" t="n"/>
    </row>
    <row r="75" ht="14.25" customHeight="1" s="137">
      <c r="A75" s="113" t="inlineStr">
        <is>
          <t>Canosan Terracotta Horse</t>
        </is>
      </c>
      <c r="B75" s="104" t="inlineStr">
        <is>
          <t>Hindman</t>
        </is>
      </c>
      <c r="C75" s="114" t="n">
        <v>900</v>
      </c>
      <c r="D75" s="115" t="n"/>
      <c r="E75" s="113" t="inlineStr">
        <is>
          <t>Erdal Dere</t>
        </is>
      </c>
      <c r="F75" s="114" t="n">
        <v>1000</v>
      </c>
      <c r="G75" s="115" t="n"/>
      <c r="H75" s="88">
        <f>SUM(F75-C75)</f>
        <v/>
      </c>
      <c r="I75" s="105" t="n"/>
    </row>
    <row r="76" ht="14.25" customHeight="1" s="137">
      <c r="A76" s="113" t="inlineStr">
        <is>
          <t>Sale 6428 Contract 303468 (object TBD)</t>
        </is>
      </c>
      <c r="B76" s="104" t="inlineStr">
        <is>
          <t>Cost TBD</t>
        </is>
      </c>
      <c r="C76" s="154" t="n"/>
      <c r="D76" s="115" t="n"/>
      <c r="E76" s="113" t="inlineStr">
        <is>
          <t>Freeman's LLC — check to Megan (joint 0203)</t>
        </is>
      </c>
      <c r="F76" s="155" t="n">
        <v>11000</v>
      </c>
      <c r="G76" s="115" t="inlineStr">
        <is>
          <t>2025-12-24</t>
        </is>
      </c>
      <c r="H76" s="88">
        <f>IF(C76="","",F76-C76)</f>
        <v/>
      </c>
      <c r="I76" s="105" t="n"/>
    </row>
    <row r="77" ht="14.25" customHeight="1" s="137">
      <c r="A77" s="181" t="inlineStr">
        <is>
          <t>Books (titles TBD)</t>
        </is>
      </c>
      <c r="B77" s="185" t="inlineStr">
        <is>
          <t>Cost TBD</t>
        </is>
      </c>
      <c r="C77" s="200" t="n"/>
      <c r="E77" s="181" t="inlineStr">
        <is>
          <t>Aquinas Hobor</t>
        </is>
      </c>
      <c r="F77" s="183" t="n">
        <v>1000</v>
      </c>
      <c r="G77" s="209" t="n">
        <v>45692</v>
      </c>
      <c r="H77" s="178">
        <f>IF(OR(F77="",C77=""),"",F77-C77)</f>
        <v/>
      </c>
      <c r="I77" s="190" t="inlineStr">
        <is>
          <t>LOCKED 2026-09-20: book SALE $1,000 on Mercury 8291. Cost TBD — not in Income I8 yet (same as Sale 6428). Titles TBD. Not tax advice.</t>
        </is>
      </c>
    </row>
    <row r="78" ht="48" customHeight="1" s="137">
      <c r="A78" s="178" t="inlineStr">
        <is>
          <t>Total</t>
        </is>
      </c>
      <c r="H78" s="138">
        <f>SUM(H51:H75)</f>
        <v/>
      </c>
    </row>
    <row r="79" ht="48" customHeight="1" s="137">
      <c r="A79" s="210" t="inlineStr">
        <is>
          <t>Mercury 8291 MATCHED: Berk $14,000 (1/10 seals) + $30,000 (2/7 lots). EOEB $105,000 (2/21 mosaics). Fortuna $13,000 (1/8 seals Cost). Plutus $50,000 of mosaics $90,000 Cost — $40,000 of Cost not on 8291 (ASK). Newstar $23,581 is jewelry fabrication COGS, parked below — not in sold-lot Cost (Berk gem/scarab lots already sold in February). David Aaron $13,595 (6/24) is LOCKED consultant fee — not a sale (EPGC Consultant June). Aquinas Hobor $1,000 (2/4) is LOCKED book sale — EPGC Art Sales February; Cost TBD (not in I8). Not tax advice.</t>
        </is>
      </c>
    </row>
    <row r="80" ht="14.25" customHeight="1" s="137">
      <c r="A80" s="119" t="inlineStr">
        <is>
          <t>Art Purchases/Inventory</t>
        </is>
      </c>
      <c r="B80" s="120" t="n"/>
      <c r="C80" s="100" t="n"/>
      <c r="D80" s="101" t="n"/>
      <c r="E80" s="99" t="n"/>
      <c r="F80" s="100" t="n"/>
      <c r="G80" s="101" t="n"/>
      <c r="H80" s="99" t="n"/>
      <c r="I80" s="121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4.25" customHeight="1" s="137">
      <c r="A81" s="122" t="inlineStr">
        <is>
          <t>30 Paleothic and Neolithic Stone Tools</t>
        </is>
      </c>
      <c r="B81" s="116" t="inlineStr">
        <is>
          <t>Holestein</t>
        </is>
      </c>
      <c r="C81" s="88" t="n">
        <v>4000</v>
      </c>
      <c r="E81" s="105" t="n"/>
    </row>
    <row r="82" ht="14.25" customHeight="1" s="137">
      <c r="A82" s="122" t="inlineStr">
        <is>
          <t>A Tairona Figure</t>
        </is>
      </c>
      <c r="B82" s="116" t="inlineStr">
        <is>
          <t>Live Auctioneers</t>
        </is>
      </c>
      <c r="C82" s="88" t="n">
        <v>250</v>
      </c>
      <c r="D82" s="92" t="n">
        <v>45119</v>
      </c>
      <c r="E82" s="105" t="n"/>
    </row>
    <row r="83" ht="14.25" customHeight="1" s="137">
      <c r="A83" s="122" t="inlineStr">
        <is>
          <t>A Tairona Figure</t>
        </is>
      </c>
      <c r="B83" s="116" t="inlineStr">
        <is>
          <t>Live Auctioneers</t>
        </is>
      </c>
      <c r="C83" s="88" t="n">
        <v>300</v>
      </c>
      <c r="D83" s="92" t="n">
        <v>45119</v>
      </c>
      <c r="E83" s="105" t="n"/>
    </row>
    <row r="84" ht="14.25" customHeight="1" s="137">
      <c r="A84" s="122" t="inlineStr">
        <is>
          <t>A Pair of Greek Bronze Greeves</t>
        </is>
      </c>
      <c r="B84" s="116" t="inlineStr">
        <is>
          <t>ebay</t>
        </is>
      </c>
      <c r="C84" s="88" t="n">
        <v>200</v>
      </c>
      <c r="D84" s="92" t="n">
        <v>45145</v>
      </c>
      <c r="E84" s="105" t="n"/>
    </row>
    <row r="85" ht="14.25" customHeight="1" s="137">
      <c r="A85" s="122" t="inlineStr">
        <is>
          <t>An Illyrian Bronze Helmet</t>
        </is>
      </c>
      <c r="B85" s="116" t="inlineStr">
        <is>
          <t>ebay</t>
        </is>
      </c>
      <c r="C85" s="88" t="n">
        <v>551.25</v>
      </c>
      <c r="D85" s="92" t="n">
        <v>45114</v>
      </c>
      <c r="E85" s="105" t="n"/>
    </row>
    <row r="86" ht="14.25" customHeight="1" s="137">
      <c r="A86" s="122" t="inlineStr">
        <is>
          <t>An Egyptian Faience Ibis</t>
        </is>
      </c>
      <c r="B86" s="104" t="inlineStr">
        <is>
          <t>Hindman</t>
        </is>
      </c>
      <c r="C86" s="88" t="n">
        <v>375</v>
      </c>
      <c r="D86" s="92" t="n">
        <v>44343</v>
      </c>
      <c r="E86" s="92" t="n"/>
      <c r="F86" s="88" t="n"/>
      <c r="I86" s="105" t="n"/>
    </row>
    <row r="87" ht="14.25" customHeight="1" s="137">
      <c r="A87" s="122" t="inlineStr">
        <is>
          <t>African Stone Bracelet Upper Volta River 1 0f 4</t>
        </is>
      </c>
      <c r="B87" s="104" t="inlineStr">
        <is>
          <t>Live Auctioneers</t>
        </is>
      </c>
      <c r="C87" s="88" t="n">
        <v>293</v>
      </c>
      <c r="D87" s="92" t="n">
        <v>44548</v>
      </c>
      <c r="F87" s="88" t="n"/>
      <c r="I87" s="105" t="n"/>
    </row>
    <row r="88" ht="14.25" customHeight="1" s="137">
      <c r="A88" s="122" t="inlineStr">
        <is>
          <t>African Stone Bracelet Upper Volta River 2 0f 4</t>
        </is>
      </c>
      <c r="B88" s="104" t="inlineStr">
        <is>
          <t>Live Auctioneers</t>
        </is>
      </c>
      <c r="C88" s="88" t="n">
        <v>293</v>
      </c>
      <c r="D88" s="92" t="n">
        <v>44548</v>
      </c>
      <c r="F88" s="88" t="n"/>
      <c r="I88" s="105" t="n"/>
    </row>
    <row r="89" ht="14.25" customHeight="1" s="137">
      <c r="A89" s="122" t="inlineStr">
        <is>
          <t>African Stone Bracelet Upper Volta River 4 0f 4</t>
        </is>
      </c>
      <c r="B89" s="104" t="inlineStr">
        <is>
          <t>Live Auctioneers</t>
        </is>
      </c>
      <c r="C89" s="88" t="n">
        <v>293</v>
      </c>
      <c r="D89" s="92" t="n">
        <v>44548</v>
      </c>
      <c r="F89" s="88" t="n"/>
      <c r="I89" s="105" t="n"/>
    </row>
    <row r="90" ht="14.25" customHeight="1" s="137">
      <c r="A90" s="122" t="inlineStr">
        <is>
          <t>A Saharan Stone Discoidal</t>
        </is>
      </c>
      <c r="B90" s="104" t="inlineStr">
        <is>
          <t>Pace African Art</t>
        </is>
      </c>
      <c r="C90" s="88" t="n">
        <v>1000</v>
      </c>
      <c r="D90" s="92" t="n">
        <v>44562</v>
      </c>
      <c r="F90" s="88" t="n"/>
      <c r="I90" s="105" t="n"/>
    </row>
    <row r="91" ht="14.25" customHeight="1" s="137">
      <c r="A91" s="122" t="inlineStr">
        <is>
          <t>Carved Ostrish Egg</t>
        </is>
      </c>
      <c r="B91" s="104" t="inlineStr">
        <is>
          <t xml:space="preserve">Etsy </t>
        </is>
      </c>
      <c r="C91" s="88" t="n">
        <v>90</v>
      </c>
      <c r="F91" s="88" t="n"/>
      <c r="I91" s="105" t="n"/>
    </row>
    <row r="92" ht="14.25" customHeight="1" s="137">
      <c r="A92" s="122" t="inlineStr">
        <is>
          <t>Carved Goose Egg</t>
        </is>
      </c>
      <c r="B92" s="104" t="inlineStr">
        <is>
          <t>Etsy</t>
        </is>
      </c>
      <c r="C92" s="88" t="n">
        <v>30</v>
      </c>
      <c r="F92" s="88" t="n"/>
      <c r="I92" s="105" t="n"/>
    </row>
    <row r="93" ht="14.25" customHeight="1" s="137">
      <c r="A93" s="122" t="inlineStr">
        <is>
          <t>Carved Goose Egg</t>
        </is>
      </c>
      <c r="B93" s="104" t="inlineStr">
        <is>
          <t>Etsy</t>
        </is>
      </c>
      <c r="C93" s="88" t="n">
        <v>35</v>
      </c>
      <c r="F93" s="88" t="n"/>
      <c r="I93" s="105" t="n"/>
    </row>
    <row r="94" ht="14.25" customHeight="1" s="137">
      <c r="A94" s="122" t="inlineStr">
        <is>
          <t>Quimbaya Figure (Gift)</t>
        </is>
      </c>
      <c r="B94" s="104" t="inlineStr">
        <is>
          <t>Jeffrey Norris</t>
        </is>
      </c>
      <c r="C94" s="88" t="n">
        <v>10</v>
      </c>
      <c r="D94" s="92" t="n">
        <v>45079</v>
      </c>
      <c r="I94" s="105" t="n"/>
    </row>
    <row r="95" ht="14.25" customHeight="1" s="137">
      <c r="A95" s="122" t="inlineStr">
        <is>
          <t>A Saharan Stone Discoidal (Gift)</t>
        </is>
      </c>
      <c r="B95" s="104" t="inlineStr">
        <is>
          <t>Aquinas Hobor</t>
        </is>
      </c>
      <c r="C95" s="88" t="n">
        <v>10</v>
      </c>
      <c r="D95" s="92" t="n">
        <v>45079</v>
      </c>
      <c r="I95" s="105" t="n"/>
    </row>
    <row r="96" ht="14.25" customHeight="1" s="137">
      <c r="A96" s="122" t="inlineStr">
        <is>
          <t>A Saharan Stone Discoidal</t>
        </is>
      </c>
      <c r="B96" s="104" t="inlineStr">
        <is>
          <t>Aquinas Hobor</t>
        </is>
      </c>
      <c r="C96" s="103" t="n">
        <v>500</v>
      </c>
      <c r="D96" s="92" t="n">
        <v>45079</v>
      </c>
      <c r="F96" s="88" t="n"/>
      <c r="I96" s="105" t="n"/>
    </row>
    <row r="97" ht="14.25" customHeight="1" s="137">
      <c r="A97" s="122" t="inlineStr">
        <is>
          <t>Two Songye and Bozo Vessels</t>
        </is>
      </c>
      <c r="B97" s="104" t="inlineStr">
        <is>
          <t>Hindman</t>
        </is>
      </c>
      <c r="C97" s="103" t="n">
        <v>138.91</v>
      </c>
      <c r="D97" s="92" t="n">
        <v>45211</v>
      </c>
      <c r="F97" s="88" t="n"/>
      <c r="I97" s="105" t="n"/>
    </row>
    <row r="98" ht="14.25" customHeight="1" s="137">
      <c r="A98" s="122" t="inlineStr">
        <is>
          <t xml:space="preserve">Sword 9th Century </t>
        </is>
      </c>
      <c r="B98" s="104" t="inlineStr">
        <is>
          <t>Zevantiques</t>
        </is>
      </c>
      <c r="C98" s="103" t="n">
        <v>3000</v>
      </c>
      <c r="D98" s="92" t="n">
        <v>45311</v>
      </c>
      <c r="F98" s="88" t="n"/>
      <c r="I98" s="105" t="n"/>
    </row>
    <row r="99" ht="14.25" customHeight="1" s="137">
      <c r="A99" s="122" t="inlineStr">
        <is>
          <t>A Roman Marble Plaque with Insciption</t>
        </is>
      </c>
      <c r="B99" s="104" t="inlineStr">
        <is>
          <t>ebay</t>
        </is>
      </c>
      <c r="C99" s="103" t="n">
        <v>1331.41</v>
      </c>
      <c r="D99" s="92" t="n">
        <v>45546</v>
      </c>
      <c r="F99" s="88" t="n"/>
      <c r="I99" s="105" t="n"/>
    </row>
    <row r="100" ht="14.25" customHeight="1" s="137">
      <c r="A100" s="122" t="inlineStr">
        <is>
          <t>Erotic Intaglio Finger Ring</t>
        </is>
      </c>
      <c r="B100" s="104" t="inlineStr">
        <is>
          <t>ebay</t>
        </is>
      </c>
      <c r="C100" s="103" t="n">
        <v>205.07</v>
      </c>
      <c r="D100" s="92" t="n">
        <v>45446</v>
      </c>
      <c r="F100" s="88" t="n"/>
      <c r="I100" s="105" t="n"/>
    </row>
    <row r="101" ht="14.25" customHeight="1" s="137">
      <c r="B101" s="104" t="n"/>
      <c r="C101" s="103" t="n"/>
      <c r="D101" s="92" t="n"/>
      <c r="F101" s="88" t="n"/>
      <c r="I101" s="105" t="n"/>
    </row>
    <row r="102" ht="14.25" customHeight="1" s="137">
      <c r="A102" s="5" t="inlineStr">
        <is>
          <t>Total</t>
        </is>
      </c>
      <c r="B102" s="104" t="n"/>
      <c r="C102" s="86" t="n"/>
      <c r="F102" s="88" t="n"/>
      <c r="I102" s="105" t="n"/>
    </row>
    <row r="103" ht="14.25" customHeight="1" s="137">
      <c r="B103" s="104" t="n"/>
      <c r="C103" s="88" t="n"/>
      <c r="F103" s="88" t="n"/>
      <c r="I103" s="105" t="n"/>
    </row>
    <row r="104" ht="14.25" customHeight="1" s="137">
      <c r="A104" s="119" t="inlineStr">
        <is>
          <t>Office/Business Inventory</t>
        </is>
      </c>
      <c r="B104" s="120" t="n"/>
      <c r="C104" s="100" t="n"/>
      <c r="D104" s="99" t="n"/>
      <c r="E104" s="99" t="n"/>
      <c r="F104" s="100" t="n"/>
      <c r="G104" s="99" t="n"/>
      <c r="H104" s="99" t="n"/>
      <c r="I104" s="121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4.25" customHeight="1" s="137">
      <c r="A105" s="122" t="inlineStr">
        <is>
          <t>Sofa</t>
        </is>
      </c>
      <c r="B105" s="104" t="n"/>
      <c r="C105" s="88" t="n"/>
      <c r="F105" s="88" t="n"/>
      <c r="I105" s="105" t="n"/>
    </row>
    <row r="106" ht="14.25" customHeight="1" s="137">
      <c r="A106" s="122" t="inlineStr">
        <is>
          <t>Space Heater</t>
        </is>
      </c>
      <c r="B106" s="104" t="n"/>
      <c r="C106" s="88" t="n"/>
      <c r="F106" s="88" t="n"/>
      <c r="I106" s="105" t="n"/>
    </row>
    <row r="107" ht="14.25" customHeight="1" s="137">
      <c r="A107" s="122" t="inlineStr">
        <is>
          <t>Shelving</t>
        </is>
      </c>
      <c r="B107" s="104" t="n"/>
      <c r="C107" s="88" t="n"/>
      <c r="F107" s="88" t="n"/>
      <c r="I107" s="105" t="n"/>
    </row>
    <row r="108" ht="14.25" customHeight="1" s="137">
      <c r="A108" s="122" t="inlineStr">
        <is>
          <t>Storage Bins</t>
        </is>
      </c>
      <c r="B108" s="104" t="n"/>
      <c r="C108" s="88" t="n"/>
      <c r="F108" s="88" t="n"/>
      <c r="I108" s="105" t="n"/>
    </row>
    <row r="109" ht="14.25" customHeight="1" s="137">
      <c r="A109" s="122" t="inlineStr">
        <is>
          <t>Table</t>
        </is>
      </c>
      <c r="B109" s="104" t="n"/>
      <c r="C109" s="88" t="n"/>
      <c r="F109" s="88" t="n"/>
      <c r="I109" s="105" t="n"/>
    </row>
    <row r="110" ht="14.25" customHeight="1" s="137">
      <c r="A110" s="122" t="inlineStr">
        <is>
          <t>Computer</t>
        </is>
      </c>
      <c r="B110" s="104" t="n"/>
      <c r="C110" s="88" t="n"/>
      <c r="F110" s="88" t="n"/>
      <c r="I110" s="105" t="n"/>
    </row>
    <row r="111" ht="14.25" customHeight="1" s="137">
      <c r="A111" s="122" t="inlineStr">
        <is>
          <t>Art Library</t>
        </is>
      </c>
      <c r="B111" s="104" t="n"/>
      <c r="C111" s="88" t="n"/>
      <c r="F111" s="88" t="n"/>
      <c r="I111" s="105" t="n"/>
    </row>
    <row r="112" ht="14.25" customHeight="1" s="137">
      <c r="A112" s="122" t="inlineStr">
        <is>
          <t>Standing Desk</t>
        </is>
      </c>
      <c r="B112" s="104" t="n"/>
      <c r="C112" s="88" t="n"/>
      <c r="F112" s="88" t="n"/>
      <c r="I112" s="105" t="n"/>
    </row>
    <row r="113" ht="14.25" customHeight="1" s="137">
      <c r="B113" s="104" t="n"/>
      <c r="C113" s="88" t="n"/>
      <c r="F113" s="88" t="n"/>
      <c r="I113" s="105" t="n"/>
    </row>
    <row r="114" ht="14.25" customHeight="1" s="137">
      <c r="A114" s="156" t="inlineStr">
        <is>
          <t>2025 CC inventory (not in Cost total until object is named)</t>
        </is>
      </c>
      <c r="B114" s="104" t="n"/>
      <c r="C114" s="88" t="n"/>
      <c r="F114" s="88" t="n"/>
      <c r="I114" s="105" t="n"/>
    </row>
    <row r="115" ht="14.25" customHeight="1" s="137">
      <c r="A115" s="0" t="inlineStr">
        <is>
          <t>Los Angeles Modern Auctions (inventory purchase)</t>
        </is>
      </c>
      <c r="B115" s="0" t="inlineStr">
        <is>
          <t>Sapphire 5423</t>
        </is>
      </c>
      <c r="C115" s="157" t="n">
        <v>6821.06</v>
      </c>
      <c r="D115" s="0" t="inlineStr">
        <is>
          <t>2025-07-24</t>
        </is>
      </c>
    </row>
    <row r="116" ht="14.25" customHeight="1" s="137">
      <c r="A116" s="0" t="inlineStr">
        <is>
          <t>Hindman LLC (inventory purchase)</t>
        </is>
      </c>
      <c r="B116" s="0" t="inlineStr">
        <is>
          <t>Sapphire 5423</t>
        </is>
      </c>
      <c r="C116" s="157" t="n">
        <v>282.24</v>
      </c>
      <c r="D116" s="0" t="inlineStr">
        <is>
          <t>2025-04-03</t>
        </is>
      </c>
    </row>
    <row r="117" ht="14.25" customHeight="1" s="137">
      <c r="A117" s="0" t="inlineStr">
        <is>
          <t>Hindman LLC (inventory purchase)</t>
        </is>
      </c>
      <c r="B117" s="0" t="inlineStr">
        <is>
          <t>Sapphire 5423</t>
        </is>
      </c>
      <c r="C117" s="157" t="n">
        <v>403.51</v>
      </c>
      <c r="D117" s="0" t="inlineStr">
        <is>
          <t>2025-07-29</t>
        </is>
      </c>
    </row>
    <row r="118" ht="14.25" customHeight="1" s="137">
      <c r="A118" s="0" t="inlineStr">
        <is>
          <t>The Great Frame Up (inventory framing)</t>
        </is>
      </c>
      <c r="B118" s="0" t="inlineStr">
        <is>
          <t>Sapphire 5423</t>
        </is>
      </c>
      <c r="C118" s="157" t="n">
        <v>536.41</v>
      </c>
      <c r="D118" s="0" t="inlineStr">
        <is>
          <t>2025-02-16</t>
        </is>
      </c>
    </row>
    <row r="119" ht="14.25" customHeight="1" s="137"/>
    <row r="120" ht="14.25" customHeight="1" s="137">
      <c r="A120" s="201" t="inlineStr">
        <is>
          <t>2025 Mercury 8291 — David Aaron Limited is LOCKED consultant fee (not Art Sales)</t>
        </is>
      </c>
    </row>
    <row r="121" ht="14.25" customHeight="1" s="137">
      <c r="A121" s="181" t="inlineStr">
        <is>
          <t>NOT a 2025 art sale — David Aaron Limited consultant fee (EPGC Consultant June)</t>
        </is>
      </c>
      <c r="B121" s="181" t="inlineStr">
        <is>
          <t>David Aaron Limited</t>
        </is>
      </c>
      <c r="C121" s="181" t="n"/>
      <c r="D121" s="181" t="n"/>
      <c r="E121" s="181" t="n"/>
      <c r="F121" s="183" t="n"/>
      <c r="G121" s="206" t="n"/>
      <c r="H121" s="206" t="n"/>
      <c r="I121" s="181" t="inlineStr">
        <is>
          <t>LOCKED 2026-09-20: consultant fee, not a sale. $13,595 is on EPGC Consultant June. Not tax advice.</t>
        </is>
      </c>
    </row>
    <row r="122" ht="14.25" customHeight="1" s="137"/>
    <row r="123" ht="14.25" customHeight="1" s="137">
      <c r="A123" s="201" t="inlineStr">
        <is>
          <t>2025 Mercury COGS — Newstar Jewelers (LOCKED jewelry fabrication)</t>
        </is>
      </c>
    </row>
    <row r="124" ht="14.25" customHeight="1" s="137">
      <c r="A124" s="202" t="inlineStr">
        <is>
          <t>Newstar Jewelers — jewelry from intaglios / engraved gems / scarabs</t>
        </is>
      </c>
      <c r="B124" s="202" t="inlineStr">
        <is>
          <t>Mercury 8291</t>
        </is>
      </c>
      <c r="C124" s="203" t="n">
        <v>8000</v>
      </c>
      <c r="D124" s="202" t="inlineStr">
        <is>
          <t>2025-10-14</t>
        </is>
      </c>
      <c r="I124" s="0" t="inlineStr">
        <is>
          <t>LOCKED COGS fabrication. Not in sold-lot Cost total (Feb Berk lots already sold). Identify which gems/intaglios/scarabs.</t>
        </is>
      </c>
    </row>
    <row r="125" ht="14.25" customHeight="1" s="137">
      <c r="A125" s="202" t="inlineStr">
        <is>
          <t>Newstar Jewelers — jewelry from intaglios / engraved gems / scarabs</t>
        </is>
      </c>
      <c r="B125" s="202" t="inlineStr">
        <is>
          <t>Mercury 8291</t>
        </is>
      </c>
      <c r="C125" s="203" t="n">
        <v>8000</v>
      </c>
      <c r="D125" s="202" t="inlineStr">
        <is>
          <t>2025-11-12</t>
        </is>
      </c>
      <c r="I125" s="0" t="inlineStr">
        <is>
          <t>LOCKED COGS fabrication. Not in sold-lot Cost total (Feb Berk lots already sold). Identify which gems/intaglios/scarabs.</t>
        </is>
      </c>
    </row>
    <row r="126" ht="14.25" customHeight="1" s="137">
      <c r="A126" s="202" t="inlineStr">
        <is>
          <t>Newstar Jewelers — jewelry from intaglios / engraved gems / scarabs (3 of 3)</t>
        </is>
      </c>
      <c r="B126" s="202" t="inlineStr">
        <is>
          <t>Mercury 8291</t>
        </is>
      </c>
      <c r="C126" s="203" t="n">
        <v>7581</v>
      </c>
      <c r="D126" s="202" t="inlineStr">
        <is>
          <t>2025-12-24</t>
        </is>
      </c>
      <c r="I126" s="0" t="inlineStr">
        <is>
          <t>LOCKED COGS fabrication. Not in sold-lot Cost total (Feb Berk lots already sold). Identify which gems/intaglios/scarabs.</t>
        </is>
      </c>
    </row>
    <row r="127" ht="14.25" customHeight="1" s="137">
      <c r="A127" s="0" t="inlineStr">
        <is>
          <t>Newstar 2025 total</t>
        </is>
      </c>
      <c r="C127" s="203">
        <f>SUM(C123:C125)</f>
        <v/>
      </c>
    </row>
    <row r="128" ht="14.25" customHeight="1" s="137"/>
    <row r="129" ht="14.25" customHeight="1" s="137">
      <c r="A129" s="201" t="inlineStr">
        <is>
          <t>2025 Mercury Fortuna inventory — Venus + Roman Gold Belt LOCKED; Aug $20k unnamed ASK</t>
        </is>
      </c>
    </row>
    <row r="130" ht="14.25" customHeight="1" s="137">
      <c r="A130" s="181" t="inlineStr">
        <is>
          <t>Bronze head of a goddess, likely Venus — Fortuna inventory</t>
        </is>
      </c>
      <c r="B130" s="181" t="inlineStr">
        <is>
          <t>Mercury 8291</t>
        </is>
      </c>
      <c r="C130" s="203" t="n">
        <v>20000</v>
      </c>
      <c r="D130" s="202" t="inlineStr">
        <is>
          <t>2025-05-09</t>
        </is>
      </c>
      <c r="I130" s="208" t="inlineStr">
        <is>
          <t>LOCKED 2026-09-20 from Mercury native CSV note. Parked Cost. Not sold 2025 — not in sold-lot Cost. Not tax advice.</t>
        </is>
      </c>
    </row>
    <row r="131" ht="14.25" customHeight="1" s="137">
      <c r="A131" s="181" t="inlineStr">
        <is>
          <t>Roman Gold Belt — Fortuna inventory</t>
        </is>
      </c>
      <c r="B131" s="181" t="inlineStr">
        <is>
          <t>Mercury 8291</t>
        </is>
      </c>
      <c r="C131" s="203" t="n">
        <v>45000</v>
      </c>
      <c r="D131" s="202" t="inlineStr">
        <is>
          <t>2025-07-21</t>
        </is>
      </c>
      <c r="I131" s="208" t="inlineStr">
        <is>
          <t>LOCKED 2026-09-20 from Mercury native CSV note. Parked Cost. Not sold 2025 — not in sold-lot Cost. Not tax advice.</t>
        </is>
      </c>
    </row>
    <row r="132" ht="14.25" customHeight="1" s="137">
      <c r="A132" s="185" t="inlineStr">
        <is>
          <t>Fortuna / Erdal Dere — object still unnamed (native 8/18 = Monarch 8/15)</t>
        </is>
      </c>
      <c r="B132" s="185" t="inlineStr">
        <is>
          <t>Mercury 8291</t>
        </is>
      </c>
      <c r="C132" s="157" t="n">
        <v>20000</v>
      </c>
      <c r="D132" s="200" t="inlineStr">
        <is>
          <t>2025-08-15</t>
        </is>
      </c>
      <c r="I132" s="190" t="inlineStr">
        <is>
          <t>ASK: same $20,000 as Mercury native 2025-08-18. No object name. Do not add to sold Cost. Not a second unique txn.</t>
        </is>
      </c>
    </row>
    <row r="133" ht="14.25" customHeight="1" s="137">
      <c r="A133" s="0" t="inlineStr">
        <is>
          <t>Fortuna unnamed remaining 2025 (excl. seals $13,000 + Venus $20,000 + Belt $45,000)</t>
        </is>
      </c>
      <c r="C133" s="157" t="n">
        <v>20000</v>
      </c>
    </row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4">
    <mergeCell ref="A134:I134"/>
    <mergeCell ref="A119:I119"/>
    <mergeCell ref="A79:I79"/>
    <mergeCell ref="A122:I12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2:E28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37" min="1" max="1"/>
    <col width="11" customWidth="1" style="137" min="2" max="2"/>
    <col width="14.14" customWidth="1" style="137" min="3" max="3"/>
    <col width="10.71" customWidth="1" style="137" min="4" max="4"/>
    <col width="11.86" customWidth="1" style="137" min="5" max="5"/>
    <col width="8.710000000000001" customWidth="1" style="137" min="6" max="26"/>
  </cols>
  <sheetData>
    <row r="1" ht="14.25" customHeight="1" s="137"/>
    <row r="2" ht="14.25" customHeight="1" s="137">
      <c r="A2" s="123" t="inlineStr">
        <is>
          <t>GCM Boards 2022</t>
        </is>
      </c>
      <c r="B2" s="158" t="n"/>
      <c r="C2" s="158" t="n"/>
      <c r="D2" s="158" t="n"/>
      <c r="E2" s="158" t="n"/>
    </row>
    <row r="3" ht="14.25" customHeight="1" s="137">
      <c r="A3" s="5" t="inlineStr">
        <is>
          <t>Fees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</row>
    <row r="4" ht="14.25" customHeight="1" s="137">
      <c r="A4" s="122" t="inlineStr">
        <is>
          <t>GCM Board</t>
        </is>
      </c>
      <c r="B4" s="88" t="n">
        <v>3500</v>
      </c>
      <c r="C4" s="88" t="n">
        <v>3500</v>
      </c>
      <c r="D4" s="88" t="n">
        <v>3500</v>
      </c>
      <c r="E4" s="88" t="n">
        <v>7000</v>
      </c>
    </row>
    <row r="5" ht="14.25" customHeight="1" s="137">
      <c r="A5" s="122" t="inlineStr">
        <is>
          <t>Gates SPC</t>
        </is>
      </c>
      <c r="B5" s="88" t="n"/>
      <c r="C5" s="88" t="n">
        <v>2500</v>
      </c>
      <c r="D5" s="88" t="n">
        <v>2500</v>
      </c>
      <c r="E5" s="88" t="n">
        <v>2500</v>
      </c>
    </row>
    <row r="6" ht="14.25" customHeight="1" s="137">
      <c r="A6" s="122" t="inlineStr">
        <is>
          <t>Total</t>
        </is>
      </c>
      <c r="B6" s="86">
        <f>SUM(B4:B5)</f>
        <v/>
      </c>
      <c r="C6" s="86">
        <f>SUM(C4:C5)</f>
        <v/>
      </c>
      <c r="D6" s="86">
        <f>SUM(D4:D5)</f>
        <v/>
      </c>
      <c r="E6" s="86">
        <f>SUM(E4:E5)</f>
        <v/>
      </c>
    </row>
    <row r="7" ht="14.25" customHeight="1" s="137">
      <c r="A7" s="5" t="inlineStr">
        <is>
          <t>Grand Total</t>
        </is>
      </c>
      <c r="C7" s="5" t="n"/>
      <c r="D7" s="5" t="n"/>
      <c r="E7" s="86">
        <f>SUM(B6:E6)</f>
        <v/>
      </c>
    </row>
    <row r="8" ht="14.25" customHeight="1" s="137"/>
    <row r="9" ht="14.25" customHeight="1" s="137">
      <c r="A9" s="123" t="inlineStr">
        <is>
          <t>GCM Boards 2023</t>
        </is>
      </c>
      <c r="B9" s="158" t="n"/>
      <c r="C9" s="158" t="n"/>
      <c r="D9" s="158" t="n"/>
      <c r="E9" s="158" t="n"/>
    </row>
    <row r="10" ht="14.25" customHeight="1" s="137">
      <c r="A10" s="5" t="inlineStr">
        <is>
          <t>Fees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</row>
    <row r="11" ht="14.25" customHeight="1" s="137">
      <c r="A11" s="122" t="inlineStr">
        <is>
          <t>GCM Board</t>
        </is>
      </c>
      <c r="B11" s="88" t="n">
        <v>3675</v>
      </c>
      <c r="C11" s="88" t="n">
        <v>3675</v>
      </c>
      <c r="D11" s="125" t="n">
        <v>3675</v>
      </c>
      <c r="E11" s="125" t="n">
        <v>3675</v>
      </c>
    </row>
    <row r="12" ht="14.25" customHeight="1" s="137">
      <c r="A12" s="122" t="inlineStr">
        <is>
          <t>Total</t>
        </is>
      </c>
      <c r="B12" s="86">
        <f>SUM(B11)</f>
        <v/>
      </c>
      <c r="C12" s="86">
        <f>SUM(C11)</f>
        <v/>
      </c>
      <c r="D12" s="86">
        <f>SUM(D11)</f>
        <v/>
      </c>
      <c r="E12" s="86">
        <f>SUM(E11)</f>
        <v/>
      </c>
    </row>
    <row r="13" ht="14.25" customHeight="1" s="137">
      <c r="A13" s="5" t="inlineStr">
        <is>
          <t>Grand Total</t>
        </is>
      </c>
      <c r="C13" s="5" t="n"/>
      <c r="D13" s="5" t="n"/>
      <c r="E13" s="86">
        <f>SUM(B12:E12)</f>
        <v/>
      </c>
    </row>
    <row r="14" ht="14.25" customHeight="1" s="137"/>
    <row r="15" ht="14.25" customHeight="1" s="137">
      <c r="A15" s="123" t="inlineStr">
        <is>
          <t>GCM Boards 2024</t>
        </is>
      </c>
      <c r="B15" s="158" t="n"/>
      <c r="C15" s="158" t="n"/>
      <c r="D15" s="158" t="n"/>
      <c r="E15" s="158" t="n"/>
    </row>
    <row r="16" ht="14.25" customHeight="1" s="137">
      <c r="A16" s="5" t="inlineStr">
        <is>
          <t>Fees</t>
        </is>
      </c>
      <c r="B16" s="5" t="inlineStr">
        <is>
          <t>Q1</t>
        </is>
      </c>
      <c r="C16" s="5" t="inlineStr">
        <is>
          <t>Q2</t>
        </is>
      </c>
      <c r="D16" s="5" t="inlineStr">
        <is>
          <t>Q3</t>
        </is>
      </c>
      <c r="E16" s="5" t="inlineStr">
        <is>
          <t>Q4</t>
        </is>
      </c>
    </row>
    <row r="17" ht="14.25" customHeight="1" s="137">
      <c r="A17" s="122" t="inlineStr">
        <is>
          <t>GCM Board</t>
        </is>
      </c>
      <c r="B17" s="88" t="n">
        <v>4050</v>
      </c>
      <c r="C17" s="88" t="n">
        <v>4050</v>
      </c>
      <c r="D17" s="125" t="n">
        <v>4050</v>
      </c>
      <c r="E17" s="125" t="n">
        <v>4050</v>
      </c>
    </row>
    <row r="18" ht="14.25" customHeight="1" s="137">
      <c r="A18" s="122" t="inlineStr">
        <is>
          <t>Total</t>
        </is>
      </c>
      <c r="B18" s="86">
        <f>SUM(B17)</f>
        <v/>
      </c>
      <c r="C18" s="86">
        <f>SUM(C17)</f>
        <v/>
      </c>
      <c r="D18" s="86">
        <f>SUM(D17)</f>
        <v/>
      </c>
      <c r="E18" s="86">
        <f>SUM(E17)</f>
        <v/>
      </c>
    </row>
    <row r="19" ht="14.25" customHeight="1" s="137">
      <c r="A19" s="5" t="inlineStr">
        <is>
          <t>Grand Total</t>
        </is>
      </c>
      <c r="C19" s="5" t="n"/>
      <c r="D19" s="5" t="n"/>
      <c r="E19" s="86">
        <f>SUM(B18:E18)</f>
        <v/>
      </c>
    </row>
    <row r="20" ht="14.25" customHeight="1" s="137">
      <c r="A20" s="92" t="n"/>
      <c r="B20" s="94" t="n"/>
    </row>
    <row r="21" ht="14.25" customHeight="1" s="137"/>
    <row r="22" ht="14.25" customHeight="1" s="137">
      <c r="A22" s="123" t="inlineStr">
        <is>
          <t>GCM Boards 2025</t>
        </is>
      </c>
      <c r="B22" s="158" t="n"/>
      <c r="C22" s="158" t="n"/>
      <c r="D22" s="158" t="n"/>
      <c r="E22" s="158" t="n"/>
    </row>
    <row r="23" ht="14.25" customHeight="1" s="137">
      <c r="A23" s="5" t="inlineStr">
        <is>
          <t>Fees</t>
        </is>
      </c>
      <c r="B23" s="5" t="inlineStr">
        <is>
          <t>Q1</t>
        </is>
      </c>
      <c r="C23" s="5" t="inlineStr">
        <is>
          <t>Q2</t>
        </is>
      </c>
      <c r="D23" s="5" t="inlineStr">
        <is>
          <t>Q3</t>
        </is>
      </c>
      <c r="E23" s="5" t="inlineStr">
        <is>
          <t>Q4</t>
        </is>
      </c>
    </row>
    <row r="24" ht="14.25" customHeight="1" s="137">
      <c r="A24" s="122" t="inlineStr">
        <is>
          <t>GCM Board</t>
        </is>
      </c>
      <c r="B24" s="152" t="n">
        <v>4100</v>
      </c>
      <c r="C24" s="152" t="n">
        <v>9200</v>
      </c>
      <c r="D24" s="228" t="n">
        <v>4100</v>
      </c>
      <c r="E24" s="228" t="n">
        <v>4100</v>
      </c>
    </row>
    <row r="25" ht="14.25" customHeight="1" s="137">
      <c r="A25" s="122" t="inlineStr">
        <is>
          <t>Total</t>
        </is>
      </c>
      <c r="B25" s="86">
        <f>SUM(B24)</f>
        <v/>
      </c>
      <c r="C25" s="86">
        <f>SUM(C24)</f>
        <v/>
      </c>
      <c r="D25" s="86">
        <f>SUM(D24)</f>
        <v/>
      </c>
      <c r="E25" s="86">
        <f>SUM(E24)</f>
        <v/>
      </c>
    </row>
    <row r="26" ht="14.25" customHeight="1" s="137">
      <c r="A26" s="5" t="inlineStr">
        <is>
          <t>Grand Total</t>
        </is>
      </c>
      <c r="C26" s="5" t="n"/>
      <c r="D26" s="5" t="n"/>
      <c r="E26" s="86">
        <f>SUM(B25:E25)</f>
        <v/>
      </c>
    </row>
    <row r="27" ht="14.25" customHeight="1" s="137">
      <c r="A27" s="92" t="n"/>
      <c r="B27" s="94" t="n"/>
    </row>
    <row r="28" ht="14.25" customHeight="1" s="137">
      <c r="A28" t="inlineStr">
        <is>
          <t>BOM PAYMEN $21,500 = Form 1099-NEC (personal, Jacob). NOT EPGC Consultant. JAKE C / SEFOF reimbursements excluded. Not tax advice.</t>
        </is>
      </c>
    </row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2:E2"/>
    <mergeCell ref="A15:E15"/>
    <mergeCell ref="A9:E9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137" min="1" max="1"/>
    <col width="14.14" customWidth="1" style="137" min="2" max="2"/>
    <col width="8.710000000000001" customWidth="1" style="137" min="3" max="4"/>
    <col width="18.71" customWidth="1" style="137" min="5" max="5"/>
    <col width="8.710000000000001" customWidth="1" style="137" min="6" max="26"/>
  </cols>
  <sheetData>
    <row r="1" ht="14.25" customHeight="1" s="137">
      <c r="B1" s="126" t="n"/>
    </row>
    <row r="2" ht="14.25" customHeight="1" s="137">
      <c r="A2" s="123" t="inlineStr">
        <is>
          <t>Contractual Employee 2023</t>
        </is>
      </c>
      <c r="B2" s="158" t="n"/>
      <c r="C2" s="158" t="n"/>
      <c r="D2" s="158" t="n"/>
      <c r="E2" s="158" t="n"/>
    </row>
    <row r="3" ht="14.25" customHeight="1" s="137">
      <c r="A3" s="5" t="inlineStr">
        <is>
          <t>Income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</row>
    <row r="4" ht="14.25" customHeight="1" s="137">
      <c r="A4" s="122" t="inlineStr">
        <is>
          <t>Salary</t>
        </is>
      </c>
    </row>
    <row r="5" ht="14.25" customHeight="1" s="137">
      <c r="A5" s="122" t="inlineStr">
        <is>
          <t>Bonus</t>
        </is>
      </c>
    </row>
    <row r="6" ht="14.25" customHeight="1" s="137">
      <c r="A6" s="122" t="inlineStr">
        <is>
          <t>Total</t>
        </is>
      </c>
      <c r="B6" s="5">
        <f>SUM(B4)</f>
        <v/>
      </c>
      <c r="C6" s="5">
        <f>SUM(C4)</f>
        <v/>
      </c>
      <c r="D6" s="5">
        <f>SUM(D4)</f>
        <v/>
      </c>
      <c r="E6" s="5">
        <f>SUM(E4)</f>
        <v/>
      </c>
    </row>
    <row r="7" ht="14.25" customHeight="1" s="137">
      <c r="A7" s="5" t="inlineStr">
        <is>
          <t>Total Revenues</t>
        </is>
      </c>
      <c r="B7" s="5" t="n"/>
      <c r="C7" s="5" t="n"/>
      <c r="D7" s="5" t="n"/>
      <c r="E7" s="86" t="n">
        <v>115000</v>
      </c>
    </row>
    <row r="8" ht="14.25" customHeight="1" s="137">
      <c r="B8" s="126" t="n"/>
    </row>
    <row r="9" ht="14.25" customHeight="1" s="137">
      <c r="A9" s="123" t="inlineStr">
        <is>
          <t>Contractual Employee 2024</t>
        </is>
      </c>
      <c r="B9" s="158" t="n"/>
      <c r="C9" s="158" t="n"/>
      <c r="D9" s="158" t="n"/>
      <c r="E9" s="158" t="n"/>
    </row>
    <row r="10" ht="14.25" customHeight="1" s="137">
      <c r="A10" s="5" t="inlineStr">
        <is>
          <t>Income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</row>
    <row r="11" ht="14.25" customHeight="1" s="137">
      <c r="A11" s="122" t="inlineStr">
        <is>
          <t>Salary</t>
        </is>
      </c>
    </row>
    <row r="12" ht="14.25" customHeight="1" s="137">
      <c r="A12" s="122" t="inlineStr">
        <is>
          <t>Bonus</t>
        </is>
      </c>
    </row>
    <row r="13" ht="14.25" customHeight="1" s="137">
      <c r="A13" s="122" t="inlineStr">
        <is>
          <t>Total</t>
        </is>
      </c>
      <c r="B13" s="5">
        <f>SUM(B11)</f>
        <v/>
      </c>
      <c r="C13" s="5">
        <f>SUM(C11)</f>
        <v/>
      </c>
      <c r="D13" s="5">
        <f>SUM(D11)</f>
        <v/>
      </c>
      <c r="E13" s="5">
        <f>SUM(E11)</f>
        <v/>
      </c>
    </row>
    <row r="14" ht="14.25" customHeight="1" s="137">
      <c r="A14" s="5" t="inlineStr">
        <is>
          <t>Total Revenues</t>
        </is>
      </c>
      <c r="B14" s="5" t="n"/>
      <c r="C14" s="5" t="n"/>
      <c r="D14" s="5" t="n"/>
      <c r="E14" s="86" t="n">
        <v>110000</v>
      </c>
    </row>
    <row r="15" ht="14.25" customHeight="1" s="137">
      <c r="B15" s="126" t="n"/>
    </row>
    <row r="16" ht="14.25" customHeight="1" s="137">
      <c r="B16" s="126" t="n"/>
    </row>
    <row r="17" ht="14.25" customHeight="1" s="137"/>
    <row r="18" ht="14.25" customHeight="1" s="137"/>
    <row r="19" ht="14.25" customHeight="1" s="137"/>
    <row r="20" ht="14.25" customHeight="1" s="137"/>
    <row r="21" ht="14.25" customHeight="1" s="137"/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2">
    <mergeCell ref="A2:E2"/>
    <mergeCell ref="A9:E9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137" min="1" max="1"/>
    <col width="14.14" customWidth="1" style="137" min="2" max="2"/>
    <col width="8.710000000000001" customWidth="1" style="137" min="3" max="4"/>
    <col width="18.71" customWidth="1" style="137" min="5" max="5"/>
    <col width="8.710000000000001" customWidth="1" style="137" min="6" max="26"/>
  </cols>
  <sheetData>
    <row r="1" ht="14.25" customHeight="1" s="137">
      <c r="B1" s="126" t="n"/>
    </row>
    <row r="2" ht="14.25" customHeight="1" s="137">
      <c r="B2" s="126" t="n"/>
    </row>
    <row r="3" ht="14.25" customHeight="1" s="137">
      <c r="A3" s="123" t="inlineStr">
        <is>
          <t>Contractual Employee 2022</t>
        </is>
      </c>
      <c r="B3" s="158" t="n"/>
      <c r="C3" s="158" t="n"/>
      <c r="D3" s="158" t="n"/>
      <c r="E3" s="158" t="n"/>
    </row>
    <row r="4" ht="14.25" customHeight="1" s="137">
      <c r="A4" s="5" t="inlineStr">
        <is>
          <t>Income</t>
        </is>
      </c>
      <c r="B4" s="5" t="inlineStr">
        <is>
          <t>Q1</t>
        </is>
      </c>
      <c r="C4" s="5" t="inlineStr">
        <is>
          <t>Q2</t>
        </is>
      </c>
      <c r="D4" s="5" t="inlineStr">
        <is>
          <t>Q3</t>
        </is>
      </c>
      <c r="E4" s="5" t="inlineStr">
        <is>
          <t>Q4</t>
        </is>
      </c>
    </row>
    <row r="5" ht="14.25" customHeight="1" s="137">
      <c r="A5" s="122" t="inlineStr">
        <is>
          <t>Salary</t>
        </is>
      </c>
      <c r="B5" s="122" t="n">
        <v>23000</v>
      </c>
      <c r="C5" s="122" t="n">
        <v>23000</v>
      </c>
      <c r="D5" s="122" t="n">
        <v>23000</v>
      </c>
      <c r="E5" s="122" t="n">
        <v>23000</v>
      </c>
    </row>
    <row r="6" ht="14.25" customHeight="1" s="137">
      <c r="A6" s="122" t="inlineStr">
        <is>
          <t>Total</t>
        </is>
      </c>
      <c r="B6" s="5">
        <f>SUM(B5)</f>
        <v/>
      </c>
      <c r="C6" s="5">
        <f>SUM(C5)</f>
        <v/>
      </c>
      <c r="D6" s="5">
        <f>SUM(D5)</f>
        <v/>
      </c>
      <c r="E6" s="5">
        <f>SUM(E5)</f>
        <v/>
      </c>
    </row>
    <row r="7" ht="14.25" customHeight="1" s="137">
      <c r="A7" s="5" t="inlineStr">
        <is>
          <t>Total Revenues</t>
        </is>
      </c>
      <c r="B7" s="5" t="n"/>
      <c r="C7" s="5" t="n"/>
      <c r="D7" s="5" t="n"/>
      <c r="E7" s="127">
        <f>SUM(B6:E6)</f>
        <v/>
      </c>
    </row>
    <row r="8" ht="14.25" customHeight="1" s="137">
      <c r="B8" s="126" t="n"/>
    </row>
    <row r="9" ht="14.25" customHeight="1" s="137">
      <c r="A9" s="123" t="inlineStr">
        <is>
          <t>Contractual Employee 2023</t>
        </is>
      </c>
      <c r="B9" s="158" t="n"/>
      <c r="C9" s="158" t="n"/>
      <c r="D9" s="158" t="n"/>
      <c r="E9" s="158" t="n"/>
    </row>
    <row r="10" ht="14.25" customHeight="1" s="137">
      <c r="A10" s="5" t="inlineStr">
        <is>
          <t>Income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</row>
    <row r="11" ht="14.25" customHeight="1" s="137">
      <c r="A11" s="122" t="inlineStr">
        <is>
          <t>Salary</t>
        </is>
      </c>
    </row>
    <row r="12" ht="14.25" customHeight="1" s="137">
      <c r="A12" s="122" t="inlineStr">
        <is>
          <t>Total</t>
        </is>
      </c>
      <c r="B12" s="5">
        <f>SUM(B11)</f>
        <v/>
      </c>
      <c r="C12" s="5">
        <f>SUM(C11)</f>
        <v/>
      </c>
      <c r="D12" s="5">
        <f>SUM(D11)</f>
        <v/>
      </c>
      <c r="E12" s="5">
        <f>SUM(E11)</f>
        <v/>
      </c>
    </row>
    <row r="13" ht="14.25" customHeight="1" s="137">
      <c r="A13" s="5" t="inlineStr">
        <is>
          <t>Total Revenues</t>
        </is>
      </c>
      <c r="B13" s="5" t="n"/>
      <c r="C13" s="5" t="n"/>
      <c r="D13" s="5" t="n"/>
      <c r="E13" s="127" t="n">
        <v>100274</v>
      </c>
    </row>
    <row r="14" ht="14.25" customHeight="1" s="137">
      <c r="B14" s="126" t="n"/>
    </row>
    <row r="15" ht="14.25" customHeight="1" s="137">
      <c r="A15" s="123" t="inlineStr">
        <is>
          <t>Contractual Employee 2024</t>
        </is>
      </c>
      <c r="B15" s="158" t="n"/>
      <c r="C15" s="158" t="n"/>
      <c r="D15" s="158" t="n"/>
      <c r="E15" s="158" t="n"/>
    </row>
    <row r="16" ht="14.25" customHeight="1" s="137">
      <c r="A16" s="5" t="inlineStr">
        <is>
          <t>Income</t>
        </is>
      </c>
      <c r="B16" s="5" t="inlineStr">
        <is>
          <t>Q1</t>
        </is>
      </c>
      <c r="C16" s="5" t="inlineStr">
        <is>
          <t>Q2</t>
        </is>
      </c>
      <c r="D16" s="5" t="inlineStr">
        <is>
          <t>Q3</t>
        </is>
      </c>
      <c r="E16" s="5" t="inlineStr">
        <is>
          <t>Q4</t>
        </is>
      </c>
    </row>
    <row r="17" ht="14.25" customHeight="1" s="137">
      <c r="A17" s="122" t="inlineStr">
        <is>
          <t>Salary</t>
        </is>
      </c>
    </row>
    <row r="18" ht="14.25" customHeight="1" s="137">
      <c r="A18" s="122" t="inlineStr">
        <is>
          <t>Total</t>
        </is>
      </c>
      <c r="B18" s="5">
        <f>SUM(B17)</f>
        <v/>
      </c>
      <c r="C18" s="5">
        <f>SUM(C17)</f>
        <v/>
      </c>
      <c r="D18" s="5">
        <f>SUM(D17)</f>
        <v/>
      </c>
      <c r="E18" s="5">
        <f>SUM(E17)</f>
        <v/>
      </c>
    </row>
    <row r="19" ht="14.25" customHeight="1" s="137">
      <c r="A19" s="5" t="inlineStr">
        <is>
          <t>Total Revenues</t>
        </is>
      </c>
      <c r="B19" s="5" t="n"/>
      <c r="C19" s="5" t="n"/>
      <c r="D19" s="5" t="n"/>
      <c r="E19" s="127" t="n"/>
    </row>
    <row r="20" ht="14.25" customHeight="1" s="137">
      <c r="B20" s="126" t="n"/>
    </row>
    <row r="21" ht="14.25" customHeight="1" s="137">
      <c r="B21" s="126" t="n"/>
    </row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15:E15"/>
    <mergeCell ref="A9:E9"/>
    <mergeCell ref="A3:E3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7" min="1" max="1"/>
    <col width="14" customWidth="1" style="137" min="2" max="26"/>
    <col width="14" customWidth="1" style="137" min="3" max="3"/>
    <col width="14" customWidth="1" style="137" min="4" max="4"/>
    <col width="14" customWidth="1" style="137" min="5" max="5"/>
    <col width="14" customWidth="1" style="137" min="6" max="6"/>
    <col width="14" customWidth="1" style="137" min="7" max="7"/>
    <col width="14" customWidth="1" style="137" min="8" max="8"/>
    <col width="14" customWidth="1" style="137" min="9" max="9"/>
    <col width="14" customWidth="1" style="137" min="10" max="10"/>
    <col width="14" customWidth="1" style="137" min="11" max="11"/>
    <col width="14" customWidth="1" style="137" min="12" max="12"/>
    <col width="14" customWidth="1" style="137" min="13" max="13"/>
    <col width="14" customWidth="1" style="137" min="14" max="14"/>
  </cols>
  <sheetData>
    <row r="1" ht="14.25" customHeight="1" s="137">
      <c r="A1" s="122" t="inlineStr">
        <is>
          <t>Fidelity</t>
        </is>
      </c>
      <c r="B1" s="122" t="inlineStr">
        <is>
          <t>SEP IRA</t>
        </is>
      </c>
    </row>
    <row r="2" ht="14.25" customHeight="1" s="137">
      <c r="A2" s="122" t="inlineStr">
        <is>
          <t>ML</t>
        </is>
      </c>
      <c r="B2" s="122" t="inlineStr">
        <is>
          <t>UTMA EMMA COLEY</t>
        </is>
      </c>
    </row>
    <row r="3" ht="14.25" customHeight="1" s="137">
      <c r="A3" s="122" t="inlineStr">
        <is>
          <t>ML</t>
        </is>
      </c>
      <c r="B3" s="122" t="inlineStr">
        <is>
          <t>UTMA PHOEBE COLEY</t>
        </is>
      </c>
    </row>
    <row r="4" ht="14.25" customHeight="1" s="137"/>
    <row r="5" ht="14.25" customHeight="1" s="137">
      <c r="A5" s="159" t="inlineStr">
        <is>
          <t>Coinbase (ACH from Mercury 8291)</t>
        </is>
      </c>
      <c r="B5" s="178" t="inlineStr">
        <is>
          <t>Investment transfers — not EPGC Art Sales, not advisory. Distinct from Coinbase 6108 card.</t>
        </is>
      </c>
    </row>
    <row r="6" ht="14.25" customHeight="1" s="137">
      <c r="A6" s="188" t="inlineStr"/>
      <c r="B6" s="188" t="inlineStr">
        <is>
          <t>JAN</t>
        </is>
      </c>
      <c r="C6" s="188" t="inlineStr">
        <is>
          <t>FEB</t>
        </is>
      </c>
      <c r="D6" s="188" t="inlineStr">
        <is>
          <t>MAR</t>
        </is>
      </c>
      <c r="E6" s="188" t="inlineStr">
        <is>
          <t>APR</t>
        </is>
      </c>
      <c r="F6" s="188" t="inlineStr">
        <is>
          <t>MAY</t>
        </is>
      </c>
      <c r="G6" s="188" t="inlineStr">
        <is>
          <t>JUN</t>
        </is>
      </c>
      <c r="H6" s="188" t="inlineStr">
        <is>
          <t>JUL</t>
        </is>
      </c>
      <c r="I6" s="188" t="inlineStr">
        <is>
          <t>AUG</t>
        </is>
      </c>
      <c r="J6" s="188" t="inlineStr">
        <is>
          <t>SEP</t>
        </is>
      </c>
      <c r="K6" s="188" t="inlineStr">
        <is>
          <t>OCT</t>
        </is>
      </c>
      <c r="L6" s="188" t="inlineStr">
        <is>
          <t>NOV</t>
        </is>
      </c>
      <c r="M6" s="188" t="inlineStr">
        <is>
          <t>DEC</t>
        </is>
      </c>
      <c r="N6" s="188" t="inlineStr">
        <is>
          <t>2025 NET</t>
        </is>
      </c>
    </row>
    <row r="7" ht="14.25" customHeight="1" s="137">
      <c r="A7" s="0" t="inlineStr">
        <is>
          <t>To Coinbase (funding)</t>
        </is>
      </c>
      <c r="B7" s="179" t="n">
        <v>0</v>
      </c>
      <c r="C7" s="179" t="n">
        <v>0</v>
      </c>
      <c r="D7" s="179" t="n">
        <v>0</v>
      </c>
      <c r="E7" s="179" t="n">
        <v>0</v>
      </c>
      <c r="F7" s="179" t="n">
        <v>0</v>
      </c>
      <c r="G7" s="179" t="n">
        <v>0</v>
      </c>
      <c r="H7" s="179" t="n">
        <v>0</v>
      </c>
      <c r="I7" s="179" t="n">
        <v>0</v>
      </c>
      <c r="J7" s="205" t="n">
        <v>-9000</v>
      </c>
      <c r="K7" s="205" t="n">
        <v>-10000</v>
      </c>
      <c r="L7" s="205" t="n">
        <v>-35000</v>
      </c>
      <c r="M7" s="205" t="n">
        <v>-5000</v>
      </c>
      <c r="N7" s="138">
        <f>SUM(B7:M7)</f>
        <v/>
      </c>
    </row>
    <row r="8" ht="14.25" customHeight="1" s="137">
      <c r="A8" s="0" t="inlineStr">
        <is>
          <t>From Coinbase (back to 8291)</t>
        </is>
      </c>
      <c r="B8" s="179" t="n">
        <v>0</v>
      </c>
      <c r="C8" s="179" t="n">
        <v>0</v>
      </c>
      <c r="D8" s="179" t="n">
        <v>0</v>
      </c>
      <c r="E8" s="179" t="n">
        <v>0</v>
      </c>
      <c r="F8" s="179" t="n">
        <v>0</v>
      </c>
      <c r="G8" s="179" t="n">
        <v>0</v>
      </c>
      <c r="H8" s="179" t="n">
        <v>0</v>
      </c>
      <c r="I8" s="179" t="n">
        <v>0</v>
      </c>
      <c r="J8" s="179" t="n">
        <v>0</v>
      </c>
      <c r="K8" s="179" t="n">
        <v>0</v>
      </c>
      <c r="L8" s="179" t="n">
        <v>0</v>
      </c>
      <c r="M8" s="205" t="n">
        <v>8000</v>
      </c>
      <c r="N8" s="138">
        <f>SUM(B8:M8)</f>
        <v/>
      </c>
    </row>
    <row r="9" ht="14.25" customHeight="1" s="137">
      <c r="A9" s="0" t="inlineStr">
        <is>
          <t>Net transfer</t>
        </is>
      </c>
      <c r="B9" s="179" t="n">
        <v>0</v>
      </c>
      <c r="C9" s="179" t="n">
        <v>0</v>
      </c>
      <c r="D9" s="179" t="n">
        <v>0</v>
      </c>
      <c r="E9" s="179" t="n">
        <v>0</v>
      </c>
      <c r="F9" s="179" t="n">
        <v>0</v>
      </c>
      <c r="G9" s="179" t="n">
        <v>0</v>
      </c>
      <c r="H9" s="179" t="n">
        <v>0</v>
      </c>
      <c r="I9" s="179" t="n">
        <v>0</v>
      </c>
      <c r="J9" s="183" t="n">
        <v>-9000</v>
      </c>
      <c r="K9" s="183" t="n">
        <v>-10000</v>
      </c>
      <c r="L9" s="183" t="n">
        <v>-35000</v>
      </c>
      <c r="M9" s="183" t="n">
        <v>3000</v>
      </c>
      <c r="N9" s="138">
        <f>SUM(B9:M9)</f>
        <v/>
      </c>
    </row>
    <row r="10" ht="14.25" customHeight="1" s="137"/>
    <row r="11" ht="32" customHeight="1" s="137">
      <c r="A11" s="191" t="inlineStr">
        <is>
          <t>2025: funded $59,000.00 / returned $8,000.00 / net $-51,000.00 off the EPGC operating account. Not income, not an expense. Not tax advice.</t>
        </is>
      </c>
    </row>
    <row r="12" ht="14.25" customHeight="1" s="137"/>
    <row r="13" ht="14.25" customHeight="1" s="137"/>
    <row r="14" ht="14.25" customHeight="1" s="137"/>
    <row r="15" ht="14.25" customHeight="1" s="137"/>
    <row r="16" ht="14.25" customHeight="1" s="137"/>
    <row r="17" ht="14.25" customHeight="1" s="137"/>
    <row r="18" ht="14.25" customHeight="1" s="137"/>
    <row r="19" ht="14.25" customHeight="1" s="137"/>
    <row r="20" ht="14.25" customHeight="1" s="137"/>
    <row r="21" ht="14.25" customHeight="1" s="137"/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1">
    <mergeCell ref="A11:N1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37" min="1" max="1"/>
    <col width="90.43000000000001" customWidth="1" style="137" min="2" max="2"/>
    <col width="12.57" customWidth="1" style="137" min="3" max="3"/>
    <col width="10" customWidth="1" style="137" min="4" max="14"/>
    <col width="13" customWidth="1" style="137" min="5" max="5"/>
    <col width="13" customWidth="1" style="137" min="6" max="6"/>
    <col width="13" customWidth="1" style="137" min="7" max="7"/>
    <col width="13" customWidth="1" style="137" min="8" max="8"/>
    <col width="13" customWidth="1" style="137" min="9" max="9"/>
    <col width="13" customWidth="1" style="137" min="10" max="10"/>
    <col width="13" customWidth="1" style="137" min="11" max="11"/>
    <col width="13" customWidth="1" style="137" min="12" max="12"/>
    <col width="13" customWidth="1" style="137" min="13" max="13"/>
    <col width="13" customWidth="1" style="137" min="14" max="14"/>
    <col width="16.57" customWidth="1" style="137" min="15" max="15"/>
    <col width="12.57" customWidth="1" style="137" min="16" max="26"/>
    <col width="10" customWidth="1" style="137" min="17" max="17"/>
    <col width="13" customWidth="1" style="137" min="18" max="18"/>
    <col width="13" customWidth="1" style="137" min="19" max="19"/>
    <col width="13" customWidth="1" style="137" min="20" max="20"/>
    <col width="13" customWidth="1" style="137" min="21" max="21"/>
    <col width="13" customWidth="1" style="137" min="22" max="22"/>
    <col width="13" customWidth="1" style="137" min="23" max="23"/>
    <col width="13" customWidth="1" style="137" min="24" max="24"/>
    <col width="13" customWidth="1" style="137" min="25" max="25"/>
    <col width="13" customWidth="1" style="137" min="26" max="26"/>
    <col width="13" customWidth="1" style="137" min="27" max="27"/>
    <col width="16.57" customWidth="1" style="137" min="28" max="28"/>
  </cols>
  <sheetData>
    <row r="1" ht="14.25" customHeight="1" s="137">
      <c r="A1" s="16" t="n"/>
      <c r="B1" s="17" t="inlineStr">
        <is>
          <t>PROPERTY ADDRESS</t>
        </is>
      </c>
      <c r="C1" s="18" t="inlineStr">
        <is>
          <t>524 Ferdinand Avenue, Unit 1</t>
        </is>
      </c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8" t="inlineStr">
        <is>
          <t>524 Ferdinand Avenue, Unit 1</t>
        </is>
      </c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</row>
    <row r="2" ht="14.25" customHeight="1" s="137">
      <c r="A2" s="20" t="n"/>
      <c r="B2" s="21" t="inlineStr">
        <is>
          <t>INCOME</t>
        </is>
      </c>
      <c r="C2" s="22" t="inlineStr">
        <is>
          <t>JAN</t>
        </is>
      </c>
      <c r="D2" s="22" t="inlineStr">
        <is>
          <t>FEB</t>
        </is>
      </c>
      <c r="E2" s="22" t="inlineStr">
        <is>
          <t>MAR</t>
        </is>
      </c>
      <c r="F2" s="23" t="inlineStr">
        <is>
          <t>APR</t>
        </is>
      </c>
      <c r="G2" s="24" t="inlineStr">
        <is>
          <t>MAY</t>
        </is>
      </c>
      <c r="H2" s="24" t="inlineStr">
        <is>
          <t>JUN</t>
        </is>
      </c>
      <c r="I2" s="25" t="inlineStr">
        <is>
          <t>JUL</t>
        </is>
      </c>
      <c r="J2" s="26" t="inlineStr">
        <is>
          <t>AUG</t>
        </is>
      </c>
      <c r="K2" s="26" t="inlineStr">
        <is>
          <t>SEPT</t>
        </is>
      </c>
      <c r="L2" s="27" t="inlineStr">
        <is>
          <t>OCT</t>
        </is>
      </c>
      <c r="M2" s="28" t="inlineStr">
        <is>
          <t>NOV</t>
        </is>
      </c>
      <c r="N2" s="29" t="inlineStr">
        <is>
          <t>DEC</t>
        </is>
      </c>
      <c r="O2" s="30" t="inlineStr">
        <is>
          <t>2023 YR TOTAL</t>
        </is>
      </c>
      <c r="P2" s="22" t="inlineStr">
        <is>
          <t>JAN</t>
        </is>
      </c>
      <c r="Q2" s="22" t="inlineStr">
        <is>
          <t>FEB</t>
        </is>
      </c>
      <c r="R2" s="22" t="inlineStr">
        <is>
          <t>MAR</t>
        </is>
      </c>
      <c r="S2" s="23" t="inlineStr">
        <is>
          <t>APR</t>
        </is>
      </c>
      <c r="T2" s="24" t="inlineStr">
        <is>
          <t>MAY</t>
        </is>
      </c>
      <c r="U2" s="24" t="inlineStr">
        <is>
          <t>JUN</t>
        </is>
      </c>
      <c r="V2" s="25" t="inlineStr">
        <is>
          <t>JUL</t>
        </is>
      </c>
      <c r="W2" s="26" t="inlineStr">
        <is>
          <t>AUG</t>
        </is>
      </c>
      <c r="X2" s="26" t="inlineStr">
        <is>
          <t>SEPT</t>
        </is>
      </c>
      <c r="Y2" s="27" t="inlineStr">
        <is>
          <t>OCT</t>
        </is>
      </c>
      <c r="Z2" s="28" t="inlineStr">
        <is>
          <t>NOV</t>
        </is>
      </c>
      <c r="AA2" s="29" t="inlineStr">
        <is>
          <t>DEC</t>
        </is>
      </c>
      <c r="AB2" s="30" t="inlineStr">
        <is>
          <t>2025 YR TOTAL</t>
        </is>
      </c>
    </row>
    <row r="3" ht="14.25" customHeight="1" s="137">
      <c r="B3" s="128" t="inlineStr">
        <is>
          <t>MULTI-PROPERTY INCOME OVERVIEW</t>
        </is>
      </c>
      <c r="C3" s="32" t="n"/>
      <c r="D3" s="32" t="n"/>
      <c r="E3" s="32" t="n"/>
      <c r="F3" s="33" t="n"/>
      <c r="G3" s="32" t="n"/>
      <c r="H3" s="32" t="n"/>
      <c r="I3" s="33" t="n"/>
      <c r="J3" s="32" t="n"/>
      <c r="K3" s="32" t="n"/>
      <c r="L3" s="33" t="n"/>
      <c r="M3" s="32" t="n"/>
      <c r="N3" s="34" t="n"/>
      <c r="O3" s="35" t="n"/>
      <c r="P3" s="32" t="n"/>
      <c r="Q3" s="32" t="n"/>
      <c r="R3" s="32" t="n"/>
      <c r="S3" s="33" t="n"/>
      <c r="T3" s="32" t="n"/>
      <c r="U3" s="32" t="n"/>
      <c r="V3" s="33" t="n"/>
      <c r="W3" s="32" t="n"/>
      <c r="X3" s="32" t="n"/>
      <c r="Y3" s="33" t="n"/>
      <c r="Z3" s="32" t="n"/>
      <c r="AA3" s="34" t="n"/>
      <c r="AB3" s="35" t="n"/>
    </row>
    <row r="4" ht="14.25" customHeight="1" s="137">
      <c r="B4" s="57" t="inlineStr">
        <is>
          <t>MULTI-PROPERTY INCOME OVERVIEW</t>
        </is>
      </c>
      <c r="C4" s="64" t="n">
        <v>0</v>
      </c>
      <c r="D4" s="64" t="n">
        <v>0</v>
      </c>
      <c r="E4" s="64" t="n">
        <v>0</v>
      </c>
      <c r="F4" s="65" t="n">
        <v>0</v>
      </c>
      <c r="G4" s="66" t="n">
        <v>0</v>
      </c>
      <c r="H4" s="66" t="n">
        <v>0</v>
      </c>
      <c r="I4" s="67" t="n">
        <v>0</v>
      </c>
      <c r="J4" s="68" t="n">
        <v>0</v>
      </c>
      <c r="K4" s="68" t="n">
        <v>0</v>
      </c>
      <c r="L4" s="69" t="n">
        <v>0</v>
      </c>
      <c r="M4" s="59" t="n">
        <v>0</v>
      </c>
      <c r="N4" s="63" t="n">
        <v>0</v>
      </c>
      <c r="O4" s="61">
        <f>SUM(C4:N4)</f>
        <v/>
      </c>
      <c r="P4" s="64" t="n">
        <v>0</v>
      </c>
      <c r="Q4" s="64" t="n">
        <v>0</v>
      </c>
      <c r="R4" s="64" t="n">
        <v>0</v>
      </c>
      <c r="S4" s="65" t="n">
        <v>0</v>
      </c>
      <c r="T4" s="66" t="n">
        <v>0</v>
      </c>
      <c r="U4" s="66" t="n">
        <v>0</v>
      </c>
      <c r="V4" s="67" t="n">
        <v>0</v>
      </c>
      <c r="W4" s="68" t="n">
        <v>0</v>
      </c>
      <c r="X4" s="68" t="n">
        <v>0</v>
      </c>
      <c r="Y4" s="69" t="n">
        <v>0</v>
      </c>
      <c r="Z4" s="59" t="n">
        <v>0</v>
      </c>
      <c r="AA4" s="63" t="n">
        <v>0</v>
      </c>
      <c r="AB4" s="61">
        <f>SUM(P4:AA4)</f>
        <v/>
      </c>
    </row>
    <row r="5" ht="14.25" customHeight="1" s="137">
      <c r="B5" s="57" t="inlineStr">
        <is>
          <t>RENTAL INCOME</t>
        </is>
      </c>
      <c r="C5" s="64" t="n"/>
      <c r="D5" s="64" t="n"/>
      <c r="E5" s="64" t="n"/>
      <c r="F5" s="46" t="n"/>
      <c r="G5" s="46" t="n"/>
      <c r="H5" s="46" t="n"/>
      <c r="I5" s="68" t="n"/>
      <c r="J5" s="68" t="n"/>
      <c r="K5" s="68" t="n"/>
      <c r="L5" s="59" t="n"/>
      <c r="M5" s="59" t="n"/>
      <c r="N5" s="59" t="n"/>
      <c r="O5" s="61">
        <f>SUM(C5:N5)</f>
        <v/>
      </c>
      <c r="P5" s="64" t="n"/>
      <c r="Q5" s="64" t="n"/>
      <c r="R5" s="64" t="n"/>
      <c r="S5" s="46" t="n"/>
      <c r="T5" s="46" t="n"/>
      <c r="U5" s="46" t="n"/>
      <c r="V5" s="68" t="n"/>
      <c r="W5" s="68" t="n"/>
      <c r="X5" s="68" t="n"/>
      <c r="Y5" s="59" t="n"/>
      <c r="Z5" s="59" t="n"/>
      <c r="AA5" s="59" t="n"/>
      <c r="AB5" s="61">
        <f>SUM(P5:AA5)</f>
        <v/>
      </c>
    </row>
    <row r="6" ht="14.25" customHeight="1" s="137">
      <c r="B6" s="47" t="inlineStr">
        <is>
          <t>GROSS RENTAL INCOME</t>
        </is>
      </c>
      <c r="C6" s="48">
        <f>SUM(C4:C5)</f>
        <v/>
      </c>
      <c r="D6" s="48">
        <f>SUM(D4:D5)</f>
        <v/>
      </c>
      <c r="E6" s="48">
        <f>SUM(E4:E5)</f>
        <v/>
      </c>
      <c r="F6" s="49">
        <f>SUM(F4:F5)</f>
        <v/>
      </c>
      <c r="G6" s="50">
        <f>SUM(G4:G5)</f>
        <v/>
      </c>
      <c r="H6" s="50">
        <f>SUM(H4:H5)</f>
        <v/>
      </c>
      <c r="I6" s="51">
        <f>SUM(I4:I5)</f>
        <v/>
      </c>
      <c r="J6" s="52">
        <f>SUM(J4:J5)</f>
        <v/>
      </c>
      <c r="K6" s="52">
        <f>SUM(K4:K5)</f>
        <v/>
      </c>
      <c r="L6" s="53">
        <f>SUM(L4:L5)</f>
        <v/>
      </c>
      <c r="M6" s="54">
        <f>SUM(M4:M5)</f>
        <v/>
      </c>
      <c r="N6" s="55">
        <f>SUM(N4:N5)</f>
        <v/>
      </c>
      <c r="O6" s="56">
        <f>SUM(C6:N6)</f>
        <v/>
      </c>
      <c r="P6" s="48">
        <f>SUM(P4:P5)</f>
        <v/>
      </c>
      <c r="Q6" s="48">
        <f>SUM(Q4:Q5)</f>
        <v/>
      </c>
      <c r="R6" s="48">
        <f>SUM(R4:R5)</f>
        <v/>
      </c>
      <c r="S6" s="49">
        <f>SUM(S4:S5)</f>
        <v/>
      </c>
      <c r="T6" s="50">
        <f>SUM(T4:T5)</f>
        <v/>
      </c>
      <c r="U6" s="50">
        <f>SUM(U4:U5)</f>
        <v/>
      </c>
      <c r="V6" s="51">
        <f>SUM(V4:V5)</f>
        <v/>
      </c>
      <c r="W6" s="52">
        <f>SUM(W4:W5)</f>
        <v/>
      </c>
      <c r="X6" s="52">
        <f>SUM(X4:X5)</f>
        <v/>
      </c>
      <c r="Y6" s="53">
        <f>SUM(Y4:Y5)</f>
        <v/>
      </c>
      <c r="Z6" s="54">
        <f>SUM(Z4:Z5)</f>
        <v/>
      </c>
      <c r="AA6" s="55">
        <f>SUM(AA4:AA5)</f>
        <v/>
      </c>
      <c r="AB6" s="56">
        <f>SUM(P6:AA6)</f>
        <v/>
      </c>
    </row>
    <row r="7" ht="14.25" customHeight="1" s="137"/>
    <row r="8" ht="14.25" customHeight="1" s="137">
      <c r="A8" s="20" t="n"/>
      <c r="B8" s="21" t="inlineStr">
        <is>
          <t>EXPENSES</t>
        </is>
      </c>
      <c r="C8" s="22" t="inlineStr">
        <is>
          <t>JAN</t>
        </is>
      </c>
      <c r="D8" s="22" t="inlineStr">
        <is>
          <t>FEB</t>
        </is>
      </c>
      <c r="E8" s="22" t="inlineStr">
        <is>
          <t>MAR</t>
        </is>
      </c>
      <c r="F8" s="23" t="inlineStr">
        <is>
          <t>APR</t>
        </is>
      </c>
      <c r="G8" s="24" t="inlineStr">
        <is>
          <t>MAY</t>
        </is>
      </c>
      <c r="H8" s="24" t="inlineStr">
        <is>
          <t>JUN</t>
        </is>
      </c>
      <c r="I8" s="25" t="inlineStr">
        <is>
          <t>JUL</t>
        </is>
      </c>
      <c r="J8" s="26" t="inlineStr">
        <is>
          <t>AUG</t>
        </is>
      </c>
      <c r="K8" s="26" t="inlineStr">
        <is>
          <t>SEPT</t>
        </is>
      </c>
      <c r="L8" s="27" t="inlineStr">
        <is>
          <t>OCT</t>
        </is>
      </c>
      <c r="M8" s="28" t="inlineStr">
        <is>
          <t>NOV</t>
        </is>
      </c>
      <c r="N8" s="29" t="inlineStr">
        <is>
          <t>DEC</t>
        </is>
      </c>
      <c r="O8" s="30" t="inlineStr">
        <is>
          <t>YR TOTAL</t>
        </is>
      </c>
      <c r="P8" s="22" t="inlineStr">
        <is>
          <t>JAN</t>
        </is>
      </c>
      <c r="Q8" s="22" t="inlineStr">
        <is>
          <t>FEB</t>
        </is>
      </c>
      <c r="R8" s="22" t="inlineStr">
        <is>
          <t>MAR</t>
        </is>
      </c>
      <c r="S8" s="23" t="inlineStr">
        <is>
          <t>APR</t>
        </is>
      </c>
      <c r="T8" s="24" t="inlineStr">
        <is>
          <t>MAY</t>
        </is>
      </c>
      <c r="U8" s="24" t="inlineStr">
        <is>
          <t>JUN</t>
        </is>
      </c>
      <c r="V8" s="25" t="inlineStr">
        <is>
          <t>JUL</t>
        </is>
      </c>
      <c r="W8" s="26" t="inlineStr">
        <is>
          <t>AUG</t>
        </is>
      </c>
      <c r="X8" s="26" t="inlineStr">
        <is>
          <t>SEPT</t>
        </is>
      </c>
      <c r="Y8" s="27" t="inlineStr">
        <is>
          <t>OCT</t>
        </is>
      </c>
      <c r="Z8" s="28" t="inlineStr">
        <is>
          <t>NOV</t>
        </is>
      </c>
      <c r="AA8" s="29" t="inlineStr">
        <is>
          <t>DEC</t>
        </is>
      </c>
      <c r="AB8" s="30" t="inlineStr">
        <is>
          <t>YR TOTAL</t>
        </is>
      </c>
    </row>
    <row r="9" ht="14.25" customHeight="1" s="137">
      <c r="B9" s="128" t="inlineStr">
        <is>
          <t> </t>
        </is>
      </c>
      <c r="C9" s="32" t="n"/>
      <c r="D9" s="32" t="n"/>
      <c r="E9" s="32" t="n"/>
      <c r="F9" s="33" t="n"/>
      <c r="G9" s="32" t="n"/>
      <c r="H9" s="32" t="n"/>
      <c r="I9" s="33" t="n"/>
      <c r="J9" s="32" t="n"/>
      <c r="K9" s="32" t="n"/>
      <c r="L9" s="33" t="n"/>
      <c r="M9" s="32" t="n"/>
      <c r="N9" s="34" t="n"/>
      <c r="O9" s="35" t="n"/>
      <c r="P9" s="32" t="n"/>
      <c r="Q9" s="32" t="n"/>
      <c r="R9" s="32" t="n"/>
      <c r="S9" s="33" t="n"/>
      <c r="T9" s="32" t="n"/>
      <c r="U9" s="32" t="n"/>
      <c r="V9" s="33" t="n"/>
      <c r="W9" s="32" t="n"/>
      <c r="X9" s="32" t="n"/>
      <c r="Y9" s="33" t="n"/>
      <c r="Z9" s="32" t="n"/>
      <c r="AA9" s="34" t="n"/>
      <c r="AB9" s="35" t="n"/>
    </row>
    <row r="10" ht="14.25" customHeight="1" s="137">
      <c r="B10" s="57" t="inlineStr">
        <is>
          <t>MULTI-PROPERTY EXPENSES OVERVIEW</t>
        </is>
      </c>
      <c r="C10" s="64" t="n">
        <v>0</v>
      </c>
      <c r="D10" s="64" t="n">
        <v>0</v>
      </c>
      <c r="E10" s="64" t="n">
        <v>0</v>
      </c>
      <c r="F10" s="65" t="n">
        <v>0</v>
      </c>
      <c r="G10" s="66" t="n">
        <v>0</v>
      </c>
      <c r="H10" s="66" t="n">
        <v>0</v>
      </c>
      <c r="I10" s="67" t="n">
        <v>0</v>
      </c>
      <c r="J10" s="68" t="n">
        <v>0</v>
      </c>
      <c r="K10" s="68" t="n">
        <v>0</v>
      </c>
      <c r="L10" s="69" t="n">
        <v>0</v>
      </c>
      <c r="M10" s="59" t="n">
        <v>0</v>
      </c>
      <c r="N10" s="63" t="n">
        <v>0</v>
      </c>
      <c r="O10" s="61">
        <f>SUM(C10:N10)</f>
        <v/>
      </c>
      <c r="P10" s="64" t="n">
        <v>0</v>
      </c>
      <c r="Q10" s="64" t="n">
        <v>0</v>
      </c>
      <c r="R10" s="64" t="n">
        <v>0</v>
      </c>
      <c r="S10" s="65" t="n">
        <v>0</v>
      </c>
      <c r="T10" s="66" t="n">
        <v>0</v>
      </c>
      <c r="U10" s="66" t="n">
        <v>0</v>
      </c>
      <c r="V10" s="67" t="n">
        <v>0</v>
      </c>
      <c r="W10" s="68" t="n">
        <v>0</v>
      </c>
      <c r="X10" s="68" t="n">
        <v>0</v>
      </c>
      <c r="Y10" s="69" t="n">
        <v>0</v>
      </c>
      <c r="Z10" s="59" t="n">
        <v>0</v>
      </c>
      <c r="AA10" s="63" t="n">
        <v>0</v>
      </c>
      <c r="AB10" s="61">
        <f>SUM(P10:AA10)</f>
        <v/>
      </c>
    </row>
    <row r="11" ht="14.25" customHeight="1" s="137">
      <c r="B11" s="57" t="inlineStr">
        <is>
          <t>MARKETING / ADVERTISING</t>
        </is>
      </c>
      <c r="C11" s="64" t="n">
        <v>0</v>
      </c>
      <c r="D11" s="64" t="n">
        <v>0</v>
      </c>
      <c r="E11" s="64" t="n">
        <v>0</v>
      </c>
      <c r="F11" s="65" t="n">
        <v>0</v>
      </c>
      <c r="G11" s="66" t="n">
        <v>0</v>
      </c>
      <c r="H11" s="66" t="n">
        <v>0</v>
      </c>
      <c r="I11" s="67" t="n">
        <v>0</v>
      </c>
      <c r="J11" s="68" t="n">
        <v>0</v>
      </c>
      <c r="K11" s="68" t="n">
        <v>0</v>
      </c>
      <c r="L11" s="69" t="n">
        <v>0</v>
      </c>
      <c r="M11" s="59" t="n">
        <v>0</v>
      </c>
      <c r="N11" s="63" t="n">
        <v>0</v>
      </c>
      <c r="O11" s="61">
        <f>SUM(C11:N11)</f>
        <v/>
      </c>
      <c r="P11" s="64" t="n">
        <v>0</v>
      </c>
      <c r="Q11" s="64" t="n">
        <v>0</v>
      </c>
      <c r="R11" s="64" t="n">
        <v>0</v>
      </c>
      <c r="S11" s="65" t="n">
        <v>0</v>
      </c>
      <c r="T11" s="66" t="n">
        <v>0</v>
      </c>
      <c r="U11" s="66" t="n">
        <v>0</v>
      </c>
      <c r="V11" s="67" t="n">
        <v>0</v>
      </c>
      <c r="W11" s="68" t="n">
        <v>0</v>
      </c>
      <c r="X11" s="68" t="n">
        <v>0</v>
      </c>
      <c r="Y11" s="69" t="n">
        <v>0</v>
      </c>
      <c r="Z11" s="59" t="n">
        <v>0</v>
      </c>
      <c r="AA11" s="63" t="n">
        <v>0</v>
      </c>
      <c r="AB11" s="61">
        <f>SUM(P11:AA11)</f>
        <v/>
      </c>
    </row>
    <row r="12" ht="14.25" customHeight="1" s="137">
      <c r="B12" s="57" t="inlineStr">
        <is>
          <t>SERVICE FEES</t>
        </is>
      </c>
      <c r="C12" s="64" t="n">
        <v>0</v>
      </c>
      <c r="D12" s="64" t="n">
        <v>0</v>
      </c>
      <c r="E12" s="64" t="n">
        <v>0</v>
      </c>
      <c r="F12" s="65" t="n">
        <v>0</v>
      </c>
      <c r="G12" s="66" t="n">
        <v>0</v>
      </c>
      <c r="H12" s="66" t="n">
        <v>0</v>
      </c>
      <c r="I12" s="67" t="n">
        <v>0</v>
      </c>
      <c r="J12" s="68" t="n">
        <v>0</v>
      </c>
      <c r="K12" s="68" t="n">
        <v>0</v>
      </c>
      <c r="L12" s="69" t="n">
        <v>0</v>
      </c>
      <c r="M12" s="59" t="n">
        <v>0</v>
      </c>
      <c r="N12" s="63" t="n">
        <v>0</v>
      </c>
      <c r="O12" s="61">
        <f>SUM(C12:N12)</f>
        <v/>
      </c>
      <c r="P12" s="64" t="n">
        <v>0</v>
      </c>
      <c r="Q12" s="64" t="n">
        <v>0</v>
      </c>
      <c r="R12" s="64" t="n">
        <v>0</v>
      </c>
      <c r="S12" s="65" t="n">
        <v>0</v>
      </c>
      <c r="T12" s="66" t="n">
        <v>0</v>
      </c>
      <c r="U12" s="66" t="n">
        <v>0</v>
      </c>
      <c r="V12" s="67" t="n">
        <v>0</v>
      </c>
      <c r="W12" s="68" t="n">
        <v>0</v>
      </c>
      <c r="X12" s="68" t="n">
        <v>0</v>
      </c>
      <c r="Y12" s="69" t="n">
        <v>0</v>
      </c>
      <c r="Z12" s="59" t="n">
        <v>0</v>
      </c>
      <c r="AA12" s="63" t="n">
        <v>0</v>
      </c>
      <c r="AB12" s="61">
        <f>SUM(P12:AA12)</f>
        <v/>
      </c>
    </row>
    <row r="13" ht="14.25" customHeight="1" s="137">
      <c r="B13" s="57" t="inlineStr">
        <is>
          <t>REMITTED TAX</t>
        </is>
      </c>
      <c r="C13" s="64" t="n">
        <v>0</v>
      </c>
      <c r="D13" s="64" t="n">
        <v>0</v>
      </c>
      <c r="E13" s="64" t="n">
        <v>0</v>
      </c>
      <c r="F13" s="65" t="n">
        <v>0</v>
      </c>
      <c r="G13" s="66" t="n">
        <v>0</v>
      </c>
      <c r="H13" s="66" t="n">
        <v>0</v>
      </c>
      <c r="I13" s="67" t="n">
        <v>0</v>
      </c>
      <c r="J13" s="68" t="n">
        <v>0</v>
      </c>
      <c r="K13" s="68" t="n">
        <v>0</v>
      </c>
      <c r="L13" s="69" t="n">
        <v>0</v>
      </c>
      <c r="M13" s="59" t="n">
        <v>0</v>
      </c>
      <c r="N13" s="63" t="n">
        <v>0</v>
      </c>
      <c r="O13" s="61">
        <f>SUM(C13:N13)</f>
        <v/>
      </c>
      <c r="P13" s="64" t="n">
        <v>0</v>
      </c>
      <c r="Q13" s="64" t="n">
        <v>0</v>
      </c>
      <c r="R13" s="64" t="n">
        <v>0</v>
      </c>
      <c r="S13" s="65" t="n">
        <v>0</v>
      </c>
      <c r="T13" s="66" t="n">
        <v>0</v>
      </c>
      <c r="U13" s="66" t="n">
        <v>0</v>
      </c>
      <c r="V13" s="67" t="n">
        <v>0</v>
      </c>
      <c r="W13" s="68" t="n">
        <v>0</v>
      </c>
      <c r="X13" s="68" t="n">
        <v>0</v>
      </c>
      <c r="Y13" s="69" t="n">
        <v>0</v>
      </c>
      <c r="Z13" s="59" t="n">
        <v>0</v>
      </c>
      <c r="AA13" s="63" t="n">
        <v>0</v>
      </c>
      <c r="AB13" s="61">
        <f>SUM(P13:AA13)</f>
        <v/>
      </c>
    </row>
    <row r="14" ht="14.25" customHeight="1" s="137">
      <c r="B14" s="58" t="inlineStr">
        <is>
          <t>INSURANCE</t>
        </is>
      </c>
      <c r="C14" s="64" t="n"/>
      <c r="D14" s="64" t="n"/>
      <c r="E14" s="64" t="n"/>
      <c r="F14" s="66" t="n"/>
      <c r="G14" s="66" t="n"/>
      <c r="H14" s="66" t="n"/>
      <c r="I14" s="68" t="n"/>
      <c r="J14" s="68" t="n"/>
      <c r="K14" s="68" t="n"/>
      <c r="L14" s="59" t="n"/>
      <c r="M14" s="59" t="n"/>
      <c r="N14" s="59" t="n">
        <v>1455.09</v>
      </c>
      <c r="O14" s="61">
        <f>SUM(C14:N14)</f>
        <v/>
      </c>
      <c r="P14" s="64" t="n">
        <v>0</v>
      </c>
      <c r="Q14" s="142" t="n">
        <v>78.76000000000001</v>
      </c>
      <c r="R14" s="142" t="n">
        <v>78.75</v>
      </c>
      <c r="S14" s="142" t="n">
        <v>78.75</v>
      </c>
      <c r="T14" s="142" t="n">
        <v>78.75</v>
      </c>
      <c r="U14" s="142" t="n">
        <v>78.75</v>
      </c>
      <c r="V14" s="142" t="n">
        <v>78.75</v>
      </c>
      <c r="W14" s="142" t="n">
        <v>80.19</v>
      </c>
      <c r="X14" s="68" t="n">
        <v>0</v>
      </c>
      <c r="Y14" s="59" t="n">
        <v>0</v>
      </c>
      <c r="Z14" s="59" t="n">
        <v>0</v>
      </c>
      <c r="AA14" s="59" t="n">
        <v>0</v>
      </c>
      <c r="AB14" s="61">
        <f>SUM(P14:AA14)</f>
        <v/>
      </c>
    </row>
    <row r="15" ht="14.25" customHeight="1" s="137">
      <c r="B15" s="57" t="inlineStr">
        <is>
          <t>INTERIOR MAINTENANCE</t>
        </is>
      </c>
      <c r="C15" s="64" t="n">
        <v>0</v>
      </c>
      <c r="D15" s="64" t="n">
        <v>0</v>
      </c>
      <c r="E15" s="64" t="n">
        <v>0</v>
      </c>
      <c r="F15" s="65" t="n">
        <v>0</v>
      </c>
      <c r="G15" s="66" t="n">
        <v>0</v>
      </c>
      <c r="H15" s="66" t="n">
        <v>0</v>
      </c>
      <c r="I15" s="67" t="n">
        <v>0</v>
      </c>
      <c r="J15" s="68" t="n">
        <v>0</v>
      </c>
      <c r="K15" s="68" t="n">
        <v>0</v>
      </c>
      <c r="L15" s="69" t="n">
        <v>0</v>
      </c>
      <c r="M15" s="59" t="n">
        <v>0</v>
      </c>
      <c r="N15" s="63" t="n">
        <v>0</v>
      </c>
      <c r="O15" s="61">
        <f>SUM(C15:N15)</f>
        <v/>
      </c>
      <c r="P15" s="64" t="n">
        <v>0</v>
      </c>
      <c r="Q15" s="64" t="n">
        <v>0</v>
      </c>
      <c r="R15" s="64" t="n">
        <v>0</v>
      </c>
      <c r="S15" s="65" t="n">
        <v>0</v>
      </c>
      <c r="T15" s="66" t="n">
        <v>0</v>
      </c>
      <c r="U15" s="66" t="n">
        <v>0</v>
      </c>
      <c r="V15" s="67" t="n">
        <v>0</v>
      </c>
      <c r="W15" s="68" t="n">
        <v>0</v>
      </c>
      <c r="X15" s="68" t="n">
        <v>0</v>
      </c>
      <c r="Y15" s="69" t="n">
        <v>0</v>
      </c>
      <c r="Z15" s="59" t="n">
        <v>0</v>
      </c>
      <c r="AA15" s="63" t="n">
        <v>0</v>
      </c>
      <c r="AB15" s="61">
        <f>SUM(P15:AA15)</f>
        <v/>
      </c>
    </row>
    <row r="16" ht="14.25" customHeight="1" s="137">
      <c r="B16" s="57" t="inlineStr">
        <is>
          <t>EXTERIOR REPAIRS</t>
        </is>
      </c>
      <c r="C16" s="64" t="n">
        <v>0</v>
      </c>
      <c r="D16" s="64" t="n">
        <v>0</v>
      </c>
      <c r="E16" s="64" t="n">
        <v>0</v>
      </c>
      <c r="F16" s="65" t="n">
        <v>0</v>
      </c>
      <c r="G16" s="66" t="n">
        <v>0</v>
      </c>
      <c r="H16" s="66" t="n">
        <v>0</v>
      </c>
      <c r="I16" s="67" t="n">
        <v>0</v>
      </c>
      <c r="J16" s="68" t="n">
        <v>851.3200000000001</v>
      </c>
      <c r="K16" s="68" t="n">
        <v>0</v>
      </c>
      <c r="L16" s="69" t="n">
        <v>0</v>
      </c>
      <c r="M16" s="59" t="n">
        <v>0</v>
      </c>
      <c r="N16" s="63" t="n">
        <v>0</v>
      </c>
      <c r="O16" s="61">
        <f>SUM(C16:N16)</f>
        <v/>
      </c>
      <c r="P16" s="64" t="n">
        <v>0</v>
      </c>
      <c r="Q16" s="142" t="n">
        <v>66.56</v>
      </c>
      <c r="R16" s="142" t="n">
        <v>688.6</v>
      </c>
      <c r="S16" s="143" t="n">
        <v>39.57</v>
      </c>
      <c r="T16" s="66" t="n">
        <v>0</v>
      </c>
      <c r="U16" s="66" t="n">
        <v>0</v>
      </c>
      <c r="V16" s="143" t="n">
        <v>50.99</v>
      </c>
      <c r="W16" s="68" t="n">
        <v>0</v>
      </c>
      <c r="X16" s="142" t="n">
        <v>34.86</v>
      </c>
      <c r="Y16" s="143" t="n">
        <v>68.48</v>
      </c>
      <c r="Z16" s="142" t="n">
        <v>32.33</v>
      </c>
      <c r="AA16" s="63" t="n">
        <v>0</v>
      </c>
      <c r="AB16" s="61">
        <f>SUM(P16:AA16)</f>
        <v/>
      </c>
    </row>
    <row r="17" ht="14.25" customHeight="1" s="137">
      <c r="B17" s="57" t="inlineStr">
        <is>
          <t>GROUNDSKEEPING</t>
        </is>
      </c>
      <c r="C17" s="64" t="n">
        <v>0</v>
      </c>
      <c r="D17" s="64" t="n">
        <v>0</v>
      </c>
      <c r="E17" s="64" t="n">
        <v>0</v>
      </c>
      <c r="F17" s="65" t="n">
        <v>0</v>
      </c>
      <c r="G17" s="66" t="n">
        <v>0</v>
      </c>
      <c r="H17" s="66" t="n">
        <v>0</v>
      </c>
      <c r="I17" s="67" t="n">
        <v>0</v>
      </c>
      <c r="J17" s="68" t="n">
        <v>0</v>
      </c>
      <c r="K17" s="68" t="n">
        <v>0</v>
      </c>
      <c r="L17" s="69" t="n">
        <v>0</v>
      </c>
      <c r="M17" s="59" t="n">
        <v>0</v>
      </c>
      <c r="N17" s="63" t="n"/>
      <c r="O17" s="61">
        <f>SUM(C17:N17)</f>
        <v/>
      </c>
      <c r="P17" s="64" t="n">
        <v>0</v>
      </c>
      <c r="Q17" s="64" t="n">
        <v>0</v>
      </c>
      <c r="R17" s="64" t="n">
        <v>0</v>
      </c>
      <c r="S17" s="65" t="n">
        <v>0</v>
      </c>
      <c r="T17" s="66" t="n">
        <v>0</v>
      </c>
      <c r="U17" s="66" t="n">
        <v>0</v>
      </c>
      <c r="V17" s="67" t="n">
        <v>0</v>
      </c>
      <c r="W17" s="68" t="n">
        <v>0</v>
      </c>
      <c r="X17" s="68" t="n">
        <v>0</v>
      </c>
      <c r="Y17" s="69" t="n">
        <v>0</v>
      </c>
      <c r="Z17" s="59" t="n">
        <v>0</v>
      </c>
      <c r="AA17" s="63" t="n"/>
      <c r="AB17" s="61">
        <f>SUM(P17:AA17)</f>
        <v/>
      </c>
    </row>
    <row r="18" ht="14.25" customHeight="1" s="137">
      <c r="B18" s="57" t="inlineStr">
        <is>
          <t> </t>
        </is>
      </c>
      <c r="C18" s="64" t="n">
        <v>0</v>
      </c>
      <c r="D18" s="64" t="n">
        <v>0</v>
      </c>
      <c r="E18" s="64" t="n">
        <v>0</v>
      </c>
      <c r="F18" s="65" t="n">
        <v>0</v>
      </c>
      <c r="G18" s="66" t="n">
        <v>0</v>
      </c>
      <c r="H18" s="66" t="n">
        <v>0</v>
      </c>
      <c r="I18" s="67" t="n">
        <v>0</v>
      </c>
      <c r="J18" s="68" t="n">
        <v>0</v>
      </c>
      <c r="K18" s="68" t="n">
        <v>0</v>
      </c>
      <c r="L18" s="69" t="n">
        <v>0</v>
      </c>
      <c r="M18" s="59" t="n">
        <v>0</v>
      </c>
      <c r="N18" s="63" t="n">
        <v>0</v>
      </c>
      <c r="O18" s="61">
        <f>SUM(C18:N18)</f>
        <v/>
      </c>
      <c r="P18" s="64" t="n">
        <v>0</v>
      </c>
      <c r="Q18" s="64" t="n">
        <v>0</v>
      </c>
      <c r="R18" s="64" t="n">
        <v>0</v>
      </c>
      <c r="S18" s="65" t="n">
        <v>0</v>
      </c>
      <c r="T18" s="66" t="n">
        <v>0</v>
      </c>
      <c r="U18" s="66" t="n">
        <v>0</v>
      </c>
      <c r="V18" s="67" t="n">
        <v>0</v>
      </c>
      <c r="W18" s="68" t="n">
        <v>0</v>
      </c>
      <c r="X18" s="68" t="n">
        <v>0</v>
      </c>
      <c r="Y18" s="69" t="n">
        <v>0</v>
      </c>
      <c r="Z18" s="59" t="n">
        <v>0</v>
      </c>
      <c r="AA18" s="63" t="n">
        <v>0</v>
      </c>
      <c r="AB18" s="61">
        <f>SUM(P18:AA18)</f>
        <v/>
      </c>
    </row>
    <row r="19" ht="14.25" customHeight="1" s="137">
      <c r="B19" s="57" t="inlineStr">
        <is>
          <t> </t>
        </is>
      </c>
      <c r="C19" s="64" t="n">
        <v>0</v>
      </c>
      <c r="D19" s="64" t="n">
        <v>0</v>
      </c>
      <c r="E19" s="64" t="n">
        <v>0</v>
      </c>
      <c r="F19" s="65" t="n">
        <v>0</v>
      </c>
      <c r="G19" s="66" t="n">
        <v>0</v>
      </c>
      <c r="H19" s="66" t="n">
        <v>0</v>
      </c>
      <c r="I19" s="67" t="n">
        <v>0</v>
      </c>
      <c r="J19" s="68" t="n">
        <v>0</v>
      </c>
      <c r="K19" s="68" t="n">
        <v>0</v>
      </c>
      <c r="L19" s="69" t="n">
        <v>0</v>
      </c>
      <c r="M19" s="59" t="n">
        <v>0</v>
      </c>
      <c r="N19" s="63" t="n">
        <v>0</v>
      </c>
      <c r="O19" s="61">
        <f>SUM(C19:N19)</f>
        <v/>
      </c>
      <c r="P19" s="64" t="n">
        <v>0</v>
      </c>
      <c r="Q19" s="64" t="n">
        <v>0</v>
      </c>
      <c r="R19" s="64" t="n">
        <v>0</v>
      </c>
      <c r="S19" s="65" t="n">
        <v>0</v>
      </c>
      <c r="T19" s="66" t="n">
        <v>0</v>
      </c>
      <c r="U19" s="66" t="n">
        <v>0</v>
      </c>
      <c r="V19" s="67" t="n">
        <v>0</v>
      </c>
      <c r="W19" s="68" t="n">
        <v>0</v>
      </c>
      <c r="X19" s="68" t="n">
        <v>0</v>
      </c>
      <c r="Y19" s="69" t="n">
        <v>0</v>
      </c>
      <c r="Z19" s="59" t="n">
        <v>0</v>
      </c>
      <c r="AA19" s="63" t="n">
        <v>0</v>
      </c>
      <c r="AB19" s="61">
        <f>SUM(P19:AA19)</f>
        <v/>
      </c>
    </row>
    <row r="20" ht="14.25" customHeight="1" s="137">
      <c r="B20" s="57" t="inlineStr">
        <is>
          <t> </t>
        </is>
      </c>
      <c r="C20" s="64" t="n">
        <v>0</v>
      </c>
      <c r="D20" s="64" t="n">
        <v>0</v>
      </c>
      <c r="E20" s="64" t="n">
        <v>0</v>
      </c>
      <c r="F20" s="65" t="n">
        <v>0</v>
      </c>
      <c r="G20" s="66" t="n">
        <v>0</v>
      </c>
      <c r="H20" s="66" t="n">
        <v>0</v>
      </c>
      <c r="I20" s="67" t="n">
        <v>0</v>
      </c>
      <c r="J20" s="68" t="n">
        <v>0</v>
      </c>
      <c r="K20" s="68" t="n">
        <v>0</v>
      </c>
      <c r="L20" s="69" t="n">
        <v>0</v>
      </c>
      <c r="M20" s="59" t="n">
        <v>0</v>
      </c>
      <c r="N20" s="63" t="n">
        <v>0</v>
      </c>
      <c r="O20" s="61">
        <f>SUM(C20:N20)</f>
        <v/>
      </c>
      <c r="P20" s="64" t="n">
        <v>0</v>
      </c>
      <c r="Q20" s="64" t="n">
        <v>0</v>
      </c>
      <c r="R20" s="64" t="n">
        <v>0</v>
      </c>
      <c r="S20" s="65" t="n">
        <v>0</v>
      </c>
      <c r="T20" s="66" t="n">
        <v>0</v>
      </c>
      <c r="U20" s="66" t="n">
        <v>0</v>
      </c>
      <c r="V20" s="67" t="n">
        <v>0</v>
      </c>
      <c r="W20" s="68" t="n">
        <v>0</v>
      </c>
      <c r="X20" s="68" t="n">
        <v>0</v>
      </c>
      <c r="Y20" s="69" t="n">
        <v>0</v>
      </c>
      <c r="Z20" s="59" t="n">
        <v>0</v>
      </c>
      <c r="AA20" s="63" t="n">
        <v>0</v>
      </c>
      <c r="AB20" s="61">
        <f>SUM(P20:AA20)</f>
        <v/>
      </c>
    </row>
    <row r="21" ht="14.25" customHeight="1" s="137">
      <c r="B21" s="60" t="inlineStr">
        <is>
          <t>VILLAGE WATER AND REFUSE</t>
        </is>
      </c>
      <c r="C21" s="64" t="n">
        <v>0</v>
      </c>
      <c r="D21" s="64" t="n">
        <v>0</v>
      </c>
      <c r="E21" s="64" t="n">
        <v>0</v>
      </c>
      <c r="F21" s="65" t="n">
        <v>0</v>
      </c>
      <c r="G21" s="66" t="n">
        <v>0</v>
      </c>
      <c r="H21" s="66" t="n">
        <v>0</v>
      </c>
      <c r="I21" s="67" t="n">
        <v>0</v>
      </c>
      <c r="J21" s="68" t="n">
        <v>118</v>
      </c>
      <c r="K21" s="68" t="n">
        <v>118</v>
      </c>
      <c r="L21" s="69" t="n">
        <v>118</v>
      </c>
      <c r="M21" s="59" t="n">
        <v>118</v>
      </c>
      <c r="N21" s="63" t="n">
        <v>118.29</v>
      </c>
      <c r="O21" s="61">
        <f>SUM(C21:N21)</f>
        <v/>
      </c>
      <c r="P21" s="64" t="n">
        <v>0</v>
      </c>
      <c r="Q21" s="142" t="n">
        <v>100.55</v>
      </c>
      <c r="R21" s="64" t="n">
        <v>0</v>
      </c>
      <c r="S21" s="143" t="n">
        <v>90.67</v>
      </c>
      <c r="T21" s="66" t="n">
        <v>0</v>
      </c>
      <c r="U21" s="142" t="n">
        <v>112.83</v>
      </c>
      <c r="V21" s="67" t="n">
        <v>0</v>
      </c>
      <c r="W21" s="142" t="n">
        <v>137.63</v>
      </c>
      <c r="X21" s="68" t="n">
        <v>0</v>
      </c>
      <c r="Y21" s="143" t="n">
        <v>132.76</v>
      </c>
      <c r="Z21" s="59" t="n">
        <v>0</v>
      </c>
      <c r="AA21" s="63" t="n">
        <v>0</v>
      </c>
      <c r="AB21" s="61">
        <f>SUM(P21:AA21)</f>
        <v/>
      </c>
    </row>
    <row r="22" ht="14.25" customHeight="1" s="137">
      <c r="B22" s="57" t="inlineStr">
        <is>
          <t>GAS</t>
        </is>
      </c>
      <c r="C22" s="64" t="n">
        <v>0</v>
      </c>
      <c r="D22" s="64" t="n">
        <v>0</v>
      </c>
      <c r="E22" s="64" t="n">
        <v>0</v>
      </c>
      <c r="F22" s="65" t="n">
        <v>0</v>
      </c>
      <c r="G22" s="66" t="n">
        <v>0</v>
      </c>
      <c r="H22" s="66" t="n">
        <v>0</v>
      </c>
      <c r="I22" s="67" t="n">
        <v>0</v>
      </c>
      <c r="J22" s="68" t="n">
        <v>31.58</v>
      </c>
      <c r="K22" s="68" t="n">
        <v>66.56</v>
      </c>
      <c r="L22" s="69" t="n">
        <v>125.88</v>
      </c>
      <c r="M22" s="59" t="n">
        <v>86.68000000000001</v>
      </c>
      <c r="N22" s="63" t="n">
        <v>182.89</v>
      </c>
      <c r="O22" s="61">
        <f>SUM(C22:N22)</f>
        <v/>
      </c>
      <c r="P22" s="142" t="n">
        <v>98.56999999999999</v>
      </c>
      <c r="Q22" s="142" t="n">
        <v>133.33</v>
      </c>
      <c r="R22" s="142" t="n">
        <v>115.82</v>
      </c>
      <c r="S22" s="143" t="n">
        <v>77.8</v>
      </c>
      <c r="T22" s="142" t="n">
        <v>79.95</v>
      </c>
      <c r="U22" s="142" t="n">
        <v>48.08</v>
      </c>
      <c r="V22" s="67" t="n">
        <v>0</v>
      </c>
      <c r="W22" s="142" t="n">
        <v>79.33</v>
      </c>
      <c r="X22" s="142" t="n">
        <v>36.25</v>
      </c>
      <c r="Y22" s="143" t="n">
        <v>38.22</v>
      </c>
      <c r="Z22" s="59" t="n">
        <v>0</v>
      </c>
      <c r="AA22" s="145" t="n">
        <v>139.35</v>
      </c>
      <c r="AB22" s="61">
        <f>SUM(P22:AA22)</f>
        <v/>
      </c>
    </row>
    <row r="23" ht="14.25" customHeight="1" s="137">
      <c r="B23" s="57" t="inlineStr">
        <is>
          <t>ELECTRIC</t>
        </is>
      </c>
      <c r="C23" s="64" t="n">
        <v>0</v>
      </c>
      <c r="D23" s="64" t="n">
        <v>0</v>
      </c>
      <c r="E23" s="64" t="n">
        <v>0</v>
      </c>
      <c r="F23" s="65" t="n">
        <v>0</v>
      </c>
      <c r="G23" s="66" t="n">
        <v>0</v>
      </c>
      <c r="H23" s="66" t="n">
        <v>0</v>
      </c>
      <c r="I23" s="67" t="n">
        <v>0</v>
      </c>
      <c r="J23" s="68" t="n">
        <v>98</v>
      </c>
      <c r="K23" s="68" t="n">
        <v>131.28</v>
      </c>
      <c r="L23" s="69" t="n">
        <v>71.5</v>
      </c>
      <c r="M23" s="59" t="n">
        <v>58.77</v>
      </c>
      <c r="N23" s="63" t="n">
        <v>84.62</v>
      </c>
      <c r="O23" s="61">
        <f>SUM(C23:N23)</f>
        <v/>
      </c>
      <c r="P23" s="142" t="n">
        <v>132.94</v>
      </c>
      <c r="Q23" s="142" t="n">
        <v>216.44</v>
      </c>
      <c r="R23" s="142" t="n">
        <v>184.09</v>
      </c>
      <c r="S23" s="143" t="n">
        <v>60.95</v>
      </c>
      <c r="T23" s="142" t="n">
        <v>83.76000000000001</v>
      </c>
      <c r="U23" s="142" t="n">
        <v>69.69</v>
      </c>
      <c r="V23" s="143" t="n">
        <v>164.88</v>
      </c>
      <c r="W23" s="142" t="n">
        <v>203.43</v>
      </c>
      <c r="X23" s="142" t="n">
        <v>187.63</v>
      </c>
      <c r="Y23" s="143" t="n">
        <v>139.78</v>
      </c>
      <c r="Z23" s="142" t="n">
        <v>71.29000000000001</v>
      </c>
      <c r="AA23" s="145" t="n">
        <v>50.38</v>
      </c>
      <c r="AB23" s="61">
        <f>SUM(P23:AA23)</f>
        <v/>
      </c>
    </row>
    <row r="24" ht="14.25" customHeight="1" s="137">
      <c r="B24" s="58" t="inlineStr">
        <is>
          <t>INTERNET</t>
        </is>
      </c>
      <c r="C24" s="64" t="n">
        <v>45</v>
      </c>
      <c r="D24" s="64" t="n">
        <v>45</v>
      </c>
      <c r="E24" s="64" t="n">
        <v>45</v>
      </c>
      <c r="F24" s="65" t="n">
        <v>45</v>
      </c>
      <c r="G24" s="66" t="n">
        <v>45</v>
      </c>
      <c r="H24" s="66" t="n">
        <v>45</v>
      </c>
      <c r="I24" s="67" t="n">
        <v>45</v>
      </c>
      <c r="J24" s="68" t="n">
        <v>45</v>
      </c>
      <c r="K24" s="68" t="n">
        <v>45</v>
      </c>
      <c r="L24" s="69" t="n">
        <v>45</v>
      </c>
      <c r="M24" s="59" t="n">
        <v>45</v>
      </c>
      <c r="N24" s="63" t="n">
        <v>45</v>
      </c>
      <c r="O24" s="61">
        <f>SUM(C24:N24)</f>
        <v/>
      </c>
      <c r="P24" s="64" t="n">
        <v>0</v>
      </c>
      <c r="Q24" s="64" t="n">
        <v>0</v>
      </c>
      <c r="R24" s="64" t="n">
        <v>0</v>
      </c>
      <c r="S24" s="65" t="n">
        <v>0</v>
      </c>
      <c r="T24" s="66" t="n">
        <v>0</v>
      </c>
      <c r="U24" s="66" t="n">
        <v>0</v>
      </c>
      <c r="V24" s="67" t="n">
        <v>0</v>
      </c>
      <c r="W24" s="68" t="n">
        <v>0</v>
      </c>
      <c r="X24" s="68" t="n">
        <v>0</v>
      </c>
      <c r="Y24" s="69" t="n">
        <v>0</v>
      </c>
      <c r="Z24" s="59" t="n">
        <v>0</v>
      </c>
      <c r="AA24" s="63" t="n">
        <v>0</v>
      </c>
      <c r="AB24" s="61">
        <f>SUM(P24:AA24)</f>
        <v/>
      </c>
    </row>
    <row r="25" ht="14.25" customHeight="1" s="137">
      <c r="B25" s="57" t="inlineStr">
        <is>
          <t>CORRESPONCES</t>
        </is>
      </c>
      <c r="C25" s="64" t="n">
        <v>0</v>
      </c>
      <c r="D25" s="64" t="n">
        <v>0</v>
      </c>
      <c r="E25" s="64" t="n">
        <v>0</v>
      </c>
      <c r="F25" s="65" t="n">
        <v>0</v>
      </c>
      <c r="G25" s="66" t="n">
        <v>0</v>
      </c>
      <c r="H25" s="66" t="n">
        <v>0</v>
      </c>
      <c r="I25" s="67" t="n">
        <v>0</v>
      </c>
      <c r="J25" s="68" t="n">
        <v>0</v>
      </c>
      <c r="K25" s="68" t="n">
        <v>0</v>
      </c>
      <c r="L25" s="69" t="n">
        <v>0</v>
      </c>
      <c r="M25" s="59" t="n">
        <v>0</v>
      </c>
      <c r="N25" s="63" t="n">
        <v>0</v>
      </c>
      <c r="O25" s="61">
        <f>SUM(C25:N25)</f>
        <v/>
      </c>
      <c r="P25" s="64" t="n">
        <v>0</v>
      </c>
      <c r="Q25" s="64" t="n">
        <v>0</v>
      </c>
      <c r="R25" s="64" t="n">
        <v>0</v>
      </c>
      <c r="S25" s="65" t="n">
        <v>0</v>
      </c>
      <c r="T25" s="66" t="n">
        <v>0</v>
      </c>
      <c r="U25" s="66" t="n">
        <v>0</v>
      </c>
      <c r="V25" s="67" t="n">
        <v>0</v>
      </c>
      <c r="W25" s="68" t="n">
        <v>0</v>
      </c>
      <c r="X25" s="68" t="n">
        <v>0</v>
      </c>
      <c r="Y25" s="69" t="n">
        <v>0</v>
      </c>
      <c r="Z25" s="59" t="n">
        <v>0</v>
      </c>
      <c r="AA25" s="63" t="n">
        <v>0</v>
      </c>
      <c r="AB25" s="61">
        <f>SUM(P25:AA25)</f>
        <v/>
      </c>
    </row>
    <row r="26" ht="14.25" customHeight="1" s="137">
      <c r="B26" s="57" t="inlineStr">
        <is>
          <t>INTERIOR DESINGOR</t>
        </is>
      </c>
      <c r="C26" s="64" t="n">
        <v>0</v>
      </c>
      <c r="D26" s="64" t="n">
        <v>0</v>
      </c>
      <c r="E26" s="64" t="n">
        <v>0</v>
      </c>
      <c r="F26" s="65" t="n">
        <v>0</v>
      </c>
      <c r="G26" s="66" t="n">
        <v>0</v>
      </c>
      <c r="H26" s="66" t="n">
        <v>0</v>
      </c>
      <c r="I26" s="67" t="n">
        <v>0</v>
      </c>
      <c r="J26" s="68" t="n">
        <v>0</v>
      </c>
      <c r="K26" s="68" t="n">
        <v>0</v>
      </c>
      <c r="L26" s="69" t="n">
        <v>0</v>
      </c>
      <c r="M26" s="59" t="n">
        <v>0</v>
      </c>
      <c r="N26" s="63" t="n">
        <v>0</v>
      </c>
      <c r="O26" s="61">
        <f>SUM(C26:N26)</f>
        <v/>
      </c>
      <c r="P26" s="64" t="n">
        <v>0</v>
      </c>
      <c r="Q26" s="64" t="n">
        <v>0</v>
      </c>
      <c r="R26" s="64" t="n">
        <v>0</v>
      </c>
      <c r="S26" s="65" t="n">
        <v>0</v>
      </c>
      <c r="T26" s="66" t="n">
        <v>0</v>
      </c>
      <c r="U26" s="66" t="n">
        <v>0</v>
      </c>
      <c r="V26" s="67" t="n">
        <v>0</v>
      </c>
      <c r="W26" s="68" t="n">
        <v>0</v>
      </c>
      <c r="X26" s="68" t="n">
        <v>0</v>
      </c>
      <c r="Y26" s="69" t="n">
        <v>0</v>
      </c>
      <c r="Z26" s="59" t="n">
        <v>0</v>
      </c>
      <c r="AA26" s="63" t="n">
        <v>0</v>
      </c>
      <c r="AB26" s="61">
        <f>SUM(P26:AA26)</f>
        <v/>
      </c>
    </row>
    <row r="27" ht="14.25" customHeight="1" s="137">
      <c r="B27" s="57" t="inlineStr">
        <is>
          <t>TRAVEL EXPENSES</t>
        </is>
      </c>
      <c r="C27" s="64" t="n">
        <v>0</v>
      </c>
      <c r="D27" s="64" t="n">
        <v>0</v>
      </c>
      <c r="E27" s="64" t="n">
        <v>0</v>
      </c>
      <c r="F27" s="65" t="n">
        <v>0</v>
      </c>
      <c r="G27" s="66" t="n">
        <v>0</v>
      </c>
      <c r="H27" s="66" t="n">
        <v>0</v>
      </c>
      <c r="I27" s="67" t="n">
        <v>0</v>
      </c>
      <c r="J27" s="68" t="n">
        <v>0</v>
      </c>
      <c r="K27" s="68" t="n">
        <v>0</v>
      </c>
      <c r="L27" s="69" t="n">
        <v>0</v>
      </c>
      <c r="M27" s="59" t="n">
        <v>0</v>
      </c>
      <c r="N27" s="63" t="n">
        <v>0</v>
      </c>
      <c r="O27" s="61">
        <f>SUM(C27:N27)</f>
        <v/>
      </c>
      <c r="P27" s="64" t="n">
        <v>0</v>
      </c>
      <c r="Q27" s="64" t="n">
        <v>0</v>
      </c>
      <c r="R27" s="64" t="n">
        <v>0</v>
      </c>
      <c r="S27" s="65" t="n">
        <v>0</v>
      </c>
      <c r="T27" s="66" t="n">
        <v>0</v>
      </c>
      <c r="U27" s="66" t="n">
        <v>0</v>
      </c>
      <c r="V27" s="67" t="n">
        <v>0</v>
      </c>
      <c r="W27" s="68" t="n">
        <v>0</v>
      </c>
      <c r="X27" s="68" t="n">
        <v>0</v>
      </c>
      <c r="Y27" s="69" t="n">
        <v>0</v>
      </c>
      <c r="Z27" s="59" t="n">
        <v>0</v>
      </c>
      <c r="AA27" s="63" t="n">
        <v>0</v>
      </c>
      <c r="AB27" s="61">
        <f>SUM(P27:AA27)</f>
        <v/>
      </c>
    </row>
    <row r="28" ht="14.25" customHeight="1" s="137">
      <c r="B28" s="57" t="inlineStr">
        <is>
          <t>EQUIPMENT/APPLIANCE PURCHASES</t>
        </is>
      </c>
      <c r="C28" s="64" t="n">
        <v>0</v>
      </c>
      <c r="D28" s="64" t="n"/>
      <c r="E28" s="64" t="n">
        <v>0</v>
      </c>
      <c r="F28" s="65" t="n">
        <v>0</v>
      </c>
      <c r="G28" s="66" t="n">
        <v>0</v>
      </c>
      <c r="H28" s="66" t="n">
        <v>0</v>
      </c>
      <c r="I28" s="67" t="n">
        <v>0</v>
      </c>
      <c r="J28" s="68" t="n">
        <v>3000</v>
      </c>
      <c r="K28" s="68" t="n">
        <v>0</v>
      </c>
      <c r="L28" s="69" t="n">
        <v>0</v>
      </c>
      <c r="M28" s="59" t="n">
        <v>0</v>
      </c>
      <c r="N28" s="63" t="n"/>
      <c r="O28" s="61">
        <f>SUM(C28:N28)</f>
        <v/>
      </c>
      <c r="P28" s="64" t="n">
        <v>0</v>
      </c>
      <c r="Q28" s="64" t="n"/>
      <c r="R28" s="64" t="n">
        <v>0</v>
      </c>
      <c r="S28" s="65" t="n">
        <v>0</v>
      </c>
      <c r="T28" s="66" t="n">
        <v>0</v>
      </c>
      <c r="U28" s="66" t="n">
        <v>0</v>
      </c>
      <c r="V28" s="67" t="n">
        <v>0</v>
      </c>
      <c r="W28" s="68" t="n">
        <v>0</v>
      </c>
      <c r="X28" s="68" t="n">
        <v>0</v>
      </c>
      <c r="Y28" s="69" t="n">
        <v>0</v>
      </c>
      <c r="Z28" s="59" t="n">
        <v>0</v>
      </c>
      <c r="AA28" s="63" t="n"/>
      <c r="AB28" s="61">
        <f>SUM(P28:AA28)</f>
        <v/>
      </c>
    </row>
    <row r="29" ht="14.25" customHeight="1" s="137">
      <c r="B29" s="57" t="inlineStr">
        <is>
          <t>EQUIPMENT/APPLIANCE RENTAL FEES</t>
        </is>
      </c>
      <c r="C29" s="64" t="n">
        <v>0</v>
      </c>
      <c r="D29" s="64" t="n">
        <v>0</v>
      </c>
      <c r="E29" s="64" t="n">
        <v>0</v>
      </c>
      <c r="F29" s="65" t="n">
        <v>0</v>
      </c>
      <c r="G29" s="66" t="n">
        <v>0</v>
      </c>
      <c r="H29" s="66" t="n">
        <v>0</v>
      </c>
      <c r="I29" s="67" t="n">
        <v>0</v>
      </c>
      <c r="J29" s="68" t="n">
        <v>0</v>
      </c>
      <c r="K29" s="68" t="n">
        <v>0</v>
      </c>
      <c r="L29" s="69" t="n">
        <v>0</v>
      </c>
      <c r="M29" s="59" t="n">
        <v>0</v>
      </c>
      <c r="N29" s="63" t="n">
        <v>0</v>
      </c>
      <c r="O29" s="61">
        <f>SUM(C29:N29)</f>
        <v/>
      </c>
      <c r="P29" s="64" t="n">
        <v>0</v>
      </c>
      <c r="Q29" s="64" t="n">
        <v>0</v>
      </c>
      <c r="R29" s="64" t="n">
        <v>0</v>
      </c>
      <c r="S29" s="65" t="n">
        <v>0</v>
      </c>
      <c r="T29" s="66" t="n">
        <v>0</v>
      </c>
      <c r="U29" s="66" t="n">
        <v>0</v>
      </c>
      <c r="V29" s="67" t="n">
        <v>0</v>
      </c>
      <c r="W29" s="68" t="n">
        <v>0</v>
      </c>
      <c r="X29" s="68" t="n">
        <v>0</v>
      </c>
      <c r="Y29" s="69" t="n">
        <v>0</v>
      </c>
      <c r="Z29" s="59" t="n">
        <v>0</v>
      </c>
      <c r="AA29" s="63" t="n">
        <v>0</v>
      </c>
      <c r="AB29" s="61">
        <f>SUM(P29:AA29)</f>
        <v/>
      </c>
    </row>
    <row r="30" ht="14.25" customHeight="1" s="137">
      <c r="B30" s="57" t="inlineStr">
        <is>
          <t>LAND TAX</t>
        </is>
      </c>
      <c r="C30" s="64" t="n">
        <v>0</v>
      </c>
      <c r="D30" s="64" t="n">
        <v>0</v>
      </c>
      <c r="E30" s="64" t="n">
        <v>0</v>
      </c>
      <c r="F30" s="65" t="n">
        <v>0</v>
      </c>
      <c r="G30" s="66" t="n">
        <v>0</v>
      </c>
      <c r="H30" s="66" t="n">
        <v>0</v>
      </c>
      <c r="I30" s="67" t="n">
        <v>0</v>
      </c>
      <c r="J30" s="68" t="n">
        <v>0</v>
      </c>
      <c r="K30" s="68" t="n">
        <v>0</v>
      </c>
      <c r="L30" s="69" t="n">
        <v>0</v>
      </c>
      <c r="M30" s="59" t="n">
        <v>0</v>
      </c>
      <c r="N30" s="63" t="n">
        <v>0</v>
      </c>
      <c r="O30" s="61">
        <f>SUM(C30:N30)</f>
        <v/>
      </c>
      <c r="P30" s="64" t="n">
        <v>0</v>
      </c>
      <c r="Q30" s="64" t="n">
        <v>0</v>
      </c>
      <c r="R30" s="64" t="n">
        <v>0</v>
      </c>
      <c r="S30" s="65" t="n">
        <v>0</v>
      </c>
      <c r="T30" s="66" t="n">
        <v>0</v>
      </c>
      <c r="U30" s="66" t="n">
        <v>0</v>
      </c>
      <c r="V30" s="67" t="n">
        <v>0</v>
      </c>
      <c r="W30" s="68" t="n">
        <v>0</v>
      </c>
      <c r="X30" s="68" t="n">
        <v>0</v>
      </c>
      <c r="Y30" s="69" t="n">
        <v>0</v>
      </c>
      <c r="Z30" s="59" t="n">
        <v>0</v>
      </c>
      <c r="AA30" s="63" t="n">
        <v>0</v>
      </c>
      <c r="AB30" s="61">
        <f>SUM(P30:AA30)</f>
        <v/>
      </c>
    </row>
    <row r="31" ht="14.25" customHeight="1" s="137">
      <c r="B31" s="57" t="inlineStr">
        <is>
          <t>BORROWING EXPENSES</t>
        </is>
      </c>
      <c r="C31" s="64" t="n">
        <v>0</v>
      </c>
      <c r="D31" s="64" t="n">
        <v>0</v>
      </c>
      <c r="E31" s="64" t="n">
        <v>0</v>
      </c>
      <c r="F31" s="65" t="n">
        <v>0</v>
      </c>
      <c r="G31" s="66" t="n">
        <v>0</v>
      </c>
      <c r="H31" s="66" t="n">
        <v>0</v>
      </c>
      <c r="I31" s="67" t="n">
        <v>0</v>
      </c>
      <c r="J31" s="68" t="n">
        <v>0</v>
      </c>
      <c r="K31" s="68" t="n">
        <v>0</v>
      </c>
      <c r="L31" s="69" t="n">
        <v>0</v>
      </c>
      <c r="M31" s="59" t="n">
        <v>0</v>
      </c>
      <c r="N31" s="63" t="n">
        <v>0</v>
      </c>
      <c r="O31" s="61">
        <f>SUM(C31:N31)</f>
        <v/>
      </c>
      <c r="P31" s="64" t="n">
        <v>0</v>
      </c>
      <c r="Q31" s="64" t="n">
        <v>0</v>
      </c>
      <c r="R31" s="64" t="n">
        <v>0</v>
      </c>
      <c r="S31" s="65" t="n">
        <v>0</v>
      </c>
      <c r="T31" s="66" t="n">
        <v>0</v>
      </c>
      <c r="U31" s="66" t="n">
        <v>0</v>
      </c>
      <c r="V31" s="67" t="n">
        <v>0</v>
      </c>
      <c r="W31" s="68" t="n">
        <v>0</v>
      </c>
      <c r="X31" s="68" t="n">
        <v>0</v>
      </c>
      <c r="Y31" s="69" t="n">
        <v>0</v>
      </c>
      <c r="Z31" s="59" t="n">
        <v>0</v>
      </c>
      <c r="AA31" s="63" t="n">
        <v>0</v>
      </c>
      <c r="AB31" s="61">
        <f>SUM(P31:AA31)</f>
        <v/>
      </c>
    </row>
    <row r="32" ht="14.25" customHeight="1" s="137">
      <c r="B32" s="57" t="inlineStr">
        <is>
          <t>LOANS INTEREST</t>
        </is>
      </c>
      <c r="C32" s="64" t="n">
        <v>0</v>
      </c>
      <c r="D32" s="64" t="n">
        <v>0</v>
      </c>
      <c r="E32" s="64" t="n">
        <v>0</v>
      </c>
      <c r="F32" s="65" t="n">
        <v>0</v>
      </c>
      <c r="G32" s="66" t="n">
        <v>0</v>
      </c>
      <c r="H32" s="66" t="n">
        <v>0</v>
      </c>
      <c r="I32" s="67" t="n">
        <v>0</v>
      </c>
      <c r="J32" s="68" t="n">
        <v>0</v>
      </c>
      <c r="K32" s="68" t="n">
        <v>0</v>
      </c>
      <c r="L32" s="69" t="n">
        <v>0</v>
      </c>
      <c r="M32" s="59" t="n">
        <v>0</v>
      </c>
      <c r="N32" s="63" t="n">
        <v>0</v>
      </c>
      <c r="O32" s="61">
        <f>SUM(C32:N32)</f>
        <v/>
      </c>
      <c r="P32" s="64" t="n">
        <v>0</v>
      </c>
      <c r="Q32" s="64" t="n">
        <v>0</v>
      </c>
      <c r="R32" s="64" t="n">
        <v>0</v>
      </c>
      <c r="S32" s="65" t="n">
        <v>0</v>
      </c>
      <c r="T32" s="66" t="n">
        <v>0</v>
      </c>
      <c r="U32" s="66" t="n">
        <v>0</v>
      </c>
      <c r="V32" s="67" t="n">
        <v>0</v>
      </c>
      <c r="W32" s="68" t="n">
        <v>0</v>
      </c>
      <c r="X32" s="68" t="n">
        <v>0</v>
      </c>
      <c r="Y32" s="69" t="n">
        <v>0</v>
      </c>
      <c r="Z32" s="59" t="n">
        <v>0</v>
      </c>
      <c r="AA32" s="63" t="n">
        <v>0</v>
      </c>
      <c r="AB32" s="61">
        <f>SUM(P32:AA32)</f>
        <v/>
      </c>
    </row>
    <row r="33" ht="14.25" customHeight="1" s="137">
      <c r="B33" s="57" t="inlineStr">
        <is>
          <t>TRAVEL EXPENSES</t>
        </is>
      </c>
      <c r="C33" s="64" t="n">
        <v>0</v>
      </c>
      <c r="D33" s="64" t="n">
        <v>0</v>
      </c>
      <c r="E33" s="64" t="n">
        <v>0</v>
      </c>
      <c r="F33" s="65" t="n">
        <v>0</v>
      </c>
      <c r="G33" s="66" t="n">
        <v>0</v>
      </c>
      <c r="H33" s="66" t="n">
        <v>0</v>
      </c>
      <c r="I33" s="67" t="n">
        <v>0</v>
      </c>
      <c r="J33" s="68" t="n">
        <v>0</v>
      </c>
      <c r="K33" s="68" t="n">
        <v>0</v>
      </c>
      <c r="L33" s="69" t="n">
        <v>0</v>
      </c>
      <c r="M33" s="59" t="n">
        <v>0</v>
      </c>
      <c r="N33" s="63" t="n">
        <v>0</v>
      </c>
      <c r="O33" s="61">
        <f>SUM(C33:N33)</f>
        <v/>
      </c>
      <c r="P33" s="64" t="n">
        <v>0</v>
      </c>
      <c r="Q33" s="64" t="n">
        <v>0</v>
      </c>
      <c r="R33" s="64" t="n">
        <v>0</v>
      </c>
      <c r="S33" s="65" t="n">
        <v>0</v>
      </c>
      <c r="T33" s="66" t="n">
        <v>0</v>
      </c>
      <c r="U33" s="66" t="n">
        <v>0</v>
      </c>
      <c r="V33" s="67" t="n">
        <v>0</v>
      </c>
      <c r="W33" s="68" t="n">
        <v>0</v>
      </c>
      <c r="X33" s="68" t="n">
        <v>0</v>
      </c>
      <c r="Y33" s="69" t="n">
        <v>0</v>
      </c>
      <c r="Z33" s="59" t="n">
        <v>0</v>
      </c>
      <c r="AA33" s="63" t="n">
        <v>0</v>
      </c>
      <c r="AB33" s="61">
        <f>SUM(P33:AA33)</f>
        <v/>
      </c>
    </row>
    <row r="34" ht="14.25" customHeight="1" s="137">
      <c r="B34" s="57" t="inlineStr">
        <is>
          <t>MORTGAGE</t>
        </is>
      </c>
      <c r="C34" s="64" t="n"/>
      <c r="D34" s="64" t="n"/>
      <c r="E34" s="64" t="n"/>
      <c r="F34" s="66" t="n"/>
      <c r="G34" s="66" t="n"/>
      <c r="H34" s="66" t="n"/>
      <c r="I34" s="68" t="n"/>
      <c r="J34" s="68" t="n"/>
      <c r="K34" s="68" t="n"/>
      <c r="L34" s="59" t="n">
        <v>3920.64</v>
      </c>
      <c r="M34" s="59" t="n">
        <v>3920.64</v>
      </c>
      <c r="N34" s="59" t="n">
        <v>3920.64</v>
      </c>
      <c r="O34" s="61">
        <f>SUM(C34:N34)</f>
        <v/>
      </c>
      <c r="P34" s="142" t="n">
        <v>4287.51</v>
      </c>
      <c r="Q34" s="142" t="n">
        <v>4287.51</v>
      </c>
      <c r="R34" s="142" t="n">
        <v>4287.51</v>
      </c>
      <c r="S34" s="142" t="n">
        <v>4287.51</v>
      </c>
      <c r="T34" s="142" t="n">
        <v>4287.51</v>
      </c>
      <c r="U34" s="142" t="n">
        <v>4287.51</v>
      </c>
      <c r="V34" s="142" t="n">
        <v>4287.51</v>
      </c>
      <c r="W34" s="142" t="n">
        <v>5089.77</v>
      </c>
      <c r="X34" s="142" t="n">
        <v>5089.77</v>
      </c>
      <c r="Y34" s="142" t="n">
        <v>4438.69</v>
      </c>
      <c r="Z34" s="142" t="n">
        <v>4438.69</v>
      </c>
      <c r="AA34" s="142" t="n">
        <v>4377.54</v>
      </c>
      <c r="AB34" s="61">
        <f>SUM(P34:AA34)</f>
        <v/>
      </c>
    </row>
    <row r="35" ht="14.25" customHeight="1" s="137">
      <c r="B35" s="57" t="inlineStr">
        <is>
          <t>HOA</t>
        </is>
      </c>
      <c r="C35" s="64" t="n"/>
      <c r="D35" s="64" t="n"/>
      <c r="E35" s="64" t="n"/>
      <c r="F35" s="66" t="n"/>
      <c r="G35" s="66" t="n"/>
      <c r="H35" s="66" t="n"/>
      <c r="I35" s="68" t="n"/>
      <c r="J35" s="68" t="n"/>
      <c r="K35" s="68" t="n"/>
      <c r="L35" s="59" t="n"/>
      <c r="M35" s="59" t="n"/>
      <c r="N35" s="59" t="n"/>
      <c r="O35" s="61">
        <f>SUM(C35:N35)</f>
        <v/>
      </c>
      <c r="P35" s="64" t="n"/>
      <c r="Q35" s="64" t="n"/>
      <c r="R35" s="64" t="n"/>
      <c r="S35" s="66" t="n"/>
      <c r="T35" s="66" t="n"/>
      <c r="U35" s="66" t="n"/>
      <c r="V35" s="68" t="n"/>
      <c r="W35" s="68" t="n"/>
      <c r="X35" s="68" t="n"/>
      <c r="Y35" s="59" t="n"/>
      <c r="Z35" s="59" t="n"/>
      <c r="AA35" s="59" t="n"/>
      <c r="AB35" s="61">
        <f>SUM(P35:AA35)</f>
        <v/>
      </c>
    </row>
    <row r="36" ht="14.25" customHeight="1" s="137">
      <c r="B36" s="57" t="inlineStr">
        <is>
          <t>TERMITE INSPECTION</t>
        </is>
      </c>
      <c r="C36" s="64" t="n">
        <v>0</v>
      </c>
      <c r="D36" s="64" t="n">
        <v>0</v>
      </c>
      <c r="E36" s="64" t="n">
        <v>0</v>
      </c>
      <c r="F36" s="65" t="n"/>
      <c r="G36" s="66" t="n">
        <v>0</v>
      </c>
      <c r="H36" s="66" t="n">
        <v>0</v>
      </c>
      <c r="I36" s="67" t="n">
        <v>0</v>
      </c>
      <c r="J36" s="68" t="n">
        <v>145</v>
      </c>
      <c r="K36" s="68" t="n">
        <v>0</v>
      </c>
      <c r="L36" s="69" t="n">
        <v>0</v>
      </c>
      <c r="M36" s="59" t="n"/>
      <c r="N36" s="63" t="n">
        <v>0</v>
      </c>
      <c r="O36" s="61">
        <f>SUM(C36:N36)</f>
        <v/>
      </c>
      <c r="P36" s="64" t="n">
        <v>0</v>
      </c>
      <c r="Q36" s="64" t="n">
        <v>0</v>
      </c>
      <c r="R36" s="64" t="n">
        <v>0</v>
      </c>
      <c r="S36" s="65" t="n"/>
      <c r="T36" s="66" t="n">
        <v>0</v>
      </c>
      <c r="U36" s="66" t="n">
        <v>0</v>
      </c>
      <c r="V36" s="67" t="n">
        <v>0</v>
      </c>
      <c r="W36" s="68" t="n">
        <v>0</v>
      </c>
      <c r="X36" s="68" t="n">
        <v>0</v>
      </c>
      <c r="Y36" s="69" t="n">
        <v>0</v>
      </c>
      <c r="Z36" s="59" t="n"/>
      <c r="AA36" s="63" t="n">
        <v>0</v>
      </c>
      <c r="AB36" s="61">
        <f>SUM(P36:AA36)</f>
        <v/>
      </c>
    </row>
    <row r="37" ht="14.25" customHeight="1" s="137">
      <c r="B37" s="57" t="inlineStr">
        <is>
          <t>OTHER</t>
        </is>
      </c>
      <c r="C37" s="64" t="n">
        <v>0</v>
      </c>
      <c r="D37" s="64" t="n">
        <v>0</v>
      </c>
      <c r="E37" s="64" t="n">
        <v>0</v>
      </c>
      <c r="F37" s="65" t="n">
        <v>0</v>
      </c>
      <c r="G37" s="66" t="n">
        <v>0</v>
      </c>
      <c r="H37" s="66" t="n">
        <v>0</v>
      </c>
      <c r="I37" s="67" t="n">
        <v>0</v>
      </c>
      <c r="J37" s="68" t="n">
        <v>0</v>
      </c>
      <c r="K37" s="68" t="n"/>
      <c r="L37" s="69" t="n"/>
      <c r="M37" s="59" t="n">
        <v>0</v>
      </c>
      <c r="N37" s="63" t="n">
        <v>0</v>
      </c>
      <c r="O37" s="61">
        <f>SUM(C37:N37)</f>
        <v/>
      </c>
      <c r="P37" s="64" t="n">
        <v>0</v>
      </c>
      <c r="Q37" s="64" t="n">
        <v>0</v>
      </c>
      <c r="R37" s="64" t="n">
        <v>0</v>
      </c>
      <c r="S37" s="65" t="n">
        <v>0</v>
      </c>
      <c r="T37" s="66" t="n">
        <v>0</v>
      </c>
      <c r="U37" s="66" t="n">
        <v>0</v>
      </c>
      <c r="V37" s="67" t="n">
        <v>0</v>
      </c>
      <c r="W37" s="68" t="n">
        <v>0</v>
      </c>
      <c r="X37" s="68" t="n"/>
      <c r="Y37" s="69" t="n"/>
      <c r="Z37" s="59" t="n">
        <v>0</v>
      </c>
      <c r="AA37" s="63" t="n">
        <v>0</v>
      </c>
      <c r="AB37" s="61">
        <f>SUM(P37:AA37)</f>
        <v/>
      </c>
    </row>
    <row r="38" ht="14.25" customHeight="1" s="137">
      <c r="B38" s="57" t="inlineStr">
        <is>
          <t>OTHER</t>
        </is>
      </c>
      <c r="C38" s="64" t="n">
        <v>0</v>
      </c>
      <c r="D38" s="64" t="n">
        <v>0</v>
      </c>
      <c r="E38" s="64" t="n">
        <v>0</v>
      </c>
      <c r="F38" s="65" t="n">
        <v>0</v>
      </c>
      <c r="G38" s="66" t="n">
        <v>0</v>
      </c>
      <c r="H38" s="66" t="n">
        <v>0</v>
      </c>
      <c r="I38" s="67" t="n">
        <v>0</v>
      </c>
      <c r="J38" s="68" t="n">
        <v>0</v>
      </c>
      <c r="K38" s="68" t="n">
        <v>0</v>
      </c>
      <c r="L38" s="69" t="n"/>
      <c r="M38" s="59" t="n"/>
      <c r="N38" s="63" t="n"/>
      <c r="O38" s="61">
        <f>SUM(C38:N38)</f>
        <v/>
      </c>
      <c r="P38" s="64" t="n">
        <v>0</v>
      </c>
      <c r="Q38" s="64" t="n">
        <v>0</v>
      </c>
      <c r="R38" s="64" t="n">
        <v>0</v>
      </c>
      <c r="S38" s="65" t="n">
        <v>0</v>
      </c>
      <c r="T38" s="66" t="n">
        <v>0</v>
      </c>
      <c r="U38" s="66" t="n">
        <v>0</v>
      </c>
      <c r="V38" s="67" t="n">
        <v>0</v>
      </c>
      <c r="W38" s="68" t="n">
        <v>0</v>
      </c>
      <c r="X38" s="68" t="n">
        <v>0</v>
      </c>
      <c r="Y38" s="69" t="n"/>
      <c r="Z38" s="59" t="n"/>
      <c r="AA38" s="63" t="n"/>
      <c r="AB38" s="61">
        <f>SUM(P38:AA38)</f>
        <v/>
      </c>
    </row>
    <row r="39" ht="14.25" customHeight="1" s="137">
      <c r="B39" s="57" t="inlineStr">
        <is>
          <t> </t>
        </is>
      </c>
      <c r="C39" s="64" t="n">
        <v>0</v>
      </c>
      <c r="D39" s="64" t="n">
        <v>0</v>
      </c>
      <c r="E39" s="64" t="n">
        <v>0</v>
      </c>
      <c r="F39" s="65" t="n">
        <v>0</v>
      </c>
      <c r="G39" s="66" t="n">
        <v>0</v>
      </c>
      <c r="H39" s="66" t="n">
        <v>0</v>
      </c>
      <c r="I39" s="67" t="n">
        <v>0</v>
      </c>
      <c r="J39" s="68" t="n">
        <v>0</v>
      </c>
      <c r="K39" s="68" t="n">
        <v>0</v>
      </c>
      <c r="L39" s="69" t="n">
        <v>0</v>
      </c>
      <c r="M39" s="59" t="n">
        <v>0</v>
      </c>
      <c r="N39" s="63" t="n">
        <v>0</v>
      </c>
      <c r="O39" s="61">
        <f>SUM(C39:N39)</f>
        <v/>
      </c>
      <c r="P39" s="64" t="n">
        <v>0</v>
      </c>
      <c r="Q39" s="64" t="n">
        <v>0</v>
      </c>
      <c r="R39" s="64" t="n">
        <v>0</v>
      </c>
      <c r="S39" s="65" t="n">
        <v>0</v>
      </c>
      <c r="T39" s="66" t="n">
        <v>0</v>
      </c>
      <c r="U39" s="66" t="n">
        <v>0</v>
      </c>
      <c r="V39" s="67" t="n">
        <v>0</v>
      </c>
      <c r="W39" s="68" t="n">
        <v>0</v>
      </c>
      <c r="X39" s="68" t="n">
        <v>0</v>
      </c>
      <c r="Y39" s="69" t="n">
        <v>0</v>
      </c>
      <c r="Z39" s="59" t="n">
        <v>0</v>
      </c>
      <c r="AA39" s="63" t="n">
        <v>0</v>
      </c>
      <c r="AB39" s="61">
        <f>SUM(P39:AA39)</f>
        <v/>
      </c>
    </row>
    <row r="40" ht="14.25" customHeight="1" s="137">
      <c r="B40" s="57" t="inlineStr">
        <is>
          <t> </t>
        </is>
      </c>
      <c r="C40" s="64" t="n">
        <v>0</v>
      </c>
      <c r="D40" s="64" t="n">
        <v>0</v>
      </c>
      <c r="E40" s="64" t="n">
        <v>0</v>
      </c>
      <c r="F40" s="65" t="n">
        <v>0</v>
      </c>
      <c r="G40" s="66" t="n">
        <v>0</v>
      </c>
      <c r="H40" s="66" t="n">
        <v>0</v>
      </c>
      <c r="I40" s="67" t="n">
        <v>0</v>
      </c>
      <c r="J40" s="68" t="n">
        <v>0</v>
      </c>
      <c r="K40" s="68" t="n">
        <v>0</v>
      </c>
      <c r="L40" s="69" t="n">
        <v>0</v>
      </c>
      <c r="M40" s="59" t="n">
        <v>0</v>
      </c>
      <c r="N40" s="63" t="n">
        <v>0</v>
      </c>
      <c r="O40" s="61">
        <f>SUM(C40:N40)</f>
        <v/>
      </c>
      <c r="P40" s="64" t="n">
        <v>0</v>
      </c>
      <c r="Q40" s="64" t="n">
        <v>0</v>
      </c>
      <c r="R40" s="64" t="n">
        <v>0</v>
      </c>
      <c r="S40" s="65" t="n">
        <v>0</v>
      </c>
      <c r="T40" s="66" t="n">
        <v>0</v>
      </c>
      <c r="U40" s="66" t="n">
        <v>0</v>
      </c>
      <c r="V40" s="67" t="n">
        <v>0</v>
      </c>
      <c r="W40" s="68" t="n">
        <v>0</v>
      </c>
      <c r="X40" s="68" t="n">
        <v>0</v>
      </c>
      <c r="Y40" s="69" t="n">
        <v>0</v>
      </c>
      <c r="Z40" s="59" t="n">
        <v>0</v>
      </c>
      <c r="AA40" s="63" t="n">
        <v>0</v>
      </c>
      <c r="AB40" s="61">
        <f>SUM(P40:AA40)</f>
        <v/>
      </c>
    </row>
    <row r="41" ht="14.25" customHeight="1" s="137">
      <c r="B41" s="47" t="inlineStr">
        <is>
          <t>TOTAL EXPENSES</t>
        </is>
      </c>
      <c r="C41" s="48">
        <f>SUM(C10:C40)</f>
        <v/>
      </c>
      <c r="D41" s="48">
        <f>SUM(D10:D40)</f>
        <v/>
      </c>
      <c r="E41" s="48">
        <f>SUM(E10:E40)</f>
        <v/>
      </c>
      <c r="F41" s="49">
        <f>SUM(F10:F40)</f>
        <v/>
      </c>
      <c r="G41" s="50">
        <f>SUM(G10:G40)</f>
        <v/>
      </c>
      <c r="H41" s="50">
        <f>SUM(H10:H40)</f>
        <v/>
      </c>
      <c r="I41" s="51">
        <f>SUM(I10:I40)</f>
        <v/>
      </c>
      <c r="J41" s="52">
        <f>SUM(J10:J40)</f>
        <v/>
      </c>
      <c r="K41" s="52">
        <f>SUM(K10:K40)</f>
        <v/>
      </c>
      <c r="L41" s="53">
        <f>SUM(L10:L40)</f>
        <v/>
      </c>
      <c r="M41" s="54">
        <f>SUM(M10:M40)</f>
        <v/>
      </c>
      <c r="N41" s="55">
        <f>SUM(N10:N40)</f>
        <v/>
      </c>
      <c r="O41" s="56">
        <f>SUM(C41:N41)</f>
        <v/>
      </c>
      <c r="P41" s="48">
        <f>SUM(P10:P40)</f>
        <v/>
      </c>
      <c r="Q41" s="48">
        <f>SUM(Q10:Q40)</f>
        <v/>
      </c>
      <c r="R41" s="48">
        <f>SUM(R10:R40)</f>
        <v/>
      </c>
      <c r="S41" s="49">
        <f>SUM(S10:S40)</f>
        <v/>
      </c>
      <c r="T41" s="50">
        <f>SUM(T10:T40)</f>
        <v/>
      </c>
      <c r="U41" s="50">
        <f>SUM(U10:U40)</f>
        <v/>
      </c>
      <c r="V41" s="51">
        <f>SUM(V10:V40)</f>
        <v/>
      </c>
      <c r="W41" s="52">
        <f>SUM(W10:W40)</f>
        <v/>
      </c>
      <c r="X41" s="52">
        <f>SUM(X10:X40)</f>
        <v/>
      </c>
      <c r="Y41" s="53">
        <f>SUM(Y10:Y40)</f>
        <v/>
      </c>
      <c r="Z41" s="54">
        <f>SUM(Z10:Z40)</f>
        <v/>
      </c>
      <c r="AA41" s="55">
        <f>SUM(AA10:AA40)</f>
        <v/>
      </c>
      <c r="AB41" s="56">
        <f>SUM(P41:AA41)</f>
        <v/>
      </c>
    </row>
    <row r="42" ht="14.25" customHeight="1" s="137"/>
    <row r="43" ht="14.25" customHeight="1" s="137">
      <c r="B43" s="70" t="inlineStr">
        <is>
          <t>YEAR-TO-DATE INCOME LESS EXPENSES</t>
        </is>
      </c>
      <c r="C43" s="71">
        <f>C6-C41</f>
        <v/>
      </c>
      <c r="D43" s="71">
        <f>D6-D41</f>
        <v/>
      </c>
      <c r="E43" s="71">
        <f>E6-E41</f>
        <v/>
      </c>
      <c r="F43" s="72">
        <f>F6-F41</f>
        <v/>
      </c>
      <c r="G43" s="73">
        <f>G6-G41</f>
        <v/>
      </c>
      <c r="H43" s="73">
        <f>H6-H41</f>
        <v/>
      </c>
      <c r="I43" s="74">
        <f>I6-I41</f>
        <v/>
      </c>
      <c r="J43" s="75">
        <f>J6-J41</f>
        <v/>
      </c>
      <c r="K43" s="75">
        <f>K6-K41</f>
        <v/>
      </c>
      <c r="L43" s="76">
        <f>L6-L41</f>
        <v/>
      </c>
      <c r="M43" s="77">
        <f>M6-M41</f>
        <v/>
      </c>
      <c r="N43" s="78">
        <f>N6-N41</f>
        <v/>
      </c>
      <c r="O43" s="79">
        <f>O6-O41</f>
        <v/>
      </c>
      <c r="P43" s="71">
        <f>P6-P41</f>
        <v/>
      </c>
      <c r="Q43" s="71">
        <f>Q6-Q41</f>
        <v/>
      </c>
      <c r="R43" s="71">
        <f>R6-R41</f>
        <v/>
      </c>
      <c r="S43" s="72">
        <f>S6-S41</f>
        <v/>
      </c>
      <c r="T43" s="73">
        <f>T6-T41</f>
        <v/>
      </c>
      <c r="U43" s="73">
        <f>U6-U41</f>
        <v/>
      </c>
      <c r="V43" s="74">
        <f>V6-V41</f>
        <v/>
      </c>
      <c r="W43" s="75">
        <f>W6-W41</f>
        <v/>
      </c>
      <c r="X43" s="75">
        <f>X6-X41</f>
        <v/>
      </c>
      <c r="Y43" s="76">
        <f>Y6-Y41</f>
        <v/>
      </c>
      <c r="Z43" s="77">
        <f>Z6-Z41</f>
        <v/>
      </c>
      <c r="AA43" s="78">
        <f>AA6-AA41</f>
        <v/>
      </c>
      <c r="AB43" s="79">
        <f>AB6-AB41</f>
        <v/>
      </c>
    </row>
    <row r="44" ht="14.25" customHeight="1" s="137"/>
    <row r="45" ht="72" customHeight="1" s="137">
      <c r="A45" s="213" t="inlineStr">
        <is>
          <t>2025 columns P–AB. Residence through sale 2025-12-18. MORTGAGE = US Bank loan 09422 monthly P+I from joint 0203 (not $50k extra principal on 9922 Jul/Sep — those are not on this row). HOA n/a. INSURANCE LOCK 2026-09-20: Travelers was prior 524 home; Geico was the cars. Only State Farm HOME share on this INSURANCE line (50/50 with Unit 2). Travelers leftover Jan is 524 home ($0 on cards/Monarch). Auto + Geico credit personal — not EPGC. Not tax advice. User 2026-09-20: Travelers + Geico are 524 Ferdinand; Lemonade is 216 Oak Park (not Grove, not 524).</t>
        </is>
      </c>
      <c r="B45" s="122" t="inlineStr">
        <is>
          <t>https://forst.tax/tax-deductions-owner-occupied-multi-family-property/</t>
        </is>
      </c>
    </row>
    <row r="46" ht="14.25" customHeight="1" s="137">
      <c r="B46" s="122" t="inlineStr">
        <is>
          <t>https://www.realtor.com/realestateandhomes-detail/524-Ferdinand-Ave_Forest-Park_IL_60130_M81246-00338</t>
        </is>
      </c>
    </row>
    <row r="47" ht="14.25" customHeight="1" s="137"/>
    <row r="48" ht="14.25" customHeight="1" s="137">
      <c r="B48" s="122" t="inlineStr">
        <is>
          <t>Purchase Price</t>
        </is>
      </c>
      <c r="C48" s="88" t="n">
        <v>575000</v>
      </c>
    </row>
    <row r="49" ht="14.25" customHeight="1" s="137">
      <c r="B49" s="122" t="inlineStr">
        <is>
          <t>Interest Rate</t>
        </is>
      </c>
      <c r="C49" s="81" t="n">
        <v>0.06275</v>
      </c>
    </row>
    <row r="50" ht="14.25" customHeight="1" s="137">
      <c r="C50" s="103" t="n"/>
    </row>
    <row r="51" ht="14.25" customHeight="1" s="137">
      <c r="B51" s="129" t="inlineStr">
        <is>
          <t>Misc Closing Costs</t>
        </is>
      </c>
      <c r="C51" s="130" t="n"/>
    </row>
    <row r="52" ht="14.25" customHeight="1" s="137">
      <c r="B52" s="3" t="inlineStr">
        <is>
          <t>Clear View Home Inspection</t>
        </is>
      </c>
      <c r="C52" s="131" t="n"/>
    </row>
    <row r="53" ht="14.25" customHeight="1" s="137">
      <c r="B53" s="3" t="inlineStr">
        <is>
          <t>Closing Costs</t>
        </is>
      </c>
      <c r="C53" s="132" t="inlineStr">
        <is>
          <t>~15000</t>
        </is>
      </c>
    </row>
    <row r="54" ht="14.25" customHeight="1" s="137">
      <c r="B54" s="3" t="n"/>
      <c r="C54" s="132" t="n"/>
    </row>
    <row r="55" ht="14.25" customHeight="1" s="137">
      <c r="B55" s="3" t="n"/>
      <c r="C55" s="133" t="n"/>
    </row>
    <row r="56" ht="14.25" customHeight="1" s="137">
      <c r="B56" s="134" t="inlineStr">
        <is>
          <t xml:space="preserve">Deductions as Investment </t>
        </is>
      </c>
      <c r="C56" s="133" t="n"/>
    </row>
    <row r="57" ht="14.25" customHeight="1" s="137">
      <c r="B57" s="3" t="inlineStr">
        <is>
          <t>Mortgage interest</t>
        </is>
      </c>
      <c r="C57" s="133" t="n"/>
    </row>
    <row r="58" ht="14.25" customHeight="1" s="137">
      <c r="B58" s="3" t="inlineStr">
        <is>
          <t>Property tax</t>
        </is>
      </c>
      <c r="C58" s="133" t="n"/>
    </row>
    <row r="59" ht="14.25" customHeight="1" s="137">
      <c r="B59" s="3" t="inlineStr">
        <is>
          <t>Operating expenses</t>
        </is>
      </c>
      <c r="C59" s="133" t="n"/>
    </row>
    <row r="60" ht="14.25" customHeight="1" s="137">
      <c r="B60" s="3" t="inlineStr">
        <is>
          <t>Depreciation</t>
        </is>
      </c>
      <c r="C60" s="133" t="n"/>
    </row>
    <row r="61" ht="14.25" customHeight="1" s="137">
      <c r="B61" s="3" t="inlineStr">
        <is>
          <t>Repairs</t>
        </is>
      </c>
      <c r="C61" s="133" t="n"/>
    </row>
    <row r="62" ht="14.25" customHeight="1" s="137">
      <c r="B62" s="3" t="n"/>
      <c r="C62" s="133" t="n"/>
    </row>
    <row r="63" ht="14.25" customHeight="1" s="137">
      <c r="B63" s="134" t="inlineStr">
        <is>
          <t>Deductions as Primary Residence</t>
        </is>
      </c>
      <c r="C63" s="133" t="n"/>
    </row>
    <row r="64" ht="14.25" customHeight="1" s="137">
      <c r="B64" s="3" t="inlineStr">
        <is>
          <t>Mortgage interest</t>
        </is>
      </c>
      <c r="C64" s="133" t="n"/>
    </row>
    <row r="65" ht="14.25" customHeight="1" s="137">
      <c r="B65" s="3" t="inlineStr">
        <is>
          <t>Property tax</t>
        </is>
      </c>
      <c r="C65" s="133" t="n"/>
    </row>
    <row r="66" ht="14.25" customHeight="1" s="137">
      <c r="B66" s="3" t="inlineStr">
        <is>
          <t xml:space="preserve">First time home owner tax credit </t>
        </is>
      </c>
      <c r="C66" s="133" t="n"/>
    </row>
    <row r="67" ht="14.25" customHeight="1" s="137">
      <c r="B67" s="3" t="n"/>
      <c r="C67" s="133" t="n"/>
    </row>
    <row r="68" ht="14.25" customHeight="1" s="137">
      <c r="B68" s="135" t="inlineStr">
        <is>
          <t>Questions for Advisor</t>
        </is>
      </c>
      <c r="C68" s="136" t="n"/>
    </row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1">
    <mergeCell ref="C1:O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style="137" min="1" max="1"/>
    <col width="36" customWidth="1" style="137" min="2" max="2"/>
    <col width="42" customWidth="1" style="137" min="3" max="3"/>
    <col width="55" customWidth="1" style="137" min="4" max="4"/>
    <col width="32" customWidth="1" style="137" min="5" max="5"/>
  </cols>
  <sheetData>
    <row r="1" ht="22" customHeight="1" s="137">
      <c r="A1" s="220" t="inlineStr">
        <is>
          <t>HOW THIS FILE IS MADE</t>
        </is>
      </c>
      <c r="B1" s="221" t="n"/>
      <c r="C1" s="221" t="n"/>
      <c r="D1" s="221" t="n"/>
      <c r="E1" s="222" t="n"/>
    </row>
    <row r="2" ht="36" customHeight="1" s="137">
      <c r="A2" s="223" t="inlineStr">
        <is>
          <t>This is last year's Personal Income.xlsx with a 2025 year block filled in. 2023 and 2024 are unchanged. Do not rebuild from CSVs.</t>
        </is>
      </c>
      <c r="B2" s="221" t="n"/>
      <c r="C2" s="221" t="n"/>
      <c r="D2" s="221" t="n"/>
      <c r="E2" s="222" t="n"/>
    </row>
    <row r="3">
      <c r="A3" s="224" t="inlineStr">
        <is>
          <t>Last year file (model)</t>
        </is>
      </c>
      <c r="B3" s="224" t="inlineStr">
        <is>
          <t>Drive Personal Income.xlsx</t>
        </is>
      </c>
      <c r="C3" s="224" t="inlineStr">
        <is>
          <t>1qdewbEnTuc-DXdbqBmwHrKMetGm3I7Zo</t>
        </is>
      </c>
      <c r="D3" s="224" t="inlineStr">
        <is>
          <t>132,313 bytes</t>
        </is>
      </c>
      <c r="E3" s="224" t="inlineStr">
        <is>
          <t>Unchanged 2023|2024</t>
        </is>
      </c>
    </row>
    <row r="4">
      <c r="A4" s="224" t="inlineStr">
        <is>
          <t>This file</t>
        </is>
      </c>
      <c r="B4" s="224" t="inlineStr">
        <is>
          <t>Personal Income 2025.xlsx</t>
        </is>
      </c>
      <c r="C4" s="224" t="inlineStr">
        <is>
          <t>copy of that workbook + 2025 columns</t>
        </is>
      </c>
      <c r="D4" s="224" t="inlineStr"/>
      <c r="E4" s="224" t="inlineStr">
        <is>
          <t>Same 11 tab names and order</t>
        </is>
      </c>
    </row>
    <row r="5">
      <c r="A5" s="224" t="inlineStr"/>
      <c r="B5" s="224" t="inlineStr"/>
      <c r="C5" s="224" t="inlineStr"/>
      <c r="D5" s="224" t="inlineStr"/>
      <c r="E5" s="224" t="inlineStr"/>
    </row>
    <row r="6">
      <c r="A6" s="220" t="inlineStr">
        <is>
          <t>Tab</t>
        </is>
      </c>
      <c r="B6" s="220" t="inlineStr">
        <is>
          <t>Line</t>
        </is>
      </c>
      <c r="C6" s="220" t="inlineStr">
        <is>
          <t>2025 amount</t>
        </is>
      </c>
      <c r="D6" s="220" t="inlineStr">
        <is>
          <t>Source</t>
        </is>
      </c>
      <c r="E6" s="220" t="inlineStr">
        <is>
          <t>Status</t>
        </is>
      </c>
    </row>
    <row r="7">
      <c r="A7" s="224" t="inlineStr">
        <is>
          <t>Income</t>
        </is>
      </c>
      <c r="B7" s="224" t="inlineStr">
        <is>
          <t>Hindman actual I4</t>
        </is>
      </c>
      <c r="C7" s="224" t="inlineStr">
        <is>
          <t>70,618.00</t>
        </is>
      </c>
      <c r="D7" s="224" t="inlineStr">
        <is>
          <t>Monarch paycheck cash (not W-2 Box 1)</t>
        </is>
      </c>
      <c r="E7" s="225" t="inlineStr">
        <is>
          <t>YELLOW — Box 1 still ASK</t>
        </is>
      </c>
    </row>
    <row r="8">
      <c r="A8" s="224" t="inlineStr">
        <is>
          <t>Income</t>
        </is>
      </c>
      <c r="B8" s="224" t="inlineStr">
        <is>
          <t>216 Oak Park I5</t>
        </is>
      </c>
      <c r="C8" s="224" t="inlineStr">
        <is>
          <t>19,500.00</t>
        </is>
      </c>
      <c r="D8" s="224" t="inlineStr">
        <is>
          <t>Joint 0203 Delach + Ava + Joan cash</t>
        </is>
      </c>
      <c r="E8" s="226" t="inlineStr">
        <is>
          <t>LOCKED</t>
        </is>
      </c>
    </row>
    <row r="9">
      <c r="A9" s="224" t="inlineStr">
        <is>
          <t>Income</t>
        </is>
      </c>
      <c r="B9" s="224" t="inlineStr">
        <is>
          <t>524 #2 STR I6</t>
        </is>
      </c>
      <c r="C9" s="224" t="inlineStr">
        <is>
          <t>17,086.94</t>
        </is>
      </c>
      <c r="D9" s="224" t="inlineStr">
        <is>
          <t>Airbnb/VRBO platform net</t>
        </is>
      </c>
      <c r="E9" s="226" t="inlineStr">
        <is>
          <t>LOCKED</t>
        </is>
      </c>
    </row>
    <row r="10">
      <c r="A10" s="224" t="inlineStr">
        <is>
          <t>Income</t>
        </is>
      </c>
      <c r="B10" s="224" t="inlineStr">
        <is>
          <t>GCM Boards I7</t>
        </is>
      </c>
      <c r="C10" s="224" t="inlineStr">
        <is>
          <t>21,500.00</t>
        </is>
      </c>
      <c r="D10" s="224" t="inlineStr">
        <is>
          <t>Form 1099-NEC BOM PAYMEN (personal, not EPGC)</t>
        </is>
      </c>
      <c r="E10" s="226" t="inlineStr">
        <is>
          <t>LOCKED</t>
        </is>
      </c>
    </row>
    <row r="11">
      <c r="A11" s="224" t="inlineStr">
        <is>
          <t>Income</t>
        </is>
      </c>
      <c r="B11" s="224" t="inlineStr">
        <is>
          <t>Art Sales net I8</t>
        </is>
      </c>
      <c r="C11" s="224" t="inlineStr">
        <is>
          <t>23,055.06</t>
        </is>
      </c>
      <c r="D11" s="224" t="inlineStr">
        <is>
          <t>MATCHED Mercury deals with Cost only (Berk lots + seals + mosaics). Sale 6428 and Aquinas books wait on Cost.</t>
        </is>
      </c>
      <c r="E11" s="226" t="inlineStr">
        <is>
          <t>LOCKED</t>
        </is>
      </c>
    </row>
    <row r="12">
      <c r="A12" s="224" t="inlineStr">
        <is>
          <t>216 Oak Park</t>
        </is>
      </c>
      <c r="B12" s="224" t="inlineStr">
        <is>
          <t>RENTAL INCOME</t>
        </is>
      </c>
      <c r="C12" s="224" t="inlineStr">
        <is>
          <t>19,500.00</t>
        </is>
      </c>
      <c r="D12" s="224" t="inlineStr">
        <is>
          <t>Same as Income I5. Vacant Oct + half Nov.</t>
        </is>
      </c>
      <c r="E12" s="226" t="inlineStr">
        <is>
          <t>LOCKED</t>
        </is>
      </c>
    </row>
    <row r="13">
      <c r="A13" s="224" t="inlineStr">
        <is>
          <t>216 Oak Park</t>
        </is>
      </c>
      <c r="B13" s="224" t="inlineStr">
        <is>
          <t>RENTER'S INSURANCE</t>
        </is>
      </c>
      <c r="C13" s="224" t="inlineStr">
        <is>
          <t>42.84/mo × 12 = 514.08</t>
        </is>
      </c>
      <c r="D13" s="224" t="inlineStr">
        <is>
          <t>Lemonade. Same amortize as 2023 $26.75 and 2024 $35.08. Cash $514.00 10/3 Megan Chase (8¢).</t>
        </is>
      </c>
      <c r="E13" s="226" t="inlineStr">
        <is>
          <t>LOCKED green</t>
        </is>
      </c>
    </row>
    <row r="14">
      <c r="A14" s="224" t="inlineStr">
        <is>
          <t>216 Oak Park</t>
        </is>
      </c>
      <c r="B14" s="224" t="inlineStr">
        <is>
          <t>MORTGAGE</t>
        </is>
      </c>
      <c r="C14" s="224" t="inlineStr">
        <is>
          <t>1,226.25 Jan–Oct / 1,177.52 Nov–Dec</t>
        </is>
      </c>
      <c r="D14" s="224" t="inlineStr">
        <is>
          <t>Rocket 8507. Jan–Jun yellow until 8507 statements.</t>
        </is>
      </c>
      <c r="E14" s="225" t="inlineStr">
        <is>
          <t>GREEN Jul–Dec / YELLOW Jan–Jun</t>
        </is>
      </c>
    </row>
    <row r="15">
      <c r="A15" s="224" t="inlineStr">
        <is>
          <t>216 Oak Park</t>
        </is>
      </c>
      <c r="B15" s="224" t="inlineStr">
        <is>
          <t>HOA</t>
        </is>
      </c>
      <c r="C15" s="224" t="inlineStr">
        <is>
          <t>421.53 × 12</t>
        </is>
      </c>
      <c r="D15" s="224" t="inlineStr">
        <is>
          <t>Santa Maria C326 on 8507. Jan–May yellow WAIT 8507.</t>
        </is>
      </c>
      <c r="E15" s="225" t="inlineStr">
        <is>
          <t>GREEN Jun–Dec / YELLOW Jan–May</t>
        </is>
      </c>
    </row>
    <row r="16">
      <c r="A16" s="224" t="inlineStr">
        <is>
          <t>216 Oak Park</t>
        </is>
      </c>
      <c r="B16" s="224" t="inlineStr">
        <is>
          <t>INTERIOR MAINTENANCE</t>
        </is>
      </c>
      <c r="C16" s="224" t="inlineStr">
        <is>
          <t>150 Aug + 11 Dec</t>
        </is>
      </c>
      <c r="D16" s="224" t="inlineStr">
        <is>
          <t>Chris Brennan 8/7 (8507 check 8/18) + Ace keys 12/8 Megan Chase</t>
        </is>
      </c>
      <c r="E16" s="226" t="inlineStr">
        <is>
          <t>LOCKED</t>
        </is>
      </c>
    </row>
    <row r="17">
      <c r="A17" s="224" t="inlineStr">
        <is>
          <t>216 Oak Park</t>
        </is>
      </c>
      <c r="B17" s="224" t="inlineStr">
        <is>
          <t>INTERIOR REPAIR</t>
        </is>
      </c>
      <c r="C17" s="224" t="inlineStr">
        <is>
          <t>675 Dec</t>
        </is>
      </c>
      <c r="D17" s="224" t="inlineStr">
        <is>
          <t>Joan painting/repairs 12/1 8507 Zelle</t>
        </is>
      </c>
      <c r="E17" s="226" t="inlineStr">
        <is>
          <t>LOCKED</t>
        </is>
      </c>
    </row>
    <row r="18">
      <c r="A18" s="224" t="inlineStr">
        <is>
          <t>216 Oak Park</t>
        </is>
      </c>
      <c r="B18" s="224" t="inlineStr">
        <is>
          <t>MOVE OUT FEE</t>
        </is>
      </c>
      <c r="C18" s="224" t="inlineStr">
        <is>
          <t>300 Oct</t>
        </is>
      </c>
      <c r="D18" s="224" t="inlineStr">
        <is>
          <t>Imelda empty-apt. User 9/30; cash 10/1 joint 0203</t>
        </is>
      </c>
      <c r="E18" s="226" t="inlineStr">
        <is>
          <t>LOCKED</t>
        </is>
      </c>
    </row>
    <row r="19">
      <c r="A19" s="224" t="inlineStr">
        <is>
          <t>216 Oak Park</t>
        </is>
      </c>
      <c r="B19" s="224" t="inlineStr">
        <is>
          <t>Smoke detector Amazon</t>
        </is>
      </c>
      <c r="C19" s="224" t="inlineStr">
        <is>
          <t>0</t>
        </is>
      </c>
      <c r="D19" s="224" t="inlineStr">
        <is>
          <t>No labeled charge</t>
        </is>
      </c>
      <c r="E19" s="225" t="inlineStr">
        <is>
          <t>ASK</t>
        </is>
      </c>
    </row>
    <row r="20">
      <c r="A20" s="224" t="inlineStr">
        <is>
          <t>524 Unit 2</t>
        </is>
      </c>
      <c r="B20" s="224" t="inlineStr">
        <is>
          <t>INSURANCE</t>
        </is>
      </c>
      <c r="C20" s="224" t="inlineStr">
        <is>
          <t>State Farm HOME share 50/50</t>
        </is>
      </c>
      <c r="D20" s="224" t="inlineStr">
        <is>
          <t>Travelers was prior 524 home leftover $0. Geico is cars (personal). Lemonade is 216, not 524.</t>
        </is>
      </c>
      <c r="E20" s="226" t="inlineStr">
        <is>
          <t>LOCKED</t>
        </is>
      </c>
    </row>
    <row r="21">
      <c r="A21" s="224" t="inlineStr">
        <is>
          <t>524 Unit 1</t>
        </is>
      </c>
      <c r="B21" s="224" t="inlineStr">
        <is>
          <t>INSURANCE</t>
        </is>
      </c>
      <c r="C21" s="224" t="inlineStr">
        <is>
          <t>State Farm HOME share 50/50</t>
        </is>
      </c>
      <c r="D21" s="224" t="inlineStr">
        <is>
          <t>Same carrier lock as Unit 2. Residence through sale 12/18.</t>
        </is>
      </c>
      <c r="E21" s="226" t="inlineStr">
        <is>
          <t>LOCKED</t>
        </is>
      </c>
    </row>
    <row r="22">
      <c r="A22" s="224" t="inlineStr">
        <is>
          <t>524 Unit 1</t>
        </is>
      </c>
      <c r="B22" s="224" t="inlineStr">
        <is>
          <t>MORTGAGE</t>
        </is>
      </c>
      <c r="C22" s="224" t="inlineStr">
        <is>
          <t>US Bank 09422 monthly P+I</t>
        </is>
      </c>
      <c r="D22" s="224" t="inlineStr">
        <is>
          <t>Joint 0203. Not the $50k extra principal on 9922.</t>
        </is>
      </c>
      <c r="E22" s="226" t="inlineStr">
        <is>
          <t>LOCKED</t>
        </is>
      </c>
    </row>
    <row r="23">
      <c r="A23" s="224" t="inlineStr">
        <is>
          <t>GCM</t>
        </is>
      </c>
      <c r="B23" s="224" t="inlineStr">
        <is>
          <t>2025 board</t>
        </is>
      </c>
      <c r="C23" s="224" t="inlineStr">
        <is>
          <t>4,100 + 9,200 + 4,100 + 4,100 = 21,500</t>
        </is>
      </c>
      <c r="D23" s="224" t="inlineStr">
        <is>
          <t>Same 1099 as Income I7. Not EPGC Consultant.</t>
        </is>
      </c>
      <c r="E23" s="226" t="inlineStr">
        <is>
          <t>LOCKED</t>
        </is>
      </c>
    </row>
    <row r="24">
      <c r="A24" s="224" t="inlineStr">
        <is>
          <t>EPGC LLC</t>
        </is>
      </c>
      <c r="B24" s="224" t="inlineStr">
        <is>
          <t>Art Sales</t>
        </is>
      </c>
      <c r="C24" s="224" t="inlineStr">
        <is>
          <t>14,000 Jan + 136,000 Feb = 150,000</t>
        </is>
      </c>
      <c r="D24" s="224" t="inlineStr">
        <is>
          <t>Mercury 8291 MATCHED (Berk + mosaics + Aquinas cash). Do not dump EOEB/L5 remainder.</t>
        </is>
      </c>
      <c r="E24" s="226" t="inlineStr">
        <is>
          <t>LOCKED</t>
        </is>
      </c>
    </row>
    <row r="25">
      <c r="A25" s="224" t="inlineStr">
        <is>
          <t>EPGC LLC</t>
        </is>
      </c>
      <c r="B25" s="224" t="inlineStr">
        <is>
          <t>Consultant June</t>
        </is>
      </c>
      <c r="C25" s="224" t="inlineStr">
        <is>
          <t>13,595.00</t>
        </is>
      </c>
      <c r="D25" s="224" t="inlineStr">
        <is>
          <t>David Aaron Limited 6/24. User: consultant fee, not a sale.</t>
        </is>
      </c>
      <c r="E25" s="226" t="inlineStr">
        <is>
          <t>LOCKED</t>
        </is>
      </c>
    </row>
    <row r="26">
      <c r="A26" s="224" t="inlineStr">
        <is>
          <t>EPGC LLC</t>
        </is>
      </c>
      <c r="B26" s="224" t="inlineStr">
        <is>
          <t>Consultant Fees</t>
        </is>
      </c>
      <c r="C26" s="224" t="inlineStr">
        <is>
          <t>334.17 Jul + 658.63 Oct = 992.80</t>
        </is>
      </c>
      <c r="D26" s="224" t="inlineStr">
        <is>
          <t>Wise expertise write-ups</t>
        </is>
      </c>
      <c r="E26" s="226" t="inlineStr">
        <is>
          <t>LOCKED</t>
        </is>
      </c>
    </row>
    <row r="27">
      <c r="A27" s="224" t="inlineStr">
        <is>
          <t>Art Sales tab</t>
        </is>
      </c>
      <c r="B27" s="224" t="inlineStr">
        <is>
          <t>Seals / lots / mosaics</t>
        </is>
      </c>
      <c r="C27" s="224" t="inlineStr">
        <is>
          <t>see rows 70–74</t>
        </is>
      </c>
      <c r="D27" s="224" t="inlineStr">
        <is>
          <t>Same objects as last year's Art Sales layout</t>
        </is>
      </c>
      <c r="E27" s="226" t="inlineStr">
        <is>
          <t>LOCKED</t>
        </is>
      </c>
    </row>
    <row r="28">
      <c r="A28" s="224" t="inlineStr">
        <is>
          <t>Investments</t>
        </is>
      </c>
      <c r="B28" s="224" t="inlineStr">
        <is>
          <t>Coinbase ACH</t>
        </is>
      </c>
      <c r="C28" s="224" t="inlineStr">
        <is>
          <t>net -51,000.00</t>
        </is>
      </c>
      <c r="D28" s="224" t="inlineStr">
        <is>
          <t>Mercury 8291. Not EPGC.</t>
        </is>
      </c>
      <c r="E28" s="226" t="inlineStr">
        <is>
          <t>LOCKED</t>
        </is>
      </c>
    </row>
    <row r="29">
      <c r="A29" s="224" t="inlineStr">
        <is>
          <t>Carriers (note)</t>
        </is>
      </c>
      <c r="B29" s="224" t="inlineStr">
        <is>
          <t>Lemonade</t>
        </is>
      </c>
      <c r="C29" s="224" t="inlineStr">
        <is>
          <t>216 Oak Park #1Z</t>
        </is>
      </c>
      <c r="D29" s="224" t="inlineStr">
        <is>
          <t>User said 216 N Grove — that is this unit, not 827 Grove.</t>
        </is>
      </c>
      <c r="E29" s="226" t="inlineStr">
        <is>
          <t>LOCKED</t>
        </is>
      </c>
    </row>
    <row r="30">
      <c r="A30" s="224" t="inlineStr">
        <is>
          <t>Carriers (note)</t>
        </is>
      </c>
      <c r="B30" s="224" t="inlineStr">
        <is>
          <t>Travelers / Geico</t>
        </is>
      </c>
      <c r="C30" s="224" t="inlineStr">
        <is>
          <t>524 Ferdinand home / cars</t>
        </is>
      </c>
      <c r="D30" s="224" t="inlineStr">
        <is>
          <t>Not 216. Geico credit $540.89 personal.</t>
        </is>
      </c>
      <c r="E30" s="226" t="inlineStr">
        <is>
          <t>LOCKED</t>
        </is>
      </c>
    </row>
    <row r="31">
      <c r="A31" s="224" t="inlineStr"/>
      <c r="B31" s="224" t="inlineStr"/>
      <c r="C31" s="224" t="inlineStr"/>
      <c r="D31" s="224" t="inlineStr"/>
      <c r="E31" s="224" t="inlineStr"/>
    </row>
    <row r="32">
      <c r="A32" s="220" t="inlineStr">
        <is>
          <t>DO NOT</t>
        </is>
      </c>
      <c r="B32" s="221" t="n"/>
      <c r="C32" s="221" t="n"/>
      <c r="D32" s="221" t="n"/>
      <c r="E32" s="222" t="n"/>
    </row>
    <row r="33">
      <c r="A33" s="224" t="inlineStr">
        <is>
          <t>Rebuild this workbook from CSVs</t>
        </is>
      </c>
      <c r="B33" s="224" t="inlineStr">
        <is>
          <t>That drops Century Gothic, merged cells, column widths, Hindman W2, Megan T4, Refrence Library</t>
        </is>
      </c>
      <c r="C33" s="224" t="inlineStr"/>
      <c r="D33" s="224" t="inlineStr"/>
      <c r="E33" s="224" t="inlineStr"/>
    </row>
    <row r="34">
      <c r="A34" s="224" t="inlineStr">
        <is>
          <t>Dump EOEB $130,270 or L5 $87,396.32 onto P&amp;L</t>
        </is>
      </c>
      <c r="B34" s="224" t="inlineStr">
        <is>
          <t>Mixed art + consultant. Invoice split still ASK.</t>
        </is>
      </c>
      <c r="C34" s="224" t="inlineStr"/>
      <c r="D34" s="224" t="inlineStr"/>
      <c r="E34" s="224" t="inlineStr"/>
    </row>
    <row r="35">
      <c r="A35" s="224" t="inlineStr">
        <is>
          <t>Re-run apply_checking_answers_2025.py</t>
        </is>
      </c>
      <c r="B35" s="224" t="inlineStr">
        <is>
          <t>Would scramble locked inflows.</t>
        </is>
      </c>
      <c r="C35" s="224" t="inlineStr"/>
      <c r="D35" s="224" t="inlineStr"/>
      <c r="E35" s="224" t="inlineStr"/>
    </row>
    <row r="36">
      <c r="A36" s="224" t="inlineStr"/>
      <c r="B36" s="224" t="inlineStr"/>
      <c r="C36" s="224" t="inlineStr"/>
      <c r="D36" s="224" t="inlineStr"/>
      <c r="E36" s="224" t="inlineStr"/>
    </row>
    <row r="37">
      <c r="A37" s="220" t="inlineStr">
        <is>
          <t>SELF-CHECK (formulas vs locked amounts)</t>
        </is>
      </c>
      <c r="B37" s="220" t="inlineStr">
        <is>
          <t>Sheet value</t>
        </is>
      </c>
      <c r="C37" s="220" t="inlineStr">
        <is>
          <t>Income / expected</t>
        </is>
      </c>
      <c r="D37" s="220" t="inlineStr">
        <is>
          <t>Match?</t>
        </is>
      </c>
      <c r="E37" s="220" t="inlineStr">
        <is>
          <t>If FAIL, the 2025 block was overwritten</t>
        </is>
      </c>
    </row>
    <row r="38">
      <c r="A38" s="229" t="inlineStr">
        <is>
          <t>216 rent vs Income I5</t>
        </is>
      </c>
      <c r="B38" s="230">
        <f>'216 N. Oak Park Ave'!AO5</f>
        <v/>
      </c>
      <c r="C38" s="230">
        <f>Income!I5</f>
        <v/>
      </c>
      <c r="D38" s="229">
        <f>IF(ROUND(B38,2)=ROUND(C38,2),"MATCH","FAIL")</f>
        <v/>
      </c>
      <c r="E38" s="231" t="inlineStr"/>
    </row>
    <row r="39">
      <c r="A39" s="229" t="inlineStr">
        <is>
          <t>524 #2 rent vs Income I6</t>
        </is>
      </c>
      <c r="B39" s="230">
        <f>'524 Ferdinand Ave, Unit 2'!AO5</f>
        <v/>
      </c>
      <c r="C39" s="230">
        <f>Income!I6</f>
        <v/>
      </c>
      <c r="D39" s="229">
        <f>IF(ROUND(B39,2)=ROUND(C39,2),"MATCH","FAIL")</f>
        <v/>
      </c>
      <c r="E39" s="231" t="inlineStr"/>
    </row>
    <row r="40">
      <c r="A40" s="229" t="inlineStr">
        <is>
          <t>GCM 2025 vs Income I7</t>
        </is>
      </c>
      <c r="B40" s="230">
        <f>GCM!E26</f>
        <v/>
      </c>
      <c r="C40" s="230">
        <f>Income!I7</f>
        <v/>
      </c>
      <c r="D40" s="229">
        <f>IF(ROUND(B40,2)=ROUND(C40,2),"MATCH","FAIL")</f>
        <v/>
      </c>
      <c r="E40" s="231" t="inlineStr"/>
    </row>
    <row r="41">
      <c r="A41" s="229" t="inlineStr">
        <is>
          <t>216 Lemonade vs $514.08</t>
        </is>
      </c>
      <c r="B41" s="230">
        <f>'216 N. Oak Park Ave'!AO14</f>
        <v/>
      </c>
      <c r="C41" s="230" t="n">
        <v>514.08</v>
      </c>
      <c r="D41" s="229">
        <f>IF(ROUND(B41,2)=ROUND(C41,2),"MATCH","FAIL")</f>
        <v/>
      </c>
      <c r="E41" s="231" t="inlineStr"/>
    </row>
    <row r="42">
      <c r="A42" s="229" t="inlineStr">
        <is>
          <t>EPGC Art Sales vs $150,000</t>
        </is>
      </c>
      <c r="B42" s="230">
        <f>'EPGC LLC'!N53</f>
        <v/>
      </c>
      <c r="C42" s="230" t="n">
        <v>150000</v>
      </c>
      <c r="D42" s="229">
        <f>IF(ROUND(B42,2)=ROUND(C42,2),"MATCH","FAIL")</f>
        <v/>
      </c>
      <c r="E42" s="231" t="inlineStr"/>
    </row>
    <row r="43">
      <c r="A43" s="229" t="inlineStr">
        <is>
          <t>EPGC Consultant vs $13,595</t>
        </is>
      </c>
      <c r="B43" s="230">
        <f>'EPGC LLC'!N54</f>
        <v/>
      </c>
      <c r="C43" s="230" t="n">
        <v>13595</v>
      </c>
      <c r="D43" s="229">
        <f>IF(ROUND(B43,2)=ROUND(C43,2),"MATCH","FAIL")</f>
        <v/>
      </c>
      <c r="E43" s="231" t="inlineStr"/>
    </row>
    <row r="45">
      <c r="A45" s="184" t="inlineStr">
        <is>
          <t>Color key: peach = entered like last year. Green = locked from bank or user. Yellow = WAIT (statement or Cost). Not tax advice.</t>
        </is>
      </c>
    </row>
  </sheetData>
  <mergeCells count="4">
    <mergeCell ref="A2:E2"/>
    <mergeCell ref="A1:E1"/>
    <mergeCell ref="A45:E45"/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Jacob Coley</dc:creator>
  <dcterms:created xsi:type="dcterms:W3CDTF">2022-12-14T01:51:29Z</dcterms:created>
  <dcterms:modified xsi:type="dcterms:W3CDTF">2026-09-20T20:48:40Z</dcterms:modified>
</cp:coreProperties>
</file>